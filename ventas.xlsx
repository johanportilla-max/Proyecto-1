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n Aguirre\Desktop\Ingenieria industrial\5 semestre\Proyecto I\Proyecto-1\"/>
    </mc:Choice>
  </mc:AlternateContent>
  <xr:revisionPtr revIDLastSave="0" documentId="13_ncr:1_{7BD071E4-47C2-437E-B467-24BAC78F3CEC}" xr6:coauthVersionLast="47" xr6:coauthVersionMax="47" xr10:uidLastSave="{00000000-0000-0000-0000-000000000000}"/>
  <bookViews>
    <workbookView xWindow="-108" yWindow="-108" windowWidth="23256" windowHeight="12456" activeTab="1" xr2:uid="{69ADB599-6B6D-4247-9108-0F938B9EAA39}"/>
  </bookViews>
  <sheets>
    <sheet name="Listas" sheetId="1" r:id="rId1"/>
    <sheet name="Base de datos" sheetId="2" r:id="rId2"/>
    <sheet name="Base Diego" sheetId="3" r:id="rId3"/>
    <sheet name="Vent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3" i="2" l="1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C13" i="4" s="1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C78" i="4" s="1"/>
  <c r="G67" i="2"/>
  <c r="G68" i="2"/>
  <c r="G69" i="2"/>
  <c r="G70" i="2"/>
  <c r="G71" i="2"/>
  <c r="G72" i="2"/>
  <c r="G73" i="2"/>
  <c r="C103" i="4" s="1"/>
  <c r="G74" i="2"/>
  <c r="C106" i="4" s="1"/>
  <c r="G75" i="2"/>
  <c r="G76" i="2"/>
  <c r="C112" i="4" s="1"/>
  <c r="G77" i="2"/>
  <c r="C113" i="4" s="1"/>
  <c r="G78" i="2"/>
  <c r="G79" i="2"/>
  <c r="G80" i="2"/>
  <c r="C131" i="4" s="1"/>
  <c r="G81" i="2"/>
  <c r="C133" i="4" s="1"/>
  <c r="G82" i="2"/>
  <c r="G83" i="2"/>
  <c r="G84" i="2"/>
  <c r="G85" i="2"/>
  <c r="G86" i="2"/>
  <c r="C146" i="4" s="1"/>
  <c r="G87" i="2"/>
  <c r="C147" i="4" s="1"/>
  <c r="G88" i="2"/>
  <c r="C156" i="4" s="1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C184" i="4"/>
  <c r="H184" i="4"/>
  <c r="C183" i="4"/>
  <c r="H183" i="4"/>
  <c r="C182" i="4"/>
  <c r="H182" i="4"/>
  <c r="C181" i="4"/>
  <c r="H181" i="4"/>
  <c r="C180" i="4"/>
  <c r="H180" i="4"/>
  <c r="C179" i="4"/>
  <c r="H179" i="4"/>
  <c r="C178" i="4"/>
  <c r="H178" i="4"/>
  <c r="C177" i="4"/>
  <c r="H177" i="4"/>
  <c r="C176" i="4"/>
  <c r="H176" i="4"/>
  <c r="C175" i="4"/>
  <c r="H175" i="4"/>
  <c r="C174" i="4"/>
  <c r="H174" i="4"/>
  <c r="C173" i="4"/>
  <c r="H173" i="4"/>
  <c r="C172" i="4"/>
  <c r="H172" i="4"/>
  <c r="C171" i="4"/>
  <c r="H171" i="4"/>
  <c r="C170" i="4"/>
  <c r="H170" i="4"/>
  <c r="C169" i="4"/>
  <c r="H169" i="4"/>
  <c r="C168" i="4"/>
  <c r="H168" i="4"/>
  <c r="C167" i="4"/>
  <c r="H167" i="4"/>
  <c r="C166" i="4"/>
  <c r="H166" i="4"/>
  <c r="C165" i="4"/>
  <c r="H165" i="4"/>
  <c r="C164" i="4"/>
  <c r="H164" i="4"/>
  <c r="C163" i="4"/>
  <c r="H163" i="4"/>
  <c r="C162" i="4"/>
  <c r="H162" i="4"/>
  <c r="C161" i="4"/>
  <c r="H161" i="4"/>
  <c r="C160" i="4"/>
  <c r="H160" i="4"/>
  <c r="C159" i="4"/>
  <c r="H159" i="4"/>
  <c r="C158" i="4"/>
  <c r="H158" i="4"/>
  <c r="C157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C144" i="4"/>
  <c r="H144" i="4"/>
  <c r="C143" i="4"/>
  <c r="H143" i="4"/>
  <c r="C142" i="4"/>
  <c r="H142" i="4"/>
  <c r="C141" i="4"/>
  <c r="H141" i="4"/>
  <c r="C140" i="4"/>
  <c r="H140" i="4"/>
  <c r="C139" i="4"/>
  <c r="H139" i="4"/>
  <c r="C138" i="4"/>
  <c r="H138" i="4"/>
  <c r="C137" i="4"/>
  <c r="H137" i="4"/>
  <c r="C136" i="4"/>
  <c r="H136" i="4"/>
  <c r="C135" i="4"/>
  <c r="H135" i="4"/>
  <c r="C134" i="4"/>
  <c r="H134" i="4"/>
  <c r="H133" i="4"/>
  <c r="H132" i="4"/>
  <c r="H131" i="4"/>
  <c r="C130" i="4"/>
  <c r="H130" i="4"/>
  <c r="C129" i="4"/>
  <c r="H129" i="4"/>
  <c r="C128" i="4"/>
  <c r="H128" i="4"/>
  <c r="C127" i="4"/>
  <c r="H127" i="4"/>
  <c r="C126" i="4"/>
  <c r="H126" i="4"/>
  <c r="C125" i="4"/>
  <c r="H125" i="4"/>
  <c r="C124" i="4"/>
  <c r="H124" i="4"/>
  <c r="C123" i="4"/>
  <c r="H123" i="4"/>
  <c r="C122" i="4"/>
  <c r="H122" i="4"/>
  <c r="C121" i="4"/>
  <c r="H121" i="4"/>
  <c r="C120" i="4"/>
  <c r="H120" i="4"/>
  <c r="C119" i="4"/>
  <c r="H119" i="4"/>
  <c r="C118" i="4"/>
  <c r="H118" i="4"/>
  <c r="C117" i="4"/>
  <c r="H117" i="4"/>
  <c r="C116" i="4"/>
  <c r="H116" i="4"/>
  <c r="C115" i="4"/>
  <c r="H115" i="4"/>
  <c r="C114" i="4"/>
  <c r="H114" i="4"/>
  <c r="H113" i="4"/>
  <c r="H112" i="4"/>
  <c r="H111" i="4"/>
  <c r="C110" i="4"/>
  <c r="H110" i="4"/>
  <c r="C109" i="4"/>
  <c r="H109" i="4"/>
  <c r="C108" i="4"/>
  <c r="H108" i="4"/>
  <c r="C107" i="4"/>
  <c r="H107" i="4"/>
  <c r="H106" i="4"/>
  <c r="H105" i="4"/>
  <c r="H104" i="4"/>
  <c r="H103" i="4"/>
  <c r="C102" i="4"/>
  <c r="H102" i="4"/>
  <c r="C101" i="4"/>
  <c r="H101" i="4"/>
  <c r="C100" i="4"/>
  <c r="H100" i="4"/>
  <c r="C99" i="4"/>
  <c r="H99" i="4"/>
  <c r="C98" i="4"/>
  <c r="H98" i="4"/>
  <c r="C97" i="4"/>
  <c r="H97" i="4"/>
  <c r="C96" i="4"/>
  <c r="H96" i="4"/>
  <c r="C95" i="4"/>
  <c r="H95" i="4"/>
  <c r="C94" i="4"/>
  <c r="H94" i="4"/>
  <c r="C93" i="4"/>
  <c r="H93" i="4"/>
  <c r="C92" i="4"/>
  <c r="H92" i="4"/>
  <c r="C91" i="4"/>
  <c r="H91" i="4"/>
  <c r="C90" i="4"/>
  <c r="H90" i="4"/>
  <c r="C89" i="4"/>
  <c r="H89" i="4"/>
  <c r="C88" i="4"/>
  <c r="H88" i="4"/>
  <c r="C87" i="4"/>
  <c r="H87" i="4"/>
  <c r="C86" i="4"/>
  <c r="H86" i="4"/>
  <c r="C85" i="4"/>
  <c r="H85" i="4"/>
  <c r="C84" i="4"/>
  <c r="H84" i="4"/>
  <c r="C83" i="4"/>
  <c r="H83" i="4"/>
  <c r="C82" i="4"/>
  <c r="H82" i="4"/>
  <c r="C81" i="4"/>
  <c r="H81" i="4"/>
  <c r="C80" i="4"/>
  <c r="H80" i="4"/>
  <c r="H79" i="4"/>
  <c r="H78" i="4"/>
  <c r="H77" i="4"/>
  <c r="C76" i="4"/>
  <c r="H76" i="4"/>
  <c r="C75" i="4"/>
  <c r="H75" i="4"/>
  <c r="C74" i="4"/>
  <c r="H74" i="4"/>
  <c r="C73" i="4"/>
  <c r="H73" i="4"/>
  <c r="C72" i="4"/>
  <c r="H72" i="4"/>
  <c r="C71" i="4"/>
  <c r="H71" i="4"/>
  <c r="C70" i="4"/>
  <c r="H70" i="4"/>
  <c r="C69" i="4"/>
  <c r="H69" i="4"/>
  <c r="C68" i="4"/>
  <c r="H68" i="4"/>
  <c r="C67" i="4"/>
  <c r="H67" i="4"/>
  <c r="C66" i="4"/>
  <c r="H66" i="4"/>
  <c r="C65" i="4"/>
  <c r="H65" i="4"/>
  <c r="C64" i="4"/>
  <c r="H64" i="4"/>
  <c r="C63" i="4"/>
  <c r="H63" i="4"/>
  <c r="C62" i="4"/>
  <c r="H62" i="4"/>
  <c r="C61" i="4"/>
  <c r="H61" i="4"/>
  <c r="C60" i="4"/>
  <c r="H60" i="4"/>
  <c r="C59" i="4"/>
  <c r="H59" i="4"/>
  <c r="C58" i="4"/>
  <c r="H58" i="4"/>
  <c r="C57" i="4"/>
  <c r="H57" i="4"/>
  <c r="C56" i="4"/>
  <c r="H56" i="4"/>
  <c r="C55" i="4"/>
  <c r="H55" i="4"/>
  <c r="C54" i="4"/>
  <c r="H54" i="4"/>
  <c r="C53" i="4"/>
  <c r="H53" i="4"/>
  <c r="C52" i="4"/>
  <c r="H52" i="4"/>
  <c r="C51" i="4"/>
  <c r="H51" i="4"/>
  <c r="C50" i="4"/>
  <c r="H50" i="4"/>
  <c r="C49" i="4"/>
  <c r="H49" i="4"/>
  <c r="C48" i="4"/>
  <c r="H48" i="4"/>
  <c r="C47" i="4"/>
  <c r="H47" i="4"/>
  <c r="C46" i="4"/>
  <c r="H46" i="4"/>
  <c r="C45" i="4"/>
  <c r="H45" i="4"/>
  <c r="C44" i="4"/>
  <c r="H44" i="4"/>
  <c r="C43" i="4"/>
  <c r="H43" i="4"/>
  <c r="C42" i="4"/>
  <c r="H42" i="4"/>
  <c r="C41" i="4"/>
  <c r="H41" i="4"/>
  <c r="C40" i="4"/>
  <c r="H40" i="4"/>
  <c r="C39" i="4"/>
  <c r="H39" i="4"/>
  <c r="C38" i="4"/>
  <c r="H38" i="4"/>
  <c r="C37" i="4"/>
  <c r="H37" i="4"/>
  <c r="C36" i="4"/>
  <c r="H36" i="4"/>
  <c r="C35" i="4"/>
  <c r="H35" i="4"/>
  <c r="C34" i="4"/>
  <c r="H34" i="4"/>
  <c r="C33" i="4"/>
  <c r="H33" i="4"/>
  <c r="C32" i="4"/>
  <c r="H32" i="4"/>
  <c r="C31" i="4"/>
  <c r="H31" i="4"/>
  <c r="C30" i="4"/>
  <c r="H30" i="4"/>
  <c r="C29" i="4"/>
  <c r="H29" i="4"/>
  <c r="C28" i="4"/>
  <c r="H28" i="4"/>
  <c r="C27" i="4"/>
  <c r="H27" i="4"/>
  <c r="C26" i="4"/>
  <c r="H26" i="4"/>
  <c r="C25" i="4"/>
  <c r="H25" i="4"/>
  <c r="C24" i="4"/>
  <c r="H24" i="4"/>
  <c r="C23" i="4"/>
  <c r="H23" i="4"/>
  <c r="C22" i="4"/>
  <c r="H22" i="4"/>
  <c r="C21" i="4"/>
  <c r="H21" i="4"/>
  <c r="C20" i="4"/>
  <c r="H20" i="4"/>
  <c r="C2" i="4"/>
  <c r="C3" i="4"/>
  <c r="C6" i="4"/>
  <c r="C11" i="4"/>
  <c r="C12" i="4"/>
  <c r="C14" i="4"/>
  <c r="C15" i="4"/>
  <c r="C16" i="4"/>
  <c r="C17" i="4"/>
  <c r="C18" i="4"/>
  <c r="C19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C152" i="4" l="1"/>
  <c r="C148" i="4"/>
  <c r="C149" i="4"/>
  <c r="C150" i="4"/>
  <c r="C151" i="4"/>
  <c r="C145" i="4"/>
  <c r="C153" i="4"/>
  <c r="C104" i="4"/>
  <c r="C105" i="4"/>
  <c r="C10" i="4"/>
  <c r="C9" i="4"/>
  <c r="C8" i="4"/>
  <c r="C7" i="4"/>
  <c r="C5" i="4"/>
  <c r="C4" i="4"/>
  <c r="C79" i="4"/>
  <c r="C111" i="4"/>
  <c r="C77" i="4"/>
  <c r="C154" i="4"/>
  <c r="C155" i="4"/>
  <c r="C132" i="4"/>
</calcChain>
</file>

<file path=xl/sharedStrings.xml><?xml version="1.0" encoding="utf-8"?>
<sst xmlns="http://schemas.openxmlformats.org/spreadsheetml/2006/main" count="1370" uniqueCount="506">
  <si>
    <t>El Carmen</t>
  </si>
  <si>
    <t>Atuncela</t>
  </si>
  <si>
    <t>Borrero Ayerbe</t>
  </si>
  <si>
    <t>ID</t>
  </si>
  <si>
    <t>Corregimiento</t>
  </si>
  <si>
    <t>Veredas</t>
  </si>
  <si>
    <t>Area_km2</t>
  </si>
  <si>
    <t>Puerto Dagua</t>
  </si>
  <si>
    <t>292,13</t>
  </si>
  <si>
    <t>Km 26, Ambichinte, Pueblo Nuevo, El Vergel, Km 28, Agua Sucia, El Crucero, La Zulia y El Descanso</t>
  </si>
  <si>
    <t>204,95</t>
  </si>
  <si>
    <t>Cisneros</t>
  </si>
  <si>
    <t>La Guinea Baja y La Guinea Alta</t>
  </si>
  <si>
    <t>79,65</t>
  </si>
  <si>
    <t>La Clorinda, Las Tórtolas, Loma Linda, El Galpón y Bahondo</t>
  </si>
  <si>
    <t>367,07</t>
  </si>
  <si>
    <t>El Danubio</t>
  </si>
  <si>
    <t>Km 81 y Los Monos</t>
  </si>
  <si>
    <t>481,96</t>
  </si>
  <si>
    <t>El Limonar</t>
  </si>
  <si>
    <t>El Chilcal, Monterredondo, Honduras, El Tablazo, Consuegra, La Soledad y Junticas</t>
  </si>
  <si>
    <t>322,32</t>
  </si>
  <si>
    <t>El Naranjo</t>
  </si>
  <si>
    <t>La Reina, Peñas Gordas, La Victoria y Galeras</t>
  </si>
  <si>
    <t>112,25</t>
  </si>
  <si>
    <t>El Palmar</t>
  </si>
  <si>
    <t>Las Brisas, La Colonia, Centella, Puerto Cosson, Yerbabuena, La Virgen, La Pulida y Palo Alto</t>
  </si>
  <si>
    <t>274,05</t>
  </si>
  <si>
    <t>El Pinal</t>
  </si>
  <si>
    <t>Bolivia, Manantiales y El Zapote</t>
  </si>
  <si>
    <t>408,85</t>
  </si>
  <si>
    <t>El Queremal</t>
  </si>
  <si>
    <t>Las Camellas, La Rosita, Machado, El Almorzadero, El Tigre, Sendo, Potrerillo y Paraguitas</t>
  </si>
  <si>
    <t>979,1</t>
  </si>
  <si>
    <t>El Rucio</t>
  </si>
  <si>
    <t>La Samaria, Vista Hermosa y La Floresta</t>
  </si>
  <si>
    <t>276,9</t>
  </si>
  <si>
    <t>El Salado</t>
  </si>
  <si>
    <t>Piedra Pintada, San Antonio, El Aguacate y El Porvenir</t>
  </si>
  <si>
    <t>Jiguales</t>
  </si>
  <si>
    <t>135,52</t>
  </si>
  <si>
    <t>Juntas</t>
  </si>
  <si>
    <t>La Puerta, San Cristóbal, La Cedrera, La Siria y Sombrerillos</t>
  </si>
  <si>
    <t>416,5</t>
  </si>
  <si>
    <t>Kilómetro 18</t>
  </si>
  <si>
    <t>60,75</t>
  </si>
  <si>
    <t>La Cascada</t>
  </si>
  <si>
    <t>El Placer, La Mona y El Cauchal</t>
  </si>
  <si>
    <t>298,21</t>
  </si>
  <si>
    <t>La Elsa</t>
  </si>
  <si>
    <t>El Engano, Río Blanco, El Digua y Las Curvas</t>
  </si>
  <si>
    <t>1.244,6</t>
  </si>
  <si>
    <t>Loboguerrero</t>
  </si>
  <si>
    <t>La Yolomba y La Chapa</t>
  </si>
  <si>
    <t>286,8</t>
  </si>
  <si>
    <t>Los Alpes</t>
  </si>
  <si>
    <t>La Garza, Amapola, El Rosal y La Virgen</t>
  </si>
  <si>
    <t>234,7</t>
  </si>
  <si>
    <t>Los Cristales</t>
  </si>
  <si>
    <t>Tolda Seca, Vega Grande, Pepitas y El Hormiguero</t>
  </si>
  <si>
    <t>538,4</t>
  </si>
  <si>
    <t>Providencia</t>
  </si>
  <si>
    <t>La Esmeralda</t>
  </si>
  <si>
    <t>803,7</t>
  </si>
  <si>
    <t>San Bernardo</t>
  </si>
  <si>
    <t>El Jordán, El Jordancito, San Miguel, El Triunfo, El Diviso, Loma Alta, La Tigra, Ben Hur, San Luis y Tocotá</t>
  </si>
  <si>
    <t>338,27</t>
  </si>
  <si>
    <t>San Vicente</t>
  </si>
  <si>
    <t>El Pajal y San Joaquín</t>
  </si>
  <si>
    <t>457,72</t>
  </si>
  <si>
    <t>Santa María</t>
  </si>
  <si>
    <t>Siempreviva, Cerro Azul y Anegas</t>
  </si>
  <si>
    <t>320,41</t>
  </si>
  <si>
    <t>Villahermosa</t>
  </si>
  <si>
    <t>La Esperanza, Las Camelias- K. 95 y Las Delicias</t>
  </si>
  <si>
    <t>126,57</t>
  </si>
  <si>
    <t>Zabaletas</t>
  </si>
  <si>
    <t>Carrisales, Bella Vista, El Trapiche y La Velmira</t>
  </si>
  <si>
    <t>188,79</t>
  </si>
  <si>
    <t>Zelandia</t>
  </si>
  <si>
    <t>Aguas Lindas</t>
  </si>
  <si>
    <t>N° FACTURA</t>
  </si>
  <si>
    <t>FECHA</t>
  </si>
  <si>
    <t>TIPO FACTURA</t>
  </si>
  <si>
    <t>CLIENTE</t>
  </si>
  <si>
    <t>LUGAR ENVÍO</t>
  </si>
  <si>
    <t>DISTANCIA (km)</t>
  </si>
  <si>
    <t>PESO EST. (kg)</t>
  </si>
  <si>
    <t>Numero de Transportes</t>
  </si>
  <si>
    <t>VLR. TRANSPORTE</t>
  </si>
  <si>
    <t>VLR. TOTAL FACT.</t>
  </si>
  <si>
    <t>VLR. PRODUCTOS</t>
  </si>
  <si>
    <t>Local/Tercero (1/0)</t>
  </si>
  <si>
    <t>FORMA PAGO</t>
  </si>
  <si>
    <t>sai</t>
  </si>
  <si>
    <t>oscar narvaes</t>
  </si>
  <si>
    <t>coscorron</t>
  </si>
  <si>
    <t>transferencia</t>
  </si>
  <si>
    <t>sonia mendez</t>
  </si>
  <si>
    <t>gladis jordan</t>
  </si>
  <si>
    <t>palo alto</t>
  </si>
  <si>
    <t>efectivo</t>
  </si>
  <si>
    <t>manual</t>
  </si>
  <si>
    <t>jhon cruz</t>
  </si>
  <si>
    <t>parque</t>
  </si>
  <si>
    <t>joan solarte</t>
  </si>
  <si>
    <t>altos del carmen</t>
  </si>
  <si>
    <t>wilson marin</t>
  </si>
  <si>
    <t>el carmelo</t>
  </si>
  <si>
    <t>3,5</t>
  </si>
  <si>
    <t>diego zuluaga</t>
  </si>
  <si>
    <t>pirineos</t>
  </si>
  <si>
    <t>carlos gawes</t>
  </si>
  <si>
    <t>salado</t>
  </si>
  <si>
    <t>mauricio</t>
  </si>
  <si>
    <t>la zulia 2</t>
  </si>
  <si>
    <t>2,5</t>
  </si>
  <si>
    <t>transferenica</t>
  </si>
  <si>
    <t>eliana jareamillo</t>
  </si>
  <si>
    <t>monterrico</t>
  </si>
  <si>
    <t>10,2</t>
  </si>
  <si>
    <t>trasferencia</t>
  </si>
  <si>
    <t>NA</t>
  </si>
  <si>
    <t>brayan castrillo</t>
  </si>
  <si>
    <t>km 26</t>
  </si>
  <si>
    <t>isabel castaño</t>
  </si>
  <si>
    <t>villa del toro</t>
  </si>
  <si>
    <t>tarjeta</t>
  </si>
  <si>
    <t>telenec</t>
  </si>
  <si>
    <t>la florida</t>
  </si>
  <si>
    <t>alfonso ortega</t>
  </si>
  <si>
    <t>cositas ricas</t>
  </si>
  <si>
    <t>oscar quiñonez</t>
  </si>
  <si>
    <t>vicente</t>
  </si>
  <si>
    <t>km 24</t>
  </si>
  <si>
    <t>sandra palomino</t>
  </si>
  <si>
    <t>km 34</t>
  </si>
  <si>
    <t>juan barado</t>
  </si>
  <si>
    <t>el salado</t>
  </si>
  <si>
    <t>diego sarria</t>
  </si>
  <si>
    <t>ambichinte</t>
  </si>
  <si>
    <t>soraya</t>
  </si>
  <si>
    <t>la recta</t>
  </si>
  <si>
    <t>viviana</t>
  </si>
  <si>
    <t>villas del carmen</t>
  </si>
  <si>
    <t>21/1125</t>
  </si>
  <si>
    <t>monica pastrana</t>
  </si>
  <si>
    <t>mirna pesquen</t>
  </si>
  <si>
    <t>mario duran</t>
  </si>
  <si>
    <t>felipe mina</t>
  </si>
  <si>
    <t>julio daza</t>
  </si>
  <si>
    <t>las tortolas</t>
  </si>
  <si>
    <t>4,3</t>
  </si>
  <si>
    <t>stiven torres</t>
  </si>
  <si>
    <t>ferreteria el palmar</t>
  </si>
  <si>
    <t>el parmar</t>
  </si>
  <si>
    <t>antonio jimenes</t>
  </si>
  <si>
    <t>juan solarte</t>
  </si>
  <si>
    <t>fernando ceballo</t>
  </si>
  <si>
    <t>cesar</t>
  </si>
  <si>
    <t>la cristalina</t>
  </si>
  <si>
    <t>mireya lopez</t>
  </si>
  <si>
    <t>san miguel</t>
  </si>
  <si>
    <t>sebastian</t>
  </si>
  <si>
    <t>fabian</t>
  </si>
  <si>
    <t>limonar</t>
  </si>
  <si>
    <t>5,5</t>
  </si>
  <si>
    <t>victor</t>
  </si>
  <si>
    <t>salida al carmen</t>
  </si>
  <si>
    <t>jose correa</t>
  </si>
  <si>
    <t>tierras blancas</t>
  </si>
  <si>
    <t>mario camacho</t>
  </si>
  <si>
    <t>ade</t>
  </si>
  <si>
    <t>oscar osorio</t>
  </si>
  <si>
    <t>bomberos</t>
  </si>
  <si>
    <t>doris villarriaga</t>
  </si>
  <si>
    <t>san fernando</t>
  </si>
  <si>
    <t>luis enrique</t>
  </si>
  <si>
    <t>el diviso</t>
  </si>
  <si>
    <t>9,5</t>
  </si>
  <si>
    <t>claudia hurtado</t>
  </si>
  <si>
    <t>jhon jairo</t>
  </si>
  <si>
    <t>KM 34</t>
  </si>
  <si>
    <t>VLR. TRANSPORTE C/U</t>
  </si>
  <si>
    <t>miriam gomez</t>
  </si>
  <si>
    <t>mirador</t>
  </si>
  <si>
    <t>katherine</t>
  </si>
  <si>
    <t>villa emilia</t>
  </si>
  <si>
    <t>robinson</t>
  </si>
  <si>
    <t>la cancha</t>
  </si>
  <si>
    <t>carlos arturo</t>
  </si>
  <si>
    <t>agua sucia</t>
  </si>
  <si>
    <t>2,1</t>
  </si>
  <si>
    <t>$4.564.800</t>
  </si>
  <si>
    <t>$4.204.800</t>
  </si>
  <si>
    <t>doris aice</t>
  </si>
  <si>
    <t>km 25</t>
  </si>
  <si>
    <t>sergio bautista</t>
  </si>
  <si>
    <t>pa la chingada</t>
  </si>
  <si>
    <t>eduardo olaus</t>
  </si>
  <si>
    <t>tocota finca</t>
  </si>
  <si>
    <t>9,6</t>
  </si>
  <si>
    <t>na</t>
  </si>
  <si>
    <t>martha rosero</t>
  </si>
  <si>
    <t>$1.915.000</t>
  </si>
  <si>
    <t>$1.595.000</t>
  </si>
  <si>
    <t>angui rengifo</t>
  </si>
  <si>
    <t>bahondo</t>
  </si>
  <si>
    <t>4,5</t>
  </si>
  <si>
    <t>jaime hemera</t>
  </si>
  <si>
    <t>km 37 x fegaso</t>
  </si>
  <si>
    <t>$1.784.000</t>
  </si>
  <si>
    <t>$1.504.000</t>
  </si>
  <si>
    <t>jose giraldo</t>
  </si>
  <si>
    <t>carlos montes</t>
  </si>
  <si>
    <t>alberto nieto</t>
  </si>
  <si>
    <t>la clorinda</t>
  </si>
  <si>
    <t>3,4</t>
  </si>
  <si>
    <t>rojas</t>
  </si>
  <si>
    <t>$1.393.600</t>
  </si>
  <si>
    <t>$1.363.600</t>
  </si>
  <si>
    <t>jhon nañez</t>
  </si>
  <si>
    <t>el palmar</t>
  </si>
  <si>
    <t>ibette</t>
  </si>
  <si>
    <t>monte rico</t>
  </si>
  <si>
    <t>guillermo</t>
  </si>
  <si>
    <t>jose londoño</t>
  </si>
  <si>
    <t>vasquez</t>
  </si>
  <si>
    <t>alto de las tortolas</t>
  </si>
  <si>
    <t>luis montes</t>
  </si>
  <si>
    <t>bosque detras clinica</t>
  </si>
  <si>
    <t>4,4</t>
  </si>
  <si>
    <t>jaime reyes</t>
  </si>
  <si>
    <t>tortolas</t>
  </si>
  <si>
    <t>4,8</t>
  </si>
  <si>
    <t>esperanza ortega</t>
  </si>
  <si>
    <t>el carmen</t>
  </si>
  <si>
    <t>alberto</t>
  </si>
  <si>
    <t>diviso vereda</t>
  </si>
  <si>
    <t>7,5</t>
  </si>
  <si>
    <t>sandra</t>
  </si>
  <si>
    <t>casa verde</t>
  </si>
  <si>
    <t>elizabeth</t>
  </si>
  <si>
    <t>raul castillo</t>
  </si>
  <si>
    <t>las villas el carmen</t>
  </si>
  <si>
    <t>jhonatan rengifo</t>
  </si>
  <si>
    <t>mauricio rojas</t>
  </si>
  <si>
    <t>alba lucia</t>
  </si>
  <si>
    <t>la zulia 3</t>
  </si>
  <si>
    <t>2,7</t>
  </si>
  <si>
    <t>monte redondo</t>
  </si>
  <si>
    <t>1,2</t>
  </si>
  <si>
    <t>maria victoria</t>
  </si>
  <si>
    <t>angelica camacho</t>
  </si>
  <si>
    <t>la zulia el 2</t>
  </si>
  <si>
    <t>3,2</t>
  </si>
  <si>
    <t>$1.940.400</t>
  </si>
  <si>
    <t>$1.910.400</t>
  </si>
  <si>
    <t>ansisar</t>
  </si>
  <si>
    <t>omar lozano</t>
  </si>
  <si>
    <t>jhon alex</t>
  </si>
  <si>
    <t>maria del carmen</t>
  </si>
  <si>
    <t>Martha Lucia Noreña</t>
  </si>
  <si>
    <t>la zulia et1</t>
  </si>
  <si>
    <t>Maria Amparo Aula</t>
  </si>
  <si>
    <t>el bosque</t>
  </si>
  <si>
    <t>Elizabeth Perlaza</t>
  </si>
  <si>
    <t>chipre finca</t>
  </si>
  <si>
    <t>$2.479.900</t>
  </si>
  <si>
    <t>$2.279.900</t>
  </si>
  <si>
    <t>Transferencia</t>
  </si>
  <si>
    <t>Carlos Torres</t>
  </si>
  <si>
    <t>el coscorron</t>
  </si>
  <si>
    <t>Tarjeta</t>
  </si>
  <si>
    <t>Guerardo Hernandez</t>
  </si>
  <si>
    <t>Fundación Shekina</t>
  </si>
  <si>
    <t>$1.605.000</t>
  </si>
  <si>
    <t>$1.485.000</t>
  </si>
  <si>
    <t>Guillermo Lozada</t>
  </si>
  <si>
    <t>Fidel Charria</t>
  </si>
  <si>
    <t>Nicolas Caicedo</t>
  </si>
  <si>
    <t>$1.630.800</t>
  </si>
  <si>
    <t>$1.570.800</t>
  </si>
  <si>
    <t>Sandra Viviana</t>
  </si>
  <si>
    <t>los bomberos</t>
  </si>
  <si>
    <t>$1.794.500</t>
  </si>
  <si>
    <t>$1.744.500</t>
  </si>
  <si>
    <t>2,2</t>
  </si>
  <si>
    <t>el queremal</t>
  </si>
  <si>
    <t>16,3</t>
  </si>
  <si>
    <t>$3.032.800</t>
  </si>
  <si>
    <t>$2.952.800</t>
  </si>
  <si>
    <t>Ismael Grao</t>
  </si>
  <si>
    <t>Tania Duque</t>
  </si>
  <si>
    <t>finca la cabaña</t>
  </si>
  <si>
    <t>Julio Daza</t>
  </si>
  <si>
    <t>$1.045.000</t>
  </si>
  <si>
    <t>la bomba</t>
  </si>
  <si>
    <t>$1.486.900</t>
  </si>
  <si>
    <t>$1.456.900</t>
  </si>
  <si>
    <t>Jose Gonzalez</t>
  </si>
  <si>
    <t>Oscar Narvaez</t>
  </si>
  <si>
    <t>el coscoron</t>
  </si>
  <si>
    <t>$1.435.000</t>
  </si>
  <si>
    <t>tocota</t>
  </si>
  <si>
    <t>7,8</t>
  </si>
  <si>
    <t>$1.479.400</t>
  </si>
  <si>
    <t>$1.419.400</t>
  </si>
  <si>
    <t>$1.044.500</t>
  </si>
  <si>
    <t>Multiples</t>
  </si>
  <si>
    <t>Viviana</t>
  </si>
  <si>
    <t>las villas del carmen</t>
  </si>
  <si>
    <t>Gustavo Chaux</t>
  </si>
  <si>
    <t>Monica Pastrana</t>
  </si>
  <si>
    <t>san jose del salado</t>
  </si>
  <si>
    <t>8,22</t>
  </si>
  <si>
    <t>$1.343.900</t>
  </si>
  <si>
    <t>$1.273.900</t>
  </si>
  <si>
    <t>Carlos Arturo</t>
  </si>
  <si>
    <t>$1.459.500</t>
  </si>
  <si>
    <t>$1.419.500</t>
  </si>
  <si>
    <t>Maria Del Carmen Astorquiza</t>
  </si>
  <si>
    <t>Kimios Cali Joyeria</t>
  </si>
  <si>
    <t>altos del Carmen</t>
  </si>
  <si>
    <t>3,7</t>
  </si>
  <si>
    <t>$1.130.700</t>
  </si>
  <si>
    <t>$1.080.700</t>
  </si>
  <si>
    <t>Jhoan</t>
  </si>
  <si>
    <t>el chirinquito</t>
  </si>
  <si>
    <t>Sandra Palomino</t>
  </si>
  <si>
    <t>Ferney Bernal</t>
  </si>
  <si>
    <t>azul y verde</t>
  </si>
  <si>
    <t>Jose Tuan</t>
  </si>
  <si>
    <t>William Moreno</t>
  </si>
  <si>
    <t>KM 34 Higuiales</t>
  </si>
  <si>
    <t>Aleyda Martinez</t>
  </si>
  <si>
    <t>$1.480.000</t>
  </si>
  <si>
    <t>$1.440.000</t>
  </si>
  <si>
    <t>Mirna Yesquen</t>
  </si>
  <si>
    <t>Jose Murillo</t>
  </si>
  <si>
    <t>$1.186.000</t>
  </si>
  <si>
    <t>$1.126.000</t>
  </si>
  <si>
    <t>Yeferson Gil</t>
  </si>
  <si>
    <t>Carlos Ortega</t>
  </si>
  <si>
    <t>$1.699.000</t>
  </si>
  <si>
    <t>$1.659.000</t>
  </si>
  <si>
    <t>Oscar Osorio</t>
  </si>
  <si>
    <t>Martha Rosero</t>
  </si>
  <si>
    <t>$1.704.900</t>
  </si>
  <si>
    <t>$1.544.900</t>
  </si>
  <si>
    <t>Sebastian Barragan</t>
  </si>
  <si>
    <t>el mirador</t>
  </si>
  <si>
    <t>las palmas</t>
  </si>
  <si>
    <t>Everardo Hernandez</t>
  </si>
  <si>
    <t>tania duque</t>
  </si>
  <si>
    <t>Distancia KM</t>
  </si>
  <si>
    <t>Articulo</t>
  </si>
  <si>
    <t>Codos 1/2 presion</t>
  </si>
  <si>
    <t>Vr unit</t>
  </si>
  <si>
    <t>Cant</t>
  </si>
  <si>
    <t>Vr. Total</t>
  </si>
  <si>
    <t>ID Producto</t>
  </si>
  <si>
    <t>Tee 1/2 presion</t>
  </si>
  <si>
    <t>Union 1/2 presion</t>
  </si>
  <si>
    <t>Semicodo 1/2 presion</t>
  </si>
  <si>
    <t>A.macho 1/2 presion</t>
  </si>
  <si>
    <t>Codos 1/2 Cpuc</t>
  </si>
  <si>
    <t>Tee 1/2 Cpuc</t>
  </si>
  <si>
    <t>Union 1/2 Cpuc</t>
  </si>
  <si>
    <t>Semicodo 1/2 Cpuc</t>
  </si>
  <si>
    <t>Tubo 1/2 Cpuc</t>
  </si>
  <si>
    <t>Codo salvanizado</t>
  </si>
  <si>
    <t>Cinta teflon peq.</t>
  </si>
  <si>
    <t>Soldadura Cpuc</t>
  </si>
  <si>
    <t>Soldadura puc(verde)</t>
  </si>
  <si>
    <t>Tubo conduitc 1/2 f</t>
  </si>
  <si>
    <t>B. Cemento Argos</t>
  </si>
  <si>
    <t>Corregimiento de envio</t>
  </si>
  <si>
    <t>Samuel Calle</t>
  </si>
  <si>
    <t xml:space="preserve">Balastro </t>
  </si>
  <si>
    <t>Costales arena</t>
  </si>
  <si>
    <t>Sulfato de aluminio</t>
  </si>
  <si>
    <t>Piedro Alumbre</t>
  </si>
  <si>
    <t>Cloros 91%</t>
  </si>
  <si>
    <t>Varilla corre 1/2</t>
  </si>
  <si>
    <t>Ladrillos</t>
  </si>
  <si>
    <t>Codal aluminio</t>
  </si>
  <si>
    <t>Malla electros 4mm</t>
  </si>
  <si>
    <t>Super board 6mm</t>
  </si>
  <si>
    <t>Super board 10mm</t>
  </si>
  <si>
    <t>Farol 10x20 rayado</t>
  </si>
  <si>
    <t>B. Estuco listo for</t>
  </si>
  <si>
    <t>Acronal galón</t>
  </si>
  <si>
    <t>Mt drenagruesa</t>
  </si>
  <si>
    <t>B. Cemento Marcos</t>
  </si>
  <si>
    <t>B. Pegafor *25n gris ceram</t>
  </si>
  <si>
    <t>Platina 3/4 X 3/16</t>
  </si>
  <si>
    <t>Angulo 3/4 X 1/8</t>
  </si>
  <si>
    <t>Angulo 1/a X 1/8</t>
  </si>
  <si>
    <t>Tanque 250 Lt</t>
  </si>
  <si>
    <t>Varilla corrug 1/4</t>
  </si>
  <si>
    <t>Escurridero lavaplatos Izq</t>
  </si>
  <si>
    <t>Banderolas 30x30</t>
  </si>
  <si>
    <t xml:space="preserve">   </t>
  </si>
  <si>
    <t>Laminas 595X30 Ancho</t>
  </si>
  <si>
    <t>Farol Rustico 9X18X24</t>
  </si>
  <si>
    <t>Alambre</t>
  </si>
  <si>
    <t>Varrillas corrug 3/8</t>
  </si>
  <si>
    <t>Tablas</t>
  </si>
  <si>
    <t>Lamina Panel Yeso</t>
  </si>
  <si>
    <t>Puntillas</t>
  </si>
  <si>
    <t>Cuartones 3X2</t>
  </si>
  <si>
    <t xml:space="preserve">Piedra </t>
  </si>
  <si>
    <t>B. Arena</t>
  </si>
  <si>
    <t>Broca 1/8 Lamina</t>
  </si>
  <si>
    <t>Farol Raclado</t>
  </si>
  <si>
    <t>Tubo Samt. Fino</t>
  </si>
  <si>
    <t>Union</t>
  </si>
  <si>
    <t>Codos</t>
  </si>
  <si>
    <t>Varrillas corrug 1/2</t>
  </si>
  <si>
    <t>Arena Mediana</t>
  </si>
  <si>
    <t>Alambre Negro</t>
  </si>
  <si>
    <t>Hierro 1/4</t>
  </si>
  <si>
    <t>Arena Gruesa</t>
  </si>
  <si>
    <t>Graba 1/2</t>
  </si>
  <si>
    <t>Tablon Fino</t>
  </si>
  <si>
    <t xml:space="preserve">Tabla </t>
  </si>
  <si>
    <t>Tubo Cuadra</t>
  </si>
  <si>
    <t>Tubo 3X1/2</t>
  </si>
  <si>
    <t>Teja UPUC Blanca</t>
  </si>
  <si>
    <t>Tornillo Capeble</t>
  </si>
  <si>
    <t>Canal Galvanizado</t>
  </si>
  <si>
    <t xml:space="preserve">Gancho </t>
  </si>
  <si>
    <t>Hexometro 5mt</t>
  </si>
  <si>
    <t>Hero</t>
  </si>
  <si>
    <t xml:space="preserve">Tubo galv </t>
  </si>
  <si>
    <t>Tapon Galv</t>
  </si>
  <si>
    <t>Hojilla 25X25</t>
  </si>
  <si>
    <t>Arena Fina</t>
  </si>
  <si>
    <t>Grava</t>
  </si>
  <si>
    <t xml:space="preserve">Cajas Puntillas </t>
  </si>
  <si>
    <t>Tubo Alcantarillado</t>
  </si>
  <si>
    <t>Ladrillo Limpio</t>
  </si>
  <si>
    <t>Arena</t>
  </si>
  <si>
    <t>Cal Agricola</t>
  </si>
  <si>
    <t>EXP</t>
  </si>
  <si>
    <t>Varrillas Corrug</t>
  </si>
  <si>
    <t>Lamina Blanco</t>
  </si>
  <si>
    <t>Omega</t>
  </si>
  <si>
    <t>Viqueta</t>
  </si>
  <si>
    <t>Perimetral P.paloma</t>
  </si>
  <si>
    <t>Tornillo estructura</t>
  </si>
  <si>
    <t>Tornillo cublent</t>
  </si>
  <si>
    <t>Caja Hexagonal</t>
  </si>
  <si>
    <t>Cunaleta 20X12</t>
  </si>
  <si>
    <t>Caja Sub</t>
  </si>
  <si>
    <t>Cinta Negra X18mt</t>
  </si>
  <si>
    <t>Punta Estna</t>
  </si>
  <si>
    <t>Chazo 1/4 con tornillo</t>
  </si>
  <si>
    <t>Super board 4m</t>
  </si>
  <si>
    <t>Tubos 3/4</t>
  </si>
  <si>
    <t>Curuas 3/4</t>
  </si>
  <si>
    <t>Tubos 2</t>
  </si>
  <si>
    <t>Uniones 2</t>
  </si>
  <si>
    <t>Lavadero 90X60</t>
  </si>
  <si>
    <t>Ducha electrica</t>
  </si>
  <si>
    <t>Soldadura blanca Delg</t>
  </si>
  <si>
    <t>Cuerpo Andamios</t>
  </si>
  <si>
    <t>D corte metal</t>
  </si>
  <si>
    <t>Dia Alquiler manta</t>
  </si>
  <si>
    <t>Manija</t>
  </si>
  <si>
    <t>Fluid</t>
  </si>
  <si>
    <t>Teja Importada</t>
  </si>
  <si>
    <t>Tubo 2X2 C-14</t>
  </si>
  <si>
    <t>Tubo 2X2 C-18</t>
  </si>
  <si>
    <t>TUBO 2X2C-16</t>
  </si>
  <si>
    <t>Union 3</t>
  </si>
  <si>
    <t>B. Cementos argos</t>
  </si>
  <si>
    <t>Varilla Roscurda 3/8</t>
  </si>
  <si>
    <t>Arandela 3/8</t>
  </si>
  <si>
    <t>Tuerca 3/8</t>
  </si>
  <si>
    <t>Teja Zinc imp 3mt</t>
  </si>
  <si>
    <t>Corta</t>
  </si>
  <si>
    <t>Tubo 2X1 C-16</t>
  </si>
  <si>
    <t>TUBO 4X1/2 C-16</t>
  </si>
  <si>
    <t>Teja trapet</t>
  </si>
  <si>
    <t>Tornillo techo</t>
  </si>
  <si>
    <t>Esmalte negro</t>
  </si>
  <si>
    <t>Botella Tinner</t>
  </si>
  <si>
    <t xml:space="preserve">Soldadura </t>
  </si>
  <si>
    <t>Disco Corte 7</t>
  </si>
  <si>
    <t>Angulo</t>
  </si>
  <si>
    <t>60X1/8</t>
  </si>
  <si>
    <t>Soldadura</t>
  </si>
  <si>
    <t xml:space="preserve">Tubo </t>
  </si>
  <si>
    <t>Tubo</t>
  </si>
  <si>
    <t>Anticorr</t>
  </si>
  <si>
    <t>Galon tinner</t>
  </si>
  <si>
    <t>Costal con Balasino</t>
  </si>
  <si>
    <t>Lamina Superboard</t>
  </si>
  <si>
    <t>Bastidor</t>
  </si>
  <si>
    <t>Amarras pequeñas</t>
  </si>
  <si>
    <t>Teja Azul 305</t>
  </si>
  <si>
    <t>Tela Construccion</t>
  </si>
  <si>
    <t>Brocas Lamina</t>
  </si>
  <si>
    <t>Tornillo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</si>
</sst>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rgb="FF37474F"/>
      <name val="Calibri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0"/>
      <color rgb="FF434343"/>
      <name val="Roboto"/>
    </font>
    <font>
      <b/>
      <sz val="9"/>
      <color theme="6"/>
      <name val="Aptos Display"/>
      <family val="2"/>
      <scheme val="major"/>
    </font>
    <font>
      <u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176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E0E0E0"/>
      </left>
      <right style="medium">
        <color rgb="FFE0E0E0"/>
      </right>
      <top/>
      <bottom style="medium">
        <color rgb="FFE0E0E0"/>
      </bottom>
      <diagonal/>
    </border>
    <border>
      <left style="medium">
        <color rgb="FFCCCCCC"/>
      </left>
      <right style="medium">
        <color rgb="FFE0E0E0"/>
      </right>
      <top/>
      <bottom style="medium">
        <color rgb="FFE0E0E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/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/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/>
      <top style="medium">
        <color rgb="FFCCCCCC"/>
      </top>
      <bottom style="medium">
        <color rgb="FFF6F8F9"/>
      </bottom>
      <diagonal/>
    </border>
    <border>
      <left/>
      <right style="medium">
        <color rgb="FF356854"/>
      </right>
      <top/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/>
      <bottom style="medium">
        <color rgb="FF284E3F"/>
      </bottom>
      <diagonal/>
    </border>
    <border>
      <left style="medium">
        <color rgb="FFCCCCCC"/>
      </left>
      <right/>
      <top/>
      <bottom style="medium">
        <color rgb="FF284E3F"/>
      </bottom>
      <diagonal/>
    </border>
    <border>
      <left/>
      <right style="medium">
        <color rgb="FFFFFFFF"/>
      </right>
      <top style="medium">
        <color rgb="FFCCCCCC"/>
      </top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2" fontId="0" fillId="0" borderId="0" xfId="0" applyNumberFormat="1"/>
    <xf numFmtId="0" fontId="5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14" fontId="5" fillId="0" borderId="4" xfId="0" applyNumberFormat="1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164" fontId="5" fillId="0" borderId="1" xfId="1" applyNumberFormat="1" applyFont="1" applyBorder="1" applyAlignment="1">
      <alignment horizontal="center" wrapText="1"/>
    </xf>
    <xf numFmtId="164" fontId="5" fillId="0" borderId="4" xfId="1" applyNumberFormat="1" applyFont="1" applyBorder="1" applyAlignment="1">
      <alignment horizontal="center" wrapText="1"/>
    </xf>
    <xf numFmtId="14" fontId="0" fillId="0" borderId="0" xfId="0" applyNumberFormat="1"/>
    <xf numFmtId="14" fontId="7" fillId="8" borderId="5" xfId="0" applyNumberFormat="1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vertical="center" wrapText="1"/>
    </xf>
    <xf numFmtId="8" fontId="7" fillId="8" borderId="5" xfId="0" applyNumberFormat="1" applyFont="1" applyFill="1" applyBorder="1" applyAlignment="1">
      <alignment horizontal="center" vertical="center" wrapText="1"/>
    </xf>
    <xf numFmtId="14" fontId="7" fillId="9" borderId="6" xfId="0" applyNumberFormat="1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vertical="center" wrapText="1"/>
    </xf>
    <xf numFmtId="8" fontId="7" fillId="9" borderId="6" xfId="0" applyNumberFormat="1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14" fontId="7" fillId="8" borderId="14" xfId="0" applyNumberFormat="1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vertical="center" wrapText="1"/>
    </xf>
    <xf numFmtId="8" fontId="7" fillId="8" borderId="14" xfId="0" applyNumberFormat="1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 wrapText="1"/>
    </xf>
    <xf numFmtId="44" fontId="0" fillId="0" borderId="0" xfId="1" applyFont="1"/>
    <xf numFmtId="2" fontId="0" fillId="0" borderId="0" xfId="1" applyNumberFormat="1" applyFont="1"/>
    <xf numFmtId="14" fontId="0" fillId="0" borderId="0" xfId="0" applyNumberForma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4" fontId="0" fillId="0" borderId="0" xfId="0" applyNumberFormat="1"/>
    <xf numFmtId="44" fontId="5" fillId="0" borderId="4" xfId="1" applyFont="1" applyBorder="1" applyAlignment="1">
      <alignment horizontal="center" wrapText="1"/>
    </xf>
    <xf numFmtId="0" fontId="7" fillId="11" borderId="7" xfId="0" applyFont="1" applyFill="1" applyBorder="1" applyAlignment="1">
      <alignment horizontal="center" vertical="center" wrapText="1"/>
    </xf>
    <xf numFmtId="14" fontId="7" fillId="11" borderId="5" xfId="0" applyNumberFormat="1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/>
    </xf>
    <xf numFmtId="8" fontId="7" fillId="11" borderId="5" xfId="0" applyNumberFormat="1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 wrapText="1"/>
    </xf>
    <xf numFmtId="0" fontId="0" fillId="11" borderId="0" xfId="0" applyFill="1"/>
    <xf numFmtId="0" fontId="7" fillId="11" borderId="8" xfId="0" applyFont="1" applyFill="1" applyBorder="1" applyAlignment="1">
      <alignment horizontal="center" vertical="center" wrapText="1"/>
    </xf>
    <xf numFmtId="14" fontId="7" fillId="11" borderId="6" xfId="0" applyNumberFormat="1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/>
    </xf>
    <xf numFmtId="8" fontId="7" fillId="11" borderId="6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</cellXfs>
  <cellStyles count="2">
    <cellStyle name="Moneda" xfId="1" builtinId="4"/>
    <cellStyle name="Normal" xfId="0" builtinId="0"/>
  </cellStyles>
  <dxfs count="43">
    <dxf>
      <numFmt numFmtId="19" formatCode="dd/mm/yyyy"/>
    </dxf>
    <dxf>
      <numFmt numFmtId="19" formatCode="dd/mm/yyyy"/>
    </dxf>
    <dxf>
      <numFmt numFmtId="19" formatCode="dd/mm/yyyy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2" formatCode="&quot;$&quot;#,##0.00;[Red]\-&quot;$&quot;#,##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2" formatCode="&quot;$&quot;#,##0.00;[Red]\-&quot;$&quot;#,##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2" formatCode="&quot;$&quot;#,##0.00;[Red]\-&quot;$&quot;#,##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F6F8F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284E3F"/>
        </left>
        <right style="medium">
          <color rgb="FF284E3F"/>
        </right>
        <top style="medium">
          <color rgb="FF284E3F"/>
        </top>
        <bottom style="medium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284E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none"/>
      </font>
      <fill>
        <patternFill patternType="solid">
          <fgColor indexed="64"/>
          <bgColor rgb="FF35685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rgb="FFE0E0E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6D2CAA-8448-4336-944C-AB42067B5F5F}" name="Tabla2" displayName="Tabla2" ref="A1:D28" totalsRowShown="0">
  <autoFilter ref="A1:D28" xr:uid="{7B6D2CAA-8448-4336-944C-AB42067B5F5F}"/>
  <tableColumns count="4">
    <tableColumn id="1" xr3:uid="{7F5AA5AE-32D4-404D-841B-CC4DA6CA5A77}" name="ID"/>
    <tableColumn id="2" xr3:uid="{347D8CB0-E5E9-4184-9AE4-67567B4063EE}" name="Corregimiento"/>
    <tableColumn id="3" xr3:uid="{90689221-25B1-4C18-B25B-11F649A27966}" name="Veredas"/>
    <tableColumn id="4" xr3:uid="{2CF88288-0923-445D-8F3C-B5E844BD8D89}" name="Area_km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E06D3B-21BB-4AEF-B8AF-D2EBC30403C4}" name="Tabla3" displayName="Tabla3" ref="A1:O142" totalsRowShown="0" dataDxfId="41" headerRowBorderDxfId="42" tableBorderDxfId="40" totalsRowBorderDxfId="39">
  <autoFilter ref="A1:O142" xr:uid="{E2E06D3B-21BB-4AEF-B8AF-D2EBC30403C4}">
    <filterColumn colId="6">
      <filters>
        <filter val="NA"/>
      </filters>
    </filterColumn>
  </autoFilter>
  <tableColumns count="15">
    <tableColumn id="1" xr3:uid="{A8B22617-30BB-4055-A4C5-CE0D4191E8C9}" name="N° FACTURA" dataDxfId="38"/>
    <tableColumn id="2" xr3:uid="{501573C8-6F21-4940-B952-49522B57B0AF}" name="FECHA" dataDxfId="37"/>
    <tableColumn id="3" xr3:uid="{655CF106-C513-4E41-BE06-8D9D32708A19}" name="TIPO FACTURA" dataDxfId="36"/>
    <tableColumn id="4" xr3:uid="{3E6B2EAA-3EFF-4BE4-83EB-2DA3FE50E6B0}" name="CLIENTE" dataDxfId="35"/>
    <tableColumn id="5" xr3:uid="{96C90EC8-6683-47A9-ADC6-E5695ABCD02D}" name="LUGAR ENVÍO" dataDxfId="34"/>
    <tableColumn id="15" xr3:uid="{6753E0DE-2523-49C5-A25B-AEB88594B37C}" name="ID" dataDxfId="33"/>
    <tableColumn id="14" xr3:uid="{9EB55501-3F45-491A-923A-347162E9AD47}" name="Corregimiento" dataDxfId="32">
      <calculatedColumnFormula>_xlfn.XLOOKUP(Tabla3[[#This Row],[ID]],Tabla2[ID],Tabla2[Corregimiento],"NA")</calculatedColumnFormula>
    </tableColumn>
    <tableColumn id="6" xr3:uid="{A2DAB833-3E28-4F71-BFD0-3873C01CA00F}" name="DISTANCIA (km)" dataDxfId="31"/>
    <tableColumn id="7" xr3:uid="{9948706A-C85C-4B90-A76D-2B1A227BD32F}" name="PESO EST. (kg)" dataDxfId="30"/>
    <tableColumn id="8" xr3:uid="{E65CD089-E812-44EF-9157-87E832B365EC}" name="Numero de Transportes" dataDxfId="29"/>
    <tableColumn id="9" xr3:uid="{6BFCDF3C-41A8-4196-B9A0-BEB31E1C0C25}" name="VLR. TRANSPORTE" dataDxfId="28" dataCellStyle="Moneda"/>
    <tableColumn id="10" xr3:uid="{958AADDB-2C5B-4B80-9A85-EC4E9F5458CB}" name="VLR. TOTAL FACT." dataDxfId="27" dataCellStyle="Moneda"/>
    <tableColumn id="11" xr3:uid="{A8D285CD-47A4-43AA-85D4-19EA352BD2C6}" name="VLR. PRODUCTOS" dataDxfId="26" dataCellStyle="Moneda">
      <calculatedColumnFormula>Tabla3[[#This Row],[VLR. TOTAL FACT.]]-Tabla3[[#This Row],[VLR. TRANSPORTE]]</calculatedColumnFormula>
    </tableColumn>
    <tableColumn id="12" xr3:uid="{086CC4E2-90CA-4EF1-9064-36ED8C5952FE}" name="Local/Tercero (1/0)" dataDxfId="25"/>
    <tableColumn id="13" xr3:uid="{15AECC53-562A-43E5-B5D9-830B0B490639}" name="FORMA PAGO" dataDxfId="24"/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2BE416-CB6B-47DF-9003-3531074BBE8C}" name="Diego" displayName="Diego" ref="A1:O90" totalsRowShown="0" headerRowDxfId="23" dataDxfId="21" headerRowBorderDxfId="22" tableBorderDxfId="20" totalsRowBorderDxfId="19">
  <autoFilter ref="A1:O90" xr:uid="{6D2BE416-CB6B-47DF-9003-3531074BBE8C}"/>
  <tableColumns count="15">
    <tableColumn id="1" xr3:uid="{8DF349DE-159C-4A16-B7D1-B9E6CFCF532A}" name="N° FACTURA" dataDxfId="18"/>
    <tableColumn id="2" xr3:uid="{920F4318-3AB7-4183-8279-58ED01A4F013}" name="FECHA" dataDxfId="17"/>
    <tableColumn id="3" xr3:uid="{29F62172-2B0E-440B-B897-14C78625F862}" name="TIPO FACTURA" dataDxfId="16"/>
    <tableColumn id="4" xr3:uid="{81DD9CB2-C6EB-4321-93DC-2D425618ED33}" name="CLIENTE" dataDxfId="15"/>
    <tableColumn id="5" xr3:uid="{345806E8-D572-4CB3-93D5-D9F3BDCA474E}" name="LUGAR ENVÍO" dataDxfId="14"/>
    <tableColumn id="15" xr3:uid="{3B670659-E4FD-4C54-B13B-DED7EBCB22CE}" name="ID" dataDxfId="13"/>
    <tableColumn id="14" xr3:uid="{22D0FD79-DD2A-4A32-9027-954D583BC942}" name="Corregimiento" dataDxfId="12">
      <calculatedColumnFormula>_xlfn.XLOOKUP(Diego[[#This Row],[ID]],Tabla2[ID],Tabla2[Corregimiento],"NA")</calculatedColumnFormula>
    </tableColumn>
    <tableColumn id="16" xr3:uid="{6C2B3BC9-DDDB-4336-8104-A4E9DB7B1802}" name="Distancia KM" dataDxfId="11"/>
    <tableColumn id="7" xr3:uid="{A46930D6-D37E-406A-A49A-AF60F94A3D1E}" name="PESO EST. (kg)" dataDxfId="10"/>
    <tableColumn id="8" xr3:uid="{84F1DAA0-4A01-4140-9379-B8D1D07AD74F}" name="Numero de Transportes" dataDxfId="9"/>
    <tableColumn id="9" xr3:uid="{866F0D0D-E9B2-4BC7-A751-30DB46AF129E}" name="VLR. TRANSPORTE C/U" dataDxfId="8"/>
    <tableColumn id="10" xr3:uid="{BED45EAE-1FCE-4485-870C-513EC00A2F5A}" name="VLR. TOTAL FACT." dataDxfId="7"/>
    <tableColumn id="11" xr3:uid="{53034D12-366D-48A1-8CEC-BE250A8E5E2A}" name="VLR. PRODUCTOS" dataDxfId="6"/>
    <tableColumn id="12" xr3:uid="{D0139A81-233A-44FF-BBD2-0B837A140B80}" name="Local/Tercero (1/0)" dataDxfId="5"/>
    <tableColumn id="13" xr3:uid="{764F2105-AB1C-455B-B201-AA373CEA83C6}" name="FORMA PAGO" dataDxfId="4"/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D2A581-8AAD-4BE6-B263-7826B963F97B}" name="Tabla5" displayName="Tabla5" ref="A1:H184" totalsRowShown="0" headerRowDxfId="3">
  <autoFilter ref="A1:H184" xr:uid="{59D2A581-8AAD-4BE6-B263-7826B963F97B}"/>
  <tableColumns count="8">
    <tableColumn id="1" xr3:uid="{D68BC952-8181-4800-A037-7DA06D920593}" name="N° FACTURA"/>
    <tableColumn id="2" xr3:uid="{7A10A9A2-42F0-4CBF-A233-628D58075BE8}" name="FECHA" dataDxfId="2"/>
    <tableColumn id="8" xr3:uid="{6D716F1C-062E-485B-B2E0-A6FEA020DFD3}" name="Corregimiento de envio" dataDxfId="1">
      <calculatedColumnFormula>_xlfn.XLOOKUP(Tabla5[[#This Row],[N° FACTURA]],Tabla3[N° FACTURA],Tabla3[Corregimiento],"NA")</calculatedColumnFormula>
    </tableColumn>
    <tableColumn id="3" xr3:uid="{CB0672D6-1DC2-4306-8960-CFCF7162AED7}" name="ID Producto" dataDxfId="0"/>
    <tableColumn id="4" xr3:uid="{1D576ABD-6A53-4913-890F-EF3B4368F9A5}" name="Articulo"/>
    <tableColumn id="5" xr3:uid="{53CC7A3F-E5F2-408B-99E9-A9F5A37C2AC0}" name="Vr unit" dataCellStyle="Moneda"/>
    <tableColumn id="6" xr3:uid="{F0012060-4E20-4D96-A084-85651CDA7D89}" name="Cant"/>
    <tableColumn id="7" xr3:uid="{4E729FC0-167E-46FC-88E5-B4C4BF763C3E}" name="Vr. Total" dataCellStyle="Moneda">
      <calculatedColumnFormula>F2*G2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DFAD-37B0-41B8-AE81-3BC570C698FD}">
  <dimension ref="A1:D28"/>
  <sheetViews>
    <sheetView topLeftCell="A10" workbookViewId="0">
      <selection activeCell="C28" sqref="C28"/>
    </sheetView>
  </sheetViews>
  <sheetFormatPr baseColWidth="10" defaultRowHeight="14.4" x14ac:dyDescent="0.3"/>
  <cols>
    <col min="1" max="1" width="14" customWidth="1"/>
    <col min="2" max="2" width="14.33203125" customWidth="1"/>
    <col min="3" max="3" width="83.21875" bestFit="1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>
        <v>1</v>
      </c>
      <c r="B2" t="s">
        <v>1</v>
      </c>
      <c r="C2" s="2" t="s">
        <v>7</v>
      </c>
      <c r="D2" s="2" t="s">
        <v>8</v>
      </c>
    </row>
    <row r="3" spans="1:4" x14ac:dyDescent="0.3">
      <c r="A3" s="1">
        <v>2</v>
      </c>
      <c r="B3" t="s">
        <v>2</v>
      </c>
      <c r="C3" s="2" t="s">
        <v>9</v>
      </c>
      <c r="D3" s="2" t="s">
        <v>10</v>
      </c>
    </row>
    <row r="4" spans="1:4" x14ac:dyDescent="0.3">
      <c r="A4">
        <v>3</v>
      </c>
      <c r="B4" t="s">
        <v>11</v>
      </c>
      <c r="C4" s="2" t="s">
        <v>12</v>
      </c>
      <c r="D4" s="2" t="s">
        <v>13</v>
      </c>
    </row>
    <row r="5" spans="1:4" x14ac:dyDescent="0.3">
      <c r="A5">
        <v>4</v>
      </c>
      <c r="B5" t="s">
        <v>0</v>
      </c>
      <c r="C5" t="s">
        <v>14</v>
      </c>
      <c r="D5" t="s">
        <v>15</v>
      </c>
    </row>
    <row r="6" spans="1:4" x14ac:dyDescent="0.3">
      <c r="A6">
        <v>5</v>
      </c>
      <c r="B6" t="s">
        <v>16</v>
      </c>
      <c r="C6" t="s">
        <v>17</v>
      </c>
      <c r="D6" t="s">
        <v>18</v>
      </c>
    </row>
    <row r="7" spans="1:4" x14ac:dyDescent="0.3">
      <c r="A7">
        <v>6</v>
      </c>
      <c r="B7" t="s">
        <v>19</v>
      </c>
      <c r="C7" t="s">
        <v>20</v>
      </c>
      <c r="D7" t="s">
        <v>21</v>
      </c>
    </row>
    <row r="8" spans="1:4" x14ac:dyDescent="0.3">
      <c r="A8">
        <v>7</v>
      </c>
      <c r="B8" t="s">
        <v>22</v>
      </c>
      <c r="C8" t="s">
        <v>23</v>
      </c>
      <c r="D8" t="s">
        <v>24</v>
      </c>
    </row>
    <row r="9" spans="1:4" x14ac:dyDescent="0.3">
      <c r="A9">
        <v>8</v>
      </c>
      <c r="B9" t="s">
        <v>25</v>
      </c>
      <c r="C9" t="s">
        <v>26</v>
      </c>
      <c r="D9" t="s">
        <v>27</v>
      </c>
    </row>
    <row r="10" spans="1:4" x14ac:dyDescent="0.3">
      <c r="A10">
        <v>9</v>
      </c>
      <c r="B10" t="s">
        <v>28</v>
      </c>
      <c r="C10" t="s">
        <v>29</v>
      </c>
      <c r="D10" t="s">
        <v>30</v>
      </c>
    </row>
    <row r="11" spans="1:4" x14ac:dyDescent="0.3">
      <c r="A11">
        <v>10</v>
      </c>
      <c r="B11" s="1" t="s">
        <v>31</v>
      </c>
      <c r="C11" t="s">
        <v>32</v>
      </c>
      <c r="D11" t="s">
        <v>33</v>
      </c>
    </row>
    <row r="12" spans="1:4" x14ac:dyDescent="0.3">
      <c r="A12">
        <v>11</v>
      </c>
      <c r="B12" t="s">
        <v>34</v>
      </c>
      <c r="C12" t="s">
        <v>35</v>
      </c>
      <c r="D12" t="s">
        <v>36</v>
      </c>
    </row>
    <row r="13" spans="1:4" x14ac:dyDescent="0.3">
      <c r="A13">
        <v>12</v>
      </c>
      <c r="B13" t="s">
        <v>37</v>
      </c>
      <c r="C13" t="s">
        <v>38</v>
      </c>
      <c r="D13">
        <v>195</v>
      </c>
    </row>
    <row r="14" spans="1:4" x14ac:dyDescent="0.3">
      <c r="A14">
        <v>13</v>
      </c>
      <c r="B14" t="s">
        <v>39</v>
      </c>
      <c r="D14" t="s">
        <v>40</v>
      </c>
    </row>
    <row r="15" spans="1:4" x14ac:dyDescent="0.3">
      <c r="A15">
        <v>14</v>
      </c>
      <c r="B15" t="s">
        <v>41</v>
      </c>
      <c r="C15" t="s">
        <v>42</v>
      </c>
      <c r="D15" t="s">
        <v>43</v>
      </c>
    </row>
    <row r="16" spans="1:4" x14ac:dyDescent="0.3">
      <c r="A16">
        <v>15</v>
      </c>
      <c r="B16" t="s">
        <v>44</v>
      </c>
      <c r="D16" t="s">
        <v>45</v>
      </c>
    </row>
    <row r="17" spans="1:4" x14ac:dyDescent="0.3">
      <c r="A17">
        <v>16</v>
      </c>
      <c r="B17" t="s">
        <v>46</v>
      </c>
      <c r="C17" t="s">
        <v>47</v>
      </c>
      <c r="D17" t="s">
        <v>48</v>
      </c>
    </row>
    <row r="18" spans="1:4" x14ac:dyDescent="0.3">
      <c r="A18">
        <v>17</v>
      </c>
      <c r="B18" t="s">
        <v>49</v>
      </c>
      <c r="C18" t="s">
        <v>50</v>
      </c>
      <c r="D18" t="s">
        <v>51</v>
      </c>
    </row>
    <row r="19" spans="1:4" x14ac:dyDescent="0.3">
      <c r="A19">
        <v>18</v>
      </c>
      <c r="B19" t="s">
        <v>52</v>
      </c>
      <c r="C19" t="s">
        <v>53</v>
      </c>
      <c r="D19" t="s">
        <v>54</v>
      </c>
    </row>
    <row r="20" spans="1:4" x14ac:dyDescent="0.3">
      <c r="A20">
        <v>19</v>
      </c>
      <c r="B20" t="s">
        <v>55</v>
      </c>
      <c r="C20" t="s">
        <v>56</v>
      </c>
      <c r="D20" t="s">
        <v>57</v>
      </c>
    </row>
    <row r="21" spans="1:4" x14ac:dyDescent="0.3">
      <c r="A21">
        <v>20</v>
      </c>
      <c r="B21" t="s">
        <v>58</v>
      </c>
      <c r="C21" t="s">
        <v>59</v>
      </c>
      <c r="D21" t="s">
        <v>60</v>
      </c>
    </row>
    <row r="22" spans="1:4" x14ac:dyDescent="0.3">
      <c r="A22">
        <v>21</v>
      </c>
      <c r="B22" t="s">
        <v>61</v>
      </c>
      <c r="C22" t="s">
        <v>62</v>
      </c>
      <c r="D22" t="s">
        <v>63</v>
      </c>
    </row>
    <row r="23" spans="1:4" x14ac:dyDescent="0.3">
      <c r="A23">
        <v>22</v>
      </c>
      <c r="B23" t="s">
        <v>64</v>
      </c>
      <c r="C23" t="s">
        <v>65</v>
      </c>
      <c r="D23" t="s">
        <v>66</v>
      </c>
    </row>
    <row r="24" spans="1:4" x14ac:dyDescent="0.3">
      <c r="A24">
        <v>23</v>
      </c>
      <c r="B24" t="s">
        <v>67</v>
      </c>
      <c r="C24" t="s">
        <v>68</v>
      </c>
      <c r="D24" t="s">
        <v>69</v>
      </c>
    </row>
    <row r="25" spans="1:4" x14ac:dyDescent="0.3">
      <c r="A25">
        <v>24</v>
      </c>
      <c r="B25" t="s">
        <v>70</v>
      </c>
      <c r="C25" t="s">
        <v>71</v>
      </c>
      <c r="D25" t="s">
        <v>72</v>
      </c>
    </row>
    <row r="26" spans="1:4" x14ac:dyDescent="0.3">
      <c r="A26">
        <v>25</v>
      </c>
      <c r="B26" t="s">
        <v>73</v>
      </c>
      <c r="C26" t="s">
        <v>74</v>
      </c>
      <c r="D26" t="s">
        <v>75</v>
      </c>
    </row>
    <row r="27" spans="1:4" x14ac:dyDescent="0.3">
      <c r="A27">
        <v>26</v>
      </c>
      <c r="B27" t="s">
        <v>76</v>
      </c>
      <c r="C27" t="s">
        <v>77</v>
      </c>
      <c r="D27" t="s">
        <v>78</v>
      </c>
    </row>
    <row r="28" spans="1:4" x14ac:dyDescent="0.3">
      <c r="A28">
        <v>27</v>
      </c>
      <c r="B28" t="s">
        <v>79</v>
      </c>
      <c r="C28" t="s">
        <v>80</v>
      </c>
      <c r="D28">
        <v>430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65182-19FF-45F8-B0B9-1B24AC66A01A}">
  <dimension ref="A1:O142"/>
  <sheetViews>
    <sheetView tabSelected="1" topLeftCell="A110" workbookViewId="0">
      <selection activeCell="F144" sqref="F144"/>
    </sheetView>
  </sheetViews>
  <sheetFormatPr baseColWidth="10" defaultRowHeight="14.4" x14ac:dyDescent="0.3"/>
  <cols>
    <col min="3" max="3" width="12.88671875" customWidth="1"/>
    <col min="5" max="6" width="12.44140625" customWidth="1"/>
    <col min="7" max="7" width="13.6640625" bestFit="1" customWidth="1"/>
    <col min="8" max="8" width="13.88671875" customWidth="1"/>
    <col min="9" max="9" width="12.5546875" customWidth="1"/>
    <col min="10" max="10" width="19.109375" customWidth="1"/>
    <col min="11" max="11" width="15.21875" customWidth="1"/>
    <col min="12" max="13" width="14.77734375" customWidth="1"/>
    <col min="14" max="14" width="15.88671875" customWidth="1"/>
    <col min="15" max="15" width="12.5546875" customWidth="1"/>
  </cols>
  <sheetData>
    <row r="1" spans="1:15" ht="15" thickBot="1" x14ac:dyDescent="0.35">
      <c r="A1" s="6" t="s">
        <v>81</v>
      </c>
      <c r="B1" s="7" t="s">
        <v>82</v>
      </c>
      <c r="C1" s="7" t="s">
        <v>83</v>
      </c>
      <c r="D1" s="7" t="s">
        <v>84</v>
      </c>
      <c r="E1" s="8" t="s">
        <v>85</v>
      </c>
      <c r="F1" s="8" t="s">
        <v>3</v>
      </c>
      <c r="G1" s="8" t="s">
        <v>4</v>
      </c>
      <c r="H1" s="8" t="s">
        <v>86</v>
      </c>
      <c r="I1" s="8" t="s">
        <v>87</v>
      </c>
      <c r="J1" s="9" t="s">
        <v>88</v>
      </c>
      <c r="K1" s="9" t="s">
        <v>89</v>
      </c>
      <c r="L1" s="9" t="s">
        <v>90</v>
      </c>
      <c r="M1" s="10" t="s">
        <v>91</v>
      </c>
      <c r="N1" s="11" t="s">
        <v>92</v>
      </c>
      <c r="O1" s="11" t="s">
        <v>93</v>
      </c>
    </row>
    <row r="2" spans="1:15" ht="27.6" hidden="1" thickBot="1" x14ac:dyDescent="0.35">
      <c r="A2" s="3">
        <v>48607</v>
      </c>
      <c r="B2" s="4">
        <v>45985</v>
      </c>
      <c r="C2" s="3" t="s">
        <v>94</v>
      </c>
      <c r="D2" s="3" t="s">
        <v>95</v>
      </c>
      <c r="E2" s="3" t="s">
        <v>96</v>
      </c>
      <c r="F2" s="3">
        <v>25</v>
      </c>
      <c r="G2" s="3" t="str">
        <f>_xlfn.XLOOKUP(Tabla3[[#This Row],[ID]],Tabla2[ID],Tabla2[Corregimiento],"NA")</f>
        <v>Villahermosa</v>
      </c>
      <c r="H2" s="3">
        <v>7</v>
      </c>
      <c r="I2" s="5"/>
      <c r="J2" s="3">
        <v>2</v>
      </c>
      <c r="K2" s="15">
        <v>80000</v>
      </c>
      <c r="L2" s="15">
        <v>1495000</v>
      </c>
      <c r="M2" s="15">
        <f>Tabla3[[#This Row],[VLR. TOTAL FACT.]]-Tabla3[[#This Row],[VLR. TRANSPORTE]]</f>
        <v>1415000</v>
      </c>
      <c r="N2" s="3">
        <v>1</v>
      </c>
      <c r="O2" s="3" t="s">
        <v>97</v>
      </c>
    </row>
    <row r="3" spans="1:15" ht="27.6" hidden="1" thickBot="1" x14ac:dyDescent="0.35">
      <c r="A3" s="3">
        <v>48553</v>
      </c>
      <c r="B3" s="4">
        <v>45986</v>
      </c>
      <c r="C3" s="3" t="s">
        <v>94</v>
      </c>
      <c r="D3" s="3" t="s">
        <v>98</v>
      </c>
      <c r="E3" s="3" t="s">
        <v>96</v>
      </c>
      <c r="F3" s="3">
        <v>25</v>
      </c>
      <c r="G3" s="3" t="str">
        <f>_xlfn.XLOOKUP(Tabla3[[#This Row],[ID]],Tabla2[ID],Tabla2[Corregimiento],"NA")</f>
        <v>Villahermosa</v>
      </c>
      <c r="H3" s="3">
        <v>7</v>
      </c>
      <c r="I3" s="5"/>
      <c r="J3" s="3">
        <v>1</v>
      </c>
      <c r="K3" s="15">
        <v>70000</v>
      </c>
      <c r="L3" s="15">
        <v>270500</v>
      </c>
      <c r="M3" s="15">
        <f>Tabla3[[#This Row],[VLR. TOTAL FACT.]]-Tabla3[[#This Row],[VLR. TRANSPORTE]]</f>
        <v>200500</v>
      </c>
      <c r="N3" s="3">
        <v>1</v>
      </c>
      <c r="O3" s="3" t="s">
        <v>97</v>
      </c>
    </row>
    <row r="4" spans="1:15" ht="15" hidden="1" thickBot="1" x14ac:dyDescent="0.35">
      <c r="A4" s="3">
        <v>48616</v>
      </c>
      <c r="B4" s="4">
        <v>45986</v>
      </c>
      <c r="C4" s="3" t="s">
        <v>94</v>
      </c>
      <c r="D4" s="3" t="s">
        <v>99</v>
      </c>
      <c r="E4" s="3" t="s">
        <v>100</v>
      </c>
      <c r="F4" s="3">
        <v>2</v>
      </c>
      <c r="G4" s="3" t="str">
        <f>_xlfn.XLOOKUP(Tabla3[[#This Row],[ID]],Tabla2[ID],Tabla2[Corregimiento],"NA")</f>
        <v>Borrero Ayerbe</v>
      </c>
      <c r="H4" s="5"/>
      <c r="I4" s="5"/>
      <c r="J4" s="3">
        <v>1</v>
      </c>
      <c r="K4" s="15">
        <v>70000</v>
      </c>
      <c r="L4" s="15">
        <v>480300</v>
      </c>
      <c r="M4" s="15">
        <f>Tabla3[[#This Row],[VLR. TOTAL FACT.]]-Tabla3[[#This Row],[VLR. TRANSPORTE]]</f>
        <v>410300</v>
      </c>
      <c r="N4" s="3">
        <v>1</v>
      </c>
      <c r="O4" s="3" t="s">
        <v>101</v>
      </c>
    </row>
    <row r="5" spans="1:15" ht="15" hidden="1" thickBot="1" x14ac:dyDescent="0.35">
      <c r="A5" s="3">
        <v>58126</v>
      </c>
      <c r="B5" s="4">
        <v>45967</v>
      </c>
      <c r="C5" s="3" t="s">
        <v>102</v>
      </c>
      <c r="D5" s="3" t="s">
        <v>103</v>
      </c>
      <c r="E5" s="3" t="s">
        <v>104</v>
      </c>
      <c r="F5" s="3">
        <v>4</v>
      </c>
      <c r="G5" s="3" t="str">
        <f>_xlfn.XLOOKUP(Tabla3[[#This Row],[ID]],Tabla2[ID],Tabla2[Corregimiento],"NA")</f>
        <v>El Carmen</v>
      </c>
      <c r="H5" s="3">
        <v>1</v>
      </c>
      <c r="I5" s="5"/>
      <c r="J5" s="3">
        <v>1</v>
      </c>
      <c r="K5" s="15">
        <v>30000</v>
      </c>
      <c r="L5" s="15">
        <v>412000</v>
      </c>
      <c r="M5" s="15">
        <f>Tabla3[[#This Row],[VLR. TOTAL FACT.]]-Tabla3[[#This Row],[VLR. TRANSPORTE]]</f>
        <v>382000</v>
      </c>
      <c r="N5" s="3">
        <v>1</v>
      </c>
      <c r="O5" s="3" t="s">
        <v>101</v>
      </c>
    </row>
    <row r="6" spans="1:15" ht="27.6" hidden="1" thickBot="1" x14ac:dyDescent="0.35">
      <c r="A6" s="3">
        <v>47038</v>
      </c>
      <c r="B6" s="4">
        <v>45967</v>
      </c>
      <c r="C6" s="3" t="s">
        <v>94</v>
      </c>
      <c r="D6" s="3" t="s">
        <v>105</v>
      </c>
      <c r="E6" s="3" t="s">
        <v>106</v>
      </c>
      <c r="F6" s="3">
        <v>4</v>
      </c>
      <c r="G6" s="3" t="str">
        <f>_xlfn.XLOOKUP(Tabla3[[#This Row],[ID]],Tabla2[ID],Tabla2[Corregimiento],"NA")</f>
        <v>El Carmen</v>
      </c>
      <c r="H6" s="3">
        <v>3</v>
      </c>
      <c r="I6" s="5"/>
      <c r="J6" s="3">
        <v>1</v>
      </c>
      <c r="K6" s="15">
        <v>40000</v>
      </c>
      <c r="L6" s="15">
        <v>515800</v>
      </c>
      <c r="M6" s="15">
        <f>Tabla3[[#This Row],[VLR. TOTAL FACT.]]-Tabla3[[#This Row],[VLR. TRANSPORTE]]</f>
        <v>475800</v>
      </c>
      <c r="N6" s="3">
        <v>0</v>
      </c>
      <c r="O6" s="3" t="s">
        <v>97</v>
      </c>
    </row>
    <row r="7" spans="1:15" ht="15" hidden="1" thickBot="1" x14ac:dyDescent="0.35">
      <c r="A7" s="3">
        <v>47035</v>
      </c>
      <c r="B7" s="4">
        <v>45968</v>
      </c>
      <c r="C7" s="3" t="s">
        <v>94</v>
      </c>
      <c r="D7" s="3" t="s">
        <v>107</v>
      </c>
      <c r="E7" s="3" t="s">
        <v>108</v>
      </c>
      <c r="F7" s="3">
        <v>4</v>
      </c>
      <c r="G7" s="3" t="str">
        <f>_xlfn.XLOOKUP(Tabla3[[#This Row],[ID]],Tabla2[ID],Tabla2[Corregimiento],"NA")</f>
        <v>El Carmen</v>
      </c>
      <c r="H7" s="3" t="s">
        <v>109</v>
      </c>
      <c r="I7" s="5"/>
      <c r="J7" s="3">
        <v>1</v>
      </c>
      <c r="K7" s="15">
        <v>50000</v>
      </c>
      <c r="L7" s="15">
        <v>467000</v>
      </c>
      <c r="M7" s="15">
        <f>Tabla3[[#This Row],[VLR. TOTAL FACT.]]-Tabla3[[#This Row],[VLR. TRANSPORTE]]</f>
        <v>417000</v>
      </c>
      <c r="N7" s="3">
        <v>1</v>
      </c>
      <c r="O7" s="3" t="s">
        <v>97</v>
      </c>
    </row>
    <row r="8" spans="1:15" ht="27.6" hidden="1" thickBot="1" x14ac:dyDescent="0.35">
      <c r="A8" s="3">
        <v>46978</v>
      </c>
      <c r="B8" s="4">
        <v>45968</v>
      </c>
      <c r="C8" s="3" t="s">
        <v>94</v>
      </c>
      <c r="D8" s="3" t="s">
        <v>110</v>
      </c>
      <c r="E8" s="3" t="s">
        <v>111</v>
      </c>
      <c r="F8" s="3">
        <v>2</v>
      </c>
      <c r="G8" s="3" t="str">
        <f>_xlfn.XLOOKUP(Tabla3[[#This Row],[ID]],Tabla2[ID],Tabla2[Corregimiento],"NA")</f>
        <v>Borrero Ayerbe</v>
      </c>
      <c r="H8" s="3">
        <v>4</v>
      </c>
      <c r="I8" s="5"/>
      <c r="J8" s="3">
        <v>1</v>
      </c>
      <c r="K8" s="15">
        <v>30000</v>
      </c>
      <c r="L8" s="15">
        <v>94000</v>
      </c>
      <c r="M8" s="15">
        <f>Tabla3[[#This Row],[VLR. TOTAL FACT.]]-Tabla3[[#This Row],[VLR. TRANSPORTE]]</f>
        <v>64000</v>
      </c>
      <c r="N8" s="3">
        <v>0</v>
      </c>
      <c r="O8" s="3" t="s">
        <v>97</v>
      </c>
    </row>
    <row r="9" spans="1:15" ht="15" hidden="1" thickBot="1" x14ac:dyDescent="0.35">
      <c r="A9" s="3">
        <v>46985</v>
      </c>
      <c r="B9" s="4">
        <v>45968</v>
      </c>
      <c r="C9" s="3" t="s">
        <v>94</v>
      </c>
      <c r="D9" s="3" t="s">
        <v>112</v>
      </c>
      <c r="E9" s="3" t="s">
        <v>113</v>
      </c>
      <c r="F9" s="3">
        <v>12</v>
      </c>
      <c r="G9" s="3" t="str">
        <f>_xlfn.XLOOKUP(Tabla3[[#This Row],[ID]],Tabla2[ID],Tabla2[Corregimiento],"NA")</f>
        <v>El Salado</v>
      </c>
      <c r="H9" s="3">
        <v>10</v>
      </c>
      <c r="I9" s="5"/>
      <c r="J9" s="3">
        <v>1</v>
      </c>
      <c r="K9" s="15">
        <v>50000</v>
      </c>
      <c r="L9" s="15">
        <v>961900</v>
      </c>
      <c r="M9" s="15">
        <f>Tabla3[[#This Row],[VLR. TOTAL FACT.]]-Tabla3[[#This Row],[VLR. TRANSPORTE]]</f>
        <v>911900</v>
      </c>
      <c r="N9" s="3">
        <v>0</v>
      </c>
      <c r="O9" s="3" t="s">
        <v>97</v>
      </c>
    </row>
    <row r="10" spans="1:15" ht="15" hidden="1" thickBot="1" x14ac:dyDescent="0.35">
      <c r="A10" s="3">
        <v>46982</v>
      </c>
      <c r="B10" s="4">
        <v>45968</v>
      </c>
      <c r="C10" s="3" t="s">
        <v>94</v>
      </c>
      <c r="D10" s="3" t="s">
        <v>114</v>
      </c>
      <c r="E10" s="3" t="s">
        <v>115</v>
      </c>
      <c r="F10" s="3">
        <v>2</v>
      </c>
      <c r="G10" s="3" t="str">
        <f>_xlfn.XLOOKUP(Tabla3[[#This Row],[ID]],Tabla2[ID],Tabla2[Corregimiento],"NA")</f>
        <v>Borrero Ayerbe</v>
      </c>
      <c r="H10" s="3" t="s">
        <v>116</v>
      </c>
      <c r="I10" s="5"/>
      <c r="J10" s="3">
        <v>1</v>
      </c>
      <c r="K10" s="15">
        <v>30000</v>
      </c>
      <c r="L10" s="15">
        <v>282500</v>
      </c>
      <c r="M10" s="15">
        <f>Tabla3[[#This Row],[VLR. TOTAL FACT.]]-Tabla3[[#This Row],[VLR. TRANSPORTE]]</f>
        <v>252500</v>
      </c>
      <c r="N10" s="3">
        <v>0</v>
      </c>
      <c r="O10" s="3" t="s">
        <v>117</v>
      </c>
    </row>
    <row r="11" spans="1:15" ht="27.6" hidden="1" thickBot="1" x14ac:dyDescent="0.35">
      <c r="A11" s="3">
        <v>46946</v>
      </c>
      <c r="B11" s="4">
        <v>45968</v>
      </c>
      <c r="C11" s="3" t="s">
        <v>94</v>
      </c>
      <c r="D11" s="3" t="s">
        <v>118</v>
      </c>
      <c r="E11" s="68" t="s">
        <v>119</v>
      </c>
      <c r="F11" s="3">
        <v>4</v>
      </c>
      <c r="G11" s="3" t="str">
        <f>_xlfn.XLOOKUP(Tabla3[[#This Row],[ID]],Tabla2[ID],Tabla2[Corregimiento],"NA")</f>
        <v>El Carmen</v>
      </c>
      <c r="H11" s="3" t="s">
        <v>120</v>
      </c>
      <c r="I11" s="5"/>
      <c r="J11" s="3">
        <v>1</v>
      </c>
      <c r="K11" s="15">
        <v>130000</v>
      </c>
      <c r="L11" s="15">
        <v>1458000</v>
      </c>
      <c r="M11" s="15">
        <f>Tabla3[[#This Row],[VLR. TOTAL FACT.]]-Tabla3[[#This Row],[VLR. TRANSPORTE]]</f>
        <v>1328000</v>
      </c>
      <c r="N11" s="3">
        <v>1</v>
      </c>
      <c r="O11" s="3" t="s">
        <v>121</v>
      </c>
    </row>
    <row r="12" spans="1:15" ht="27.6" hidden="1" thickBot="1" x14ac:dyDescent="0.35">
      <c r="A12" s="3">
        <v>47038</v>
      </c>
      <c r="B12" s="4">
        <v>45967</v>
      </c>
      <c r="C12" s="3" t="s">
        <v>94</v>
      </c>
      <c r="D12" s="3" t="s">
        <v>105</v>
      </c>
      <c r="E12" s="3" t="s">
        <v>106</v>
      </c>
      <c r="F12" s="3">
        <v>4</v>
      </c>
      <c r="G12" s="3" t="str">
        <f>_xlfn.XLOOKUP(Tabla3[[#This Row],[ID]],Tabla2[ID],Tabla2[Corregimiento],"NA")</f>
        <v>El Carmen</v>
      </c>
      <c r="H12" s="3">
        <v>3</v>
      </c>
      <c r="I12" s="5"/>
      <c r="J12" s="3">
        <v>1</v>
      </c>
      <c r="K12" s="15">
        <v>40000</v>
      </c>
      <c r="L12" s="15">
        <v>515000</v>
      </c>
      <c r="M12" s="15">
        <f>Tabla3[[#This Row],[VLR. TOTAL FACT.]]-Tabla3[[#This Row],[VLR. TRANSPORTE]]</f>
        <v>475000</v>
      </c>
      <c r="N12" s="3">
        <v>0</v>
      </c>
      <c r="O12" s="3" t="s">
        <v>97</v>
      </c>
    </row>
    <row r="13" spans="1:15" ht="15" hidden="1" thickBot="1" x14ac:dyDescent="0.35">
      <c r="A13" s="3">
        <v>47037</v>
      </c>
      <c r="B13" s="4">
        <v>45969</v>
      </c>
      <c r="C13" s="3" t="s">
        <v>94</v>
      </c>
      <c r="D13" s="3" t="s">
        <v>122</v>
      </c>
      <c r="E13" s="3" t="s">
        <v>122</v>
      </c>
      <c r="F13" s="3">
        <v>2</v>
      </c>
      <c r="G13" s="3" t="str">
        <f>_xlfn.XLOOKUP(Tabla3[[#This Row],[ID]],Tabla2[ID],Tabla2[Corregimiento],"NA")</f>
        <v>Borrero Ayerbe</v>
      </c>
      <c r="H13" s="5"/>
      <c r="I13" s="5"/>
      <c r="J13" s="3">
        <v>1</v>
      </c>
      <c r="K13" s="15">
        <v>25000</v>
      </c>
      <c r="L13" s="15">
        <v>175000</v>
      </c>
      <c r="M13" s="15">
        <f>Tabla3[[#This Row],[VLR. TOTAL FACT.]]-Tabla3[[#This Row],[VLR. TRANSPORTE]]</f>
        <v>150000</v>
      </c>
      <c r="N13" s="3">
        <v>0</v>
      </c>
      <c r="O13" s="3" t="s">
        <v>97</v>
      </c>
    </row>
    <row r="14" spans="1:15" ht="15" hidden="1" thickBot="1" x14ac:dyDescent="0.35">
      <c r="A14" s="3">
        <v>47019</v>
      </c>
      <c r="B14" s="4">
        <v>45969</v>
      </c>
      <c r="C14" s="3" t="s">
        <v>94</v>
      </c>
      <c r="D14" s="3" t="s">
        <v>122</v>
      </c>
      <c r="E14" s="3" t="s">
        <v>122</v>
      </c>
      <c r="F14" s="3">
        <v>2</v>
      </c>
      <c r="G14" s="3" t="str">
        <f>_xlfn.XLOOKUP(Tabla3[[#This Row],[ID]],Tabla2[ID],Tabla2[Corregimiento],"NA")</f>
        <v>Borrero Ayerbe</v>
      </c>
      <c r="H14" s="5"/>
      <c r="I14" s="5"/>
      <c r="J14" s="3">
        <v>1</v>
      </c>
      <c r="K14" s="15">
        <v>10000</v>
      </c>
      <c r="L14" s="15">
        <v>134800</v>
      </c>
      <c r="M14" s="15">
        <f>Tabla3[[#This Row],[VLR. TOTAL FACT.]]-Tabla3[[#This Row],[VLR. TRANSPORTE]]</f>
        <v>124800</v>
      </c>
      <c r="N14" s="3">
        <v>0</v>
      </c>
      <c r="O14" s="3" t="s">
        <v>97</v>
      </c>
    </row>
    <row r="15" spans="1:15" ht="27.6" hidden="1" thickBot="1" x14ac:dyDescent="0.35">
      <c r="A15" s="3">
        <v>58055</v>
      </c>
      <c r="B15" s="4">
        <v>45966</v>
      </c>
      <c r="C15" s="3" t="s">
        <v>102</v>
      </c>
      <c r="D15" s="3" t="s">
        <v>123</v>
      </c>
      <c r="E15" s="3" t="s">
        <v>124</v>
      </c>
      <c r="F15" s="3">
        <v>2</v>
      </c>
      <c r="G15" s="3" t="str">
        <f>_xlfn.XLOOKUP(Tabla3[[#This Row],[ID]],Tabla2[ID],Tabla2[Corregimiento],"NA")</f>
        <v>Borrero Ayerbe</v>
      </c>
      <c r="H15" s="3">
        <v>4</v>
      </c>
      <c r="I15" s="5"/>
      <c r="J15" s="3">
        <v>1</v>
      </c>
      <c r="K15" s="15">
        <v>30000</v>
      </c>
      <c r="L15" s="15">
        <v>473300</v>
      </c>
      <c r="M15" s="15">
        <f>Tabla3[[#This Row],[VLR. TOTAL FACT.]]-Tabla3[[#This Row],[VLR. TRANSPORTE]]</f>
        <v>443300</v>
      </c>
      <c r="N15" s="3">
        <v>0</v>
      </c>
      <c r="O15" s="3" t="s">
        <v>101</v>
      </c>
    </row>
    <row r="16" spans="1:15" ht="27.6" hidden="1" thickBot="1" x14ac:dyDescent="0.35">
      <c r="A16" s="3">
        <v>47087</v>
      </c>
      <c r="B16" s="4">
        <v>45966</v>
      </c>
      <c r="C16" s="3" t="s">
        <v>94</v>
      </c>
      <c r="D16" s="3" t="s">
        <v>125</v>
      </c>
      <c r="E16" s="3" t="s">
        <v>126</v>
      </c>
      <c r="F16" s="3">
        <v>4</v>
      </c>
      <c r="G16" s="3" t="str">
        <f>_xlfn.XLOOKUP(Tabla3[[#This Row],[ID]],Tabla2[ID],Tabla2[Corregimiento],"NA")</f>
        <v>El Carmen</v>
      </c>
      <c r="H16" s="5"/>
      <c r="I16" s="5"/>
      <c r="J16" s="3">
        <v>1</v>
      </c>
      <c r="K16" s="15">
        <v>40000</v>
      </c>
      <c r="L16" s="15">
        <v>450100</v>
      </c>
      <c r="M16" s="15">
        <f>Tabla3[[#This Row],[VLR. TOTAL FACT.]]-Tabla3[[#This Row],[VLR. TRANSPORTE]]</f>
        <v>410100</v>
      </c>
      <c r="N16" s="3">
        <v>1</v>
      </c>
      <c r="O16" s="3" t="s">
        <v>127</v>
      </c>
    </row>
    <row r="17" spans="1:15" ht="15" thickBot="1" x14ac:dyDescent="0.35">
      <c r="A17" s="3">
        <v>52272</v>
      </c>
      <c r="B17" s="4">
        <v>45966</v>
      </c>
      <c r="C17" s="3" t="s">
        <v>102</v>
      </c>
      <c r="D17" s="3" t="s">
        <v>128</v>
      </c>
      <c r="E17" s="3" t="s">
        <v>129</v>
      </c>
      <c r="F17" s="3"/>
      <c r="G17" s="3" t="str">
        <f>_xlfn.XLOOKUP(Tabla3[[#This Row],[ID]],Tabla2[ID],Tabla2[Corregimiento],"NA")</f>
        <v>NA</v>
      </c>
      <c r="H17" s="3">
        <v>2</v>
      </c>
      <c r="I17" s="5"/>
      <c r="J17" s="3">
        <v>1</v>
      </c>
      <c r="K17" s="15">
        <v>20000</v>
      </c>
      <c r="L17" s="15">
        <v>386650</v>
      </c>
      <c r="M17" s="15">
        <f>Tabla3[[#This Row],[VLR. TOTAL FACT.]]-Tabla3[[#This Row],[VLR. TRANSPORTE]]</f>
        <v>366650</v>
      </c>
      <c r="N17" s="3">
        <v>0</v>
      </c>
      <c r="O17" s="3" t="s">
        <v>101</v>
      </c>
    </row>
    <row r="18" spans="1:15" ht="27.6" thickBot="1" x14ac:dyDescent="0.35">
      <c r="A18" s="3">
        <v>57842</v>
      </c>
      <c r="B18" s="4">
        <v>45971</v>
      </c>
      <c r="C18" s="3" t="s">
        <v>102</v>
      </c>
      <c r="D18" s="3" t="s">
        <v>130</v>
      </c>
      <c r="E18" s="3" t="s">
        <v>122</v>
      </c>
      <c r="F18" s="3"/>
      <c r="G18" s="3" t="str">
        <f>_xlfn.XLOOKUP(Tabla3[[#This Row],[ID]],Tabla2[ID],Tabla2[Corregimiento],"NA")</f>
        <v>NA</v>
      </c>
      <c r="H18" s="5"/>
      <c r="I18" s="5"/>
      <c r="J18" s="3">
        <v>1</v>
      </c>
      <c r="K18" s="15">
        <v>15000</v>
      </c>
      <c r="L18" s="15">
        <v>351000</v>
      </c>
      <c r="M18" s="15">
        <f>Tabla3[[#This Row],[VLR. TOTAL FACT.]]-Tabla3[[#This Row],[VLR. TRANSPORTE]]</f>
        <v>336000</v>
      </c>
      <c r="N18" s="3">
        <v>0</v>
      </c>
      <c r="O18" s="3" t="s">
        <v>101</v>
      </c>
    </row>
    <row r="19" spans="1:15" ht="15" thickBot="1" x14ac:dyDescent="0.35">
      <c r="A19" s="3">
        <v>58250</v>
      </c>
      <c r="B19" s="4">
        <v>45971</v>
      </c>
      <c r="C19" s="3" t="s">
        <v>102</v>
      </c>
      <c r="D19" s="3" t="s">
        <v>122</v>
      </c>
      <c r="E19" s="3" t="s">
        <v>131</v>
      </c>
      <c r="F19" s="3"/>
      <c r="G19" s="3" t="str">
        <f>_xlfn.XLOOKUP(Tabla3[[#This Row],[ID]],Tabla2[ID],Tabla2[Corregimiento],"NA")</f>
        <v>NA</v>
      </c>
      <c r="H19" s="5"/>
      <c r="I19" s="5"/>
      <c r="J19" s="3">
        <v>1</v>
      </c>
      <c r="K19" s="15">
        <v>10000</v>
      </c>
      <c r="L19" s="15">
        <v>463300</v>
      </c>
      <c r="M19" s="15">
        <f>Tabla3[[#This Row],[VLR. TOTAL FACT.]]-Tabla3[[#This Row],[VLR. TRANSPORTE]]</f>
        <v>453300</v>
      </c>
      <c r="N19" s="3">
        <v>0</v>
      </c>
      <c r="O19" s="3" t="s">
        <v>101</v>
      </c>
    </row>
    <row r="20" spans="1:15" ht="27.6" thickBot="1" x14ac:dyDescent="0.35">
      <c r="A20" s="3">
        <v>47292</v>
      </c>
      <c r="B20" s="4">
        <v>45970</v>
      </c>
      <c r="C20" s="3" t="s">
        <v>94</v>
      </c>
      <c r="D20" s="3" t="s">
        <v>132</v>
      </c>
      <c r="E20" s="3" t="s">
        <v>111</v>
      </c>
      <c r="F20" s="3"/>
      <c r="G20" s="3" t="str">
        <f>_xlfn.XLOOKUP(Tabla3[[#This Row],[ID]],Tabla2[ID],Tabla2[Corregimiento],"NA")</f>
        <v>NA</v>
      </c>
      <c r="H20" s="3">
        <v>4</v>
      </c>
      <c r="I20" s="5"/>
      <c r="J20" s="3">
        <v>1</v>
      </c>
      <c r="K20" s="15">
        <v>60000</v>
      </c>
      <c r="L20" s="15">
        <v>736800</v>
      </c>
      <c r="M20" s="15">
        <f>Tabla3[[#This Row],[VLR. TOTAL FACT.]]-Tabla3[[#This Row],[VLR. TRANSPORTE]]</f>
        <v>676800</v>
      </c>
      <c r="N20" s="3">
        <v>1</v>
      </c>
      <c r="O20" s="3" t="s">
        <v>97</v>
      </c>
    </row>
    <row r="21" spans="1:15" ht="15" hidden="1" thickBot="1" x14ac:dyDescent="0.35">
      <c r="A21" s="3">
        <v>47250</v>
      </c>
      <c r="B21" s="4">
        <v>20403</v>
      </c>
      <c r="C21" s="3" t="s">
        <v>94</v>
      </c>
      <c r="D21" s="3" t="s">
        <v>133</v>
      </c>
      <c r="E21" s="3" t="s">
        <v>134</v>
      </c>
      <c r="F21" s="3">
        <v>4</v>
      </c>
      <c r="G21" s="3" t="str">
        <f>_xlfn.XLOOKUP(Tabla3[[#This Row],[ID]],Tabla2[ID],Tabla2[Corregimiento],"NA")</f>
        <v>El Carmen</v>
      </c>
      <c r="H21" s="3">
        <v>6</v>
      </c>
      <c r="I21" s="5"/>
      <c r="J21" s="3">
        <v>1</v>
      </c>
      <c r="K21" s="15">
        <v>40000</v>
      </c>
      <c r="L21" s="15">
        <v>618500</v>
      </c>
      <c r="M21" s="15">
        <f>Tabla3[[#This Row],[VLR. TOTAL FACT.]]-Tabla3[[#This Row],[VLR. TRANSPORTE]]</f>
        <v>578500</v>
      </c>
      <c r="N21" s="3">
        <v>0</v>
      </c>
      <c r="O21" s="3" t="s">
        <v>97</v>
      </c>
    </row>
    <row r="22" spans="1:15" ht="27.6" hidden="1" thickBot="1" x14ac:dyDescent="0.35">
      <c r="A22" s="3">
        <v>47281</v>
      </c>
      <c r="B22" s="4">
        <v>45969</v>
      </c>
      <c r="C22" s="3" t="s">
        <v>94</v>
      </c>
      <c r="D22" s="3" t="s">
        <v>135</v>
      </c>
      <c r="E22" s="3" t="s">
        <v>136</v>
      </c>
      <c r="F22" s="3">
        <v>2</v>
      </c>
      <c r="G22" s="3" t="str">
        <f>_xlfn.XLOOKUP(Tabla3[[#This Row],[ID]],Tabla2[ID],Tabla2[Corregimiento],"NA")</f>
        <v>Borrero Ayerbe</v>
      </c>
      <c r="H22" s="3">
        <v>4</v>
      </c>
      <c r="I22" s="5"/>
      <c r="J22" s="3">
        <v>1</v>
      </c>
      <c r="K22" s="15">
        <v>40000</v>
      </c>
      <c r="L22" s="15">
        <v>929900</v>
      </c>
      <c r="M22" s="15">
        <f>Tabla3[[#This Row],[VLR. TOTAL FACT.]]-Tabla3[[#This Row],[VLR. TRANSPORTE]]</f>
        <v>889900</v>
      </c>
      <c r="N22" s="3">
        <v>0</v>
      </c>
      <c r="O22" s="3" t="s">
        <v>97</v>
      </c>
    </row>
    <row r="23" spans="1:15" ht="15" hidden="1" thickBot="1" x14ac:dyDescent="0.35">
      <c r="A23" s="3">
        <v>47219</v>
      </c>
      <c r="B23" s="4">
        <v>45971</v>
      </c>
      <c r="C23" s="3" t="s">
        <v>94</v>
      </c>
      <c r="D23" s="3" t="s">
        <v>137</v>
      </c>
      <c r="E23" s="3" t="s">
        <v>138</v>
      </c>
      <c r="F23" s="3">
        <v>12</v>
      </c>
      <c r="G23" s="3" t="str">
        <f>_xlfn.XLOOKUP(Tabla3[[#This Row],[ID]],Tabla2[ID],Tabla2[Corregimiento],"NA")</f>
        <v>El Salado</v>
      </c>
      <c r="H23" s="3">
        <v>10</v>
      </c>
      <c r="I23" s="5"/>
      <c r="J23" s="3">
        <v>1</v>
      </c>
      <c r="K23" s="15">
        <v>40000</v>
      </c>
      <c r="L23" s="15">
        <v>401900</v>
      </c>
      <c r="M23" s="15">
        <f>Tabla3[[#This Row],[VLR. TOTAL FACT.]]-Tabla3[[#This Row],[VLR. TRANSPORTE]]</f>
        <v>361900</v>
      </c>
      <c r="N23" s="3">
        <v>1</v>
      </c>
      <c r="O23" s="3" t="s">
        <v>117</v>
      </c>
    </row>
    <row r="24" spans="1:15" ht="15" hidden="1" thickBot="1" x14ac:dyDescent="0.35">
      <c r="A24" s="3">
        <v>48228</v>
      </c>
      <c r="B24" s="4">
        <v>45972</v>
      </c>
      <c r="C24" s="3" t="s">
        <v>94</v>
      </c>
      <c r="D24" s="3" t="s">
        <v>139</v>
      </c>
      <c r="E24" s="3" t="s">
        <v>140</v>
      </c>
      <c r="F24" s="3">
        <v>2</v>
      </c>
      <c r="G24" s="3" t="str">
        <f>_xlfn.XLOOKUP(Tabla3[[#This Row],[ID]],Tabla2[ID],Tabla2[Corregimiento],"NA")</f>
        <v>Borrero Ayerbe</v>
      </c>
      <c r="H24" s="3" t="s">
        <v>109</v>
      </c>
      <c r="I24" s="5"/>
      <c r="J24" s="3">
        <v>1</v>
      </c>
      <c r="K24" s="15">
        <v>40000</v>
      </c>
      <c r="L24" s="15">
        <v>181500</v>
      </c>
      <c r="M24" s="15">
        <f>Tabla3[[#This Row],[VLR. TOTAL FACT.]]-Tabla3[[#This Row],[VLR. TRANSPORTE]]</f>
        <v>141500</v>
      </c>
      <c r="N24" s="3">
        <v>0</v>
      </c>
      <c r="O24" s="3" t="s">
        <v>127</v>
      </c>
    </row>
    <row r="25" spans="1:15" ht="15" thickBot="1" x14ac:dyDescent="0.35">
      <c r="A25" s="3">
        <v>58771</v>
      </c>
      <c r="B25" s="4">
        <v>45981</v>
      </c>
      <c r="C25" s="3" t="s">
        <v>102</v>
      </c>
      <c r="D25" s="3" t="s">
        <v>141</v>
      </c>
      <c r="E25" s="3" t="s">
        <v>142</v>
      </c>
      <c r="F25" s="3"/>
      <c r="G25" s="3" t="str">
        <f>_xlfn.XLOOKUP(Tabla3[[#This Row],[ID]],Tabla2[ID],Tabla2[Corregimiento],"NA")</f>
        <v>NA</v>
      </c>
      <c r="H25" s="3">
        <v>2</v>
      </c>
      <c r="I25" s="5"/>
      <c r="J25" s="3">
        <v>1</v>
      </c>
      <c r="K25" s="15">
        <v>30000</v>
      </c>
      <c r="L25" s="15">
        <v>234000</v>
      </c>
      <c r="M25" s="15">
        <f>Tabla3[[#This Row],[VLR. TOTAL FACT.]]-Tabla3[[#This Row],[VLR. TRANSPORTE]]</f>
        <v>204000</v>
      </c>
      <c r="N25" s="3">
        <v>1</v>
      </c>
      <c r="O25" s="3" t="s">
        <v>101</v>
      </c>
    </row>
    <row r="26" spans="1:15" ht="27.6" hidden="1" thickBot="1" x14ac:dyDescent="0.35">
      <c r="A26" s="3">
        <v>48216</v>
      </c>
      <c r="B26" s="4">
        <v>45981</v>
      </c>
      <c r="C26" s="3" t="s">
        <v>94</v>
      </c>
      <c r="D26" s="3" t="s">
        <v>143</v>
      </c>
      <c r="E26" s="3" t="s">
        <v>144</v>
      </c>
      <c r="F26" s="3">
        <v>4</v>
      </c>
      <c r="G26" s="3" t="str">
        <f>_xlfn.XLOOKUP(Tabla3[[#This Row],[ID]],Tabla2[ID],Tabla2[Corregimiento],"NA")</f>
        <v>El Carmen</v>
      </c>
      <c r="H26" s="3">
        <v>3</v>
      </c>
      <c r="I26" s="5"/>
      <c r="J26" s="3">
        <v>1</v>
      </c>
      <c r="K26" s="15">
        <v>30000</v>
      </c>
      <c r="L26" s="15">
        <v>660000</v>
      </c>
      <c r="M26" s="15">
        <f>Tabla3[[#This Row],[VLR. TOTAL FACT.]]-Tabla3[[#This Row],[VLR. TRANSPORTE]]</f>
        <v>630000</v>
      </c>
      <c r="N26" s="3">
        <v>1</v>
      </c>
      <c r="O26" s="3" t="s">
        <v>97</v>
      </c>
    </row>
    <row r="27" spans="1:15" ht="27.6" hidden="1" thickBot="1" x14ac:dyDescent="0.35">
      <c r="A27" s="3">
        <v>48298</v>
      </c>
      <c r="B27" s="4" t="s">
        <v>145</v>
      </c>
      <c r="C27" s="3" t="s">
        <v>94</v>
      </c>
      <c r="D27" s="3" t="s">
        <v>146</v>
      </c>
      <c r="E27" s="3" t="s">
        <v>138</v>
      </c>
      <c r="F27" s="3">
        <v>12</v>
      </c>
      <c r="G27" s="3" t="str">
        <f>_xlfn.XLOOKUP(Tabla3[[#This Row],[ID]],Tabla2[ID],Tabla2[Corregimiento],"NA")</f>
        <v>El Salado</v>
      </c>
      <c r="H27" s="3">
        <v>10</v>
      </c>
      <c r="I27" s="5"/>
      <c r="J27" s="3">
        <v>1</v>
      </c>
      <c r="K27" s="15">
        <v>70000</v>
      </c>
      <c r="L27" s="15">
        <v>542500</v>
      </c>
      <c r="M27" s="15">
        <f>Tabla3[[#This Row],[VLR. TOTAL FACT.]]-Tabla3[[#This Row],[VLR. TRANSPORTE]]</f>
        <v>472500</v>
      </c>
      <c r="N27" s="3">
        <v>1</v>
      </c>
      <c r="O27" s="3" t="s">
        <v>101</v>
      </c>
    </row>
    <row r="28" spans="1:15" ht="27.6" thickBot="1" x14ac:dyDescent="0.35">
      <c r="A28" s="3">
        <v>48290</v>
      </c>
      <c r="B28" s="4">
        <v>45981</v>
      </c>
      <c r="C28" s="3" t="s">
        <v>94</v>
      </c>
      <c r="D28" s="3" t="s">
        <v>147</v>
      </c>
      <c r="E28" s="3" t="s">
        <v>122</v>
      </c>
      <c r="F28" s="3"/>
      <c r="G28" s="3" t="str">
        <f>_xlfn.XLOOKUP(Tabla3[[#This Row],[ID]],Tabla2[ID],Tabla2[Corregimiento],"NA")</f>
        <v>NA</v>
      </c>
      <c r="H28" s="5"/>
      <c r="I28" s="5"/>
      <c r="J28" s="3">
        <v>1</v>
      </c>
      <c r="K28" s="15">
        <v>80000</v>
      </c>
      <c r="L28" s="15">
        <v>386000</v>
      </c>
      <c r="M28" s="15">
        <f>Tabla3[[#This Row],[VLR. TOTAL FACT.]]-Tabla3[[#This Row],[VLR. TRANSPORTE]]</f>
        <v>306000</v>
      </c>
      <c r="N28" s="3">
        <v>1</v>
      </c>
      <c r="O28" s="3" t="s">
        <v>121</v>
      </c>
    </row>
    <row r="29" spans="1:15" ht="15" hidden="1" thickBot="1" x14ac:dyDescent="0.35">
      <c r="A29" s="3">
        <v>48270</v>
      </c>
      <c r="B29" s="4">
        <v>45982</v>
      </c>
      <c r="C29" s="3" t="s">
        <v>94</v>
      </c>
      <c r="D29" s="3" t="s">
        <v>148</v>
      </c>
      <c r="E29" s="3" t="s">
        <v>136</v>
      </c>
      <c r="F29" s="3">
        <v>2</v>
      </c>
      <c r="G29" s="3" t="str">
        <f>_xlfn.XLOOKUP(Tabla3[[#This Row],[ID]],Tabla2[ID],Tabla2[Corregimiento],"NA")</f>
        <v>Borrero Ayerbe</v>
      </c>
      <c r="H29" s="3">
        <v>4</v>
      </c>
      <c r="I29" s="5"/>
      <c r="J29" s="3">
        <v>1</v>
      </c>
      <c r="K29" s="15">
        <v>40000</v>
      </c>
      <c r="L29" s="15">
        <v>264500</v>
      </c>
      <c r="M29" s="15">
        <f>Tabla3[[#This Row],[VLR. TOTAL FACT.]]-Tabla3[[#This Row],[VLR. TRANSPORTE]]</f>
        <v>224500</v>
      </c>
      <c r="N29" s="3">
        <v>0</v>
      </c>
      <c r="O29" s="3" t="s">
        <v>97</v>
      </c>
    </row>
    <row r="30" spans="1:15" ht="15" thickBot="1" x14ac:dyDescent="0.35">
      <c r="A30" s="3">
        <v>48240</v>
      </c>
      <c r="B30" s="4">
        <v>45982</v>
      </c>
      <c r="C30" s="3" t="s">
        <v>94</v>
      </c>
      <c r="D30" s="3" t="s">
        <v>149</v>
      </c>
      <c r="E30" s="3" t="s">
        <v>122</v>
      </c>
      <c r="F30" s="3"/>
      <c r="G30" s="3" t="str">
        <f>_xlfn.XLOOKUP(Tabla3[[#This Row],[ID]],Tabla2[ID],Tabla2[Corregimiento],"NA")</f>
        <v>NA</v>
      </c>
      <c r="H30" s="5"/>
      <c r="I30" s="5"/>
      <c r="J30" s="3">
        <v>5</v>
      </c>
      <c r="K30" s="15">
        <v>76000</v>
      </c>
      <c r="L30" s="15">
        <v>1400000</v>
      </c>
      <c r="M30" s="15">
        <f>Tabla3[[#This Row],[VLR. TOTAL FACT.]]-Tabla3[[#This Row],[VLR. TRANSPORTE]]</f>
        <v>1324000</v>
      </c>
      <c r="N30" s="3">
        <v>1</v>
      </c>
      <c r="O30" s="3" t="s">
        <v>97</v>
      </c>
    </row>
    <row r="31" spans="1:15" ht="15" hidden="1" thickBot="1" x14ac:dyDescent="0.35">
      <c r="A31" s="3">
        <v>48280</v>
      </c>
      <c r="B31" s="4">
        <v>45982</v>
      </c>
      <c r="C31" s="3" t="s">
        <v>94</v>
      </c>
      <c r="D31" s="3" t="s">
        <v>150</v>
      </c>
      <c r="E31" s="3" t="s">
        <v>151</v>
      </c>
      <c r="F31" s="3">
        <v>4</v>
      </c>
      <c r="G31" s="3" t="str">
        <f>_xlfn.XLOOKUP(Tabla3[[#This Row],[ID]],Tabla2[ID],Tabla2[Corregimiento],"NA")</f>
        <v>El Carmen</v>
      </c>
      <c r="H31" s="3" t="s">
        <v>152</v>
      </c>
      <c r="I31" s="5"/>
      <c r="J31" s="3">
        <v>1</v>
      </c>
      <c r="K31" s="15">
        <v>30000</v>
      </c>
      <c r="L31" s="15">
        <v>575700</v>
      </c>
      <c r="M31" s="15">
        <f>Tabla3[[#This Row],[VLR. TOTAL FACT.]]-Tabla3[[#This Row],[VLR. TRANSPORTE]]</f>
        <v>545700</v>
      </c>
      <c r="N31" s="3">
        <v>0</v>
      </c>
      <c r="O31" s="3" t="s">
        <v>97</v>
      </c>
    </row>
    <row r="32" spans="1:15" ht="15" hidden="1" thickBot="1" x14ac:dyDescent="0.35">
      <c r="A32" s="3">
        <v>48256</v>
      </c>
      <c r="B32" s="4">
        <v>45982</v>
      </c>
      <c r="C32" s="3" t="s">
        <v>94</v>
      </c>
      <c r="D32" s="3" t="s">
        <v>153</v>
      </c>
      <c r="E32" s="3" t="s">
        <v>115</v>
      </c>
      <c r="F32" s="3">
        <v>2</v>
      </c>
      <c r="G32" s="3" t="str">
        <f>_xlfn.XLOOKUP(Tabla3[[#This Row],[ID]],Tabla2[ID],Tabla2[Corregimiento],"NA")</f>
        <v>Borrero Ayerbe</v>
      </c>
      <c r="H32" s="3" t="s">
        <v>116</v>
      </c>
      <c r="I32" s="5"/>
      <c r="J32" s="3">
        <v>1</v>
      </c>
      <c r="K32" s="15">
        <v>40000</v>
      </c>
      <c r="L32" s="15">
        <v>606000</v>
      </c>
      <c r="M32" s="15">
        <f>Tabla3[[#This Row],[VLR. TOTAL FACT.]]-Tabla3[[#This Row],[VLR. TRANSPORTE]]</f>
        <v>566000</v>
      </c>
      <c r="N32" s="3">
        <v>1</v>
      </c>
      <c r="O32" s="3" t="s">
        <v>97</v>
      </c>
    </row>
    <row r="33" spans="1:15" ht="27.6" hidden="1" thickBot="1" x14ac:dyDescent="0.35">
      <c r="A33" s="3">
        <v>30623</v>
      </c>
      <c r="B33" s="4">
        <v>45983</v>
      </c>
      <c r="C33" s="3" t="s">
        <v>102</v>
      </c>
      <c r="D33" s="3" t="s">
        <v>154</v>
      </c>
      <c r="E33" s="3" t="s">
        <v>155</v>
      </c>
      <c r="F33" s="3">
        <v>8</v>
      </c>
      <c r="G33" s="3" t="str">
        <f>_xlfn.XLOOKUP(Tabla3[[#This Row],[ID]],Tabla2[ID],Tabla2[Corregimiento],"NA")</f>
        <v>El Palmar</v>
      </c>
      <c r="H33" s="5"/>
      <c r="I33" s="5"/>
      <c r="J33" s="3">
        <v>1</v>
      </c>
      <c r="K33" s="15">
        <v>25000</v>
      </c>
      <c r="L33" s="15">
        <v>152200</v>
      </c>
      <c r="M33" s="15">
        <f>Tabla3[[#This Row],[VLR. TOTAL FACT.]]-Tabla3[[#This Row],[VLR. TRANSPORTE]]</f>
        <v>127200</v>
      </c>
      <c r="N33" s="3">
        <v>0</v>
      </c>
      <c r="O33" s="3" t="s">
        <v>101</v>
      </c>
    </row>
    <row r="34" spans="1:15" ht="27.6" hidden="1" thickBot="1" x14ac:dyDescent="0.35">
      <c r="A34" s="3">
        <v>58868</v>
      </c>
      <c r="B34" s="4">
        <v>45983</v>
      </c>
      <c r="C34" s="3" t="s">
        <v>102</v>
      </c>
      <c r="D34" s="3" t="s">
        <v>156</v>
      </c>
      <c r="E34" s="3" t="s">
        <v>136</v>
      </c>
      <c r="F34" s="3">
        <v>2</v>
      </c>
      <c r="G34" s="3" t="str">
        <f>_xlfn.XLOOKUP(Tabla3[[#This Row],[ID]],Tabla2[ID],Tabla2[Corregimiento],"NA")</f>
        <v>Borrero Ayerbe</v>
      </c>
      <c r="H34" s="3">
        <v>4</v>
      </c>
      <c r="I34" s="5"/>
      <c r="J34" s="3">
        <v>1</v>
      </c>
      <c r="K34" s="15">
        <v>50000</v>
      </c>
      <c r="L34" s="15">
        <v>385000</v>
      </c>
      <c r="M34" s="15">
        <f>Tabla3[[#This Row],[VLR. TOTAL FACT.]]-Tabla3[[#This Row],[VLR. TRANSPORTE]]</f>
        <v>335000</v>
      </c>
      <c r="N34" s="3">
        <v>1</v>
      </c>
      <c r="O34" s="3" t="s">
        <v>101</v>
      </c>
    </row>
    <row r="35" spans="1:15" ht="15" thickBot="1" x14ac:dyDescent="0.35">
      <c r="A35" s="3">
        <v>48374</v>
      </c>
      <c r="B35" s="4">
        <v>45983</v>
      </c>
      <c r="C35" s="3" t="s">
        <v>94</v>
      </c>
      <c r="D35" s="3" t="s">
        <v>122</v>
      </c>
      <c r="E35" s="3" t="s">
        <v>122</v>
      </c>
      <c r="F35" s="3"/>
      <c r="G35" s="3" t="str">
        <f>_xlfn.XLOOKUP(Tabla3[[#This Row],[ID]],Tabla2[ID],Tabla2[Corregimiento],"NA")</f>
        <v>NA</v>
      </c>
      <c r="H35" s="5"/>
      <c r="I35" s="5"/>
      <c r="J35" s="3">
        <v>1</v>
      </c>
      <c r="K35" s="15">
        <v>30000</v>
      </c>
      <c r="L35" s="15">
        <v>215400</v>
      </c>
      <c r="M35" s="15">
        <f>Tabla3[[#This Row],[VLR. TOTAL FACT.]]-Tabla3[[#This Row],[VLR. TRANSPORTE]]</f>
        <v>185400</v>
      </c>
      <c r="N35" s="3">
        <v>1</v>
      </c>
      <c r="O35" s="3" t="s">
        <v>117</v>
      </c>
    </row>
    <row r="36" spans="1:15" ht="27.6" hidden="1" thickBot="1" x14ac:dyDescent="0.35">
      <c r="A36" s="3">
        <v>48370</v>
      </c>
      <c r="B36" s="4">
        <v>45981</v>
      </c>
      <c r="C36" s="3" t="s">
        <v>94</v>
      </c>
      <c r="D36" s="3" t="s">
        <v>157</v>
      </c>
      <c r="E36" s="3" t="s">
        <v>106</v>
      </c>
      <c r="F36" s="3">
        <v>4</v>
      </c>
      <c r="G36" s="3" t="str">
        <f>_xlfn.XLOOKUP(Tabla3[[#This Row],[ID]],Tabla2[ID],Tabla2[Corregimiento],"NA")</f>
        <v>El Carmen</v>
      </c>
      <c r="H36" s="3">
        <v>3</v>
      </c>
      <c r="I36" s="5"/>
      <c r="J36" s="3">
        <v>1</v>
      </c>
      <c r="K36" s="15">
        <v>40000</v>
      </c>
      <c r="L36" s="15">
        <v>228200</v>
      </c>
      <c r="M36" s="15">
        <f>Tabla3[[#This Row],[VLR. TOTAL FACT.]]-Tabla3[[#This Row],[VLR. TRANSPORTE]]</f>
        <v>188200</v>
      </c>
      <c r="N36" s="3">
        <v>0</v>
      </c>
      <c r="O36" s="3" t="s">
        <v>97</v>
      </c>
    </row>
    <row r="37" spans="1:15" ht="15" hidden="1" thickBot="1" x14ac:dyDescent="0.35">
      <c r="A37" s="3">
        <v>48367</v>
      </c>
      <c r="B37" s="4">
        <v>45983</v>
      </c>
      <c r="C37" s="3" t="s">
        <v>94</v>
      </c>
      <c r="D37" s="3" t="s">
        <v>148</v>
      </c>
      <c r="E37" s="3" t="s">
        <v>182</v>
      </c>
      <c r="F37" s="3">
        <v>2</v>
      </c>
      <c r="G37" s="3" t="str">
        <f>_xlfn.XLOOKUP(Tabla3[[#This Row],[ID]],Tabla2[ID],Tabla2[Corregimiento],"NA")</f>
        <v>Borrero Ayerbe</v>
      </c>
      <c r="H37" s="3">
        <v>4</v>
      </c>
      <c r="I37" s="5"/>
      <c r="J37" s="3">
        <v>3</v>
      </c>
      <c r="K37" s="15">
        <v>30000</v>
      </c>
      <c r="L37" s="15">
        <v>232000</v>
      </c>
      <c r="M37" s="15">
        <f>Tabla3[[#This Row],[VLR. TOTAL FACT.]]-Tabla3[[#This Row],[VLR. TRANSPORTE]]</f>
        <v>202000</v>
      </c>
      <c r="N37" s="3">
        <v>1</v>
      </c>
      <c r="O37" s="3" t="s">
        <v>97</v>
      </c>
    </row>
    <row r="38" spans="1:15" ht="27.6" hidden="1" thickBot="1" x14ac:dyDescent="0.35">
      <c r="A38" s="3">
        <v>48356</v>
      </c>
      <c r="B38" s="4">
        <v>45983</v>
      </c>
      <c r="C38" s="3" t="s">
        <v>94</v>
      </c>
      <c r="D38" s="3" t="s">
        <v>158</v>
      </c>
      <c r="E38" s="3" t="s">
        <v>136</v>
      </c>
      <c r="F38" s="3">
        <v>2</v>
      </c>
      <c r="G38" s="3" t="str">
        <f>_xlfn.XLOOKUP(Tabla3[[#This Row],[ID]],Tabla2[ID],Tabla2[Corregimiento],"NA")</f>
        <v>Borrero Ayerbe</v>
      </c>
      <c r="H38" s="3">
        <v>4</v>
      </c>
      <c r="I38" s="5"/>
      <c r="J38" s="3">
        <v>1</v>
      </c>
      <c r="K38" s="15">
        <v>60000</v>
      </c>
      <c r="L38" s="15">
        <v>1246500</v>
      </c>
      <c r="M38" s="15">
        <f>Tabla3[[#This Row],[VLR. TOTAL FACT.]]-Tabla3[[#This Row],[VLR. TRANSPORTE]]</f>
        <v>1186500</v>
      </c>
      <c r="N38" s="3">
        <v>1</v>
      </c>
      <c r="O38" s="3" t="s">
        <v>97</v>
      </c>
    </row>
    <row r="39" spans="1:15" ht="15" hidden="1" thickBot="1" x14ac:dyDescent="0.35">
      <c r="A39" s="3">
        <v>48324</v>
      </c>
      <c r="B39" s="4">
        <v>45983</v>
      </c>
      <c r="C39" s="3" t="s">
        <v>94</v>
      </c>
      <c r="D39" s="3" t="s">
        <v>159</v>
      </c>
      <c r="E39" s="3" t="s">
        <v>160</v>
      </c>
      <c r="F39" s="3">
        <v>4</v>
      </c>
      <c r="G39" s="3" t="str">
        <f>_xlfn.XLOOKUP(Tabla3[[#This Row],[ID]],Tabla2[ID],Tabla2[Corregimiento],"NA")</f>
        <v>El Carmen</v>
      </c>
      <c r="H39" s="5"/>
      <c r="I39" s="5"/>
      <c r="J39" s="3">
        <v>1</v>
      </c>
      <c r="K39" s="15">
        <v>50000</v>
      </c>
      <c r="L39" s="15">
        <v>515000</v>
      </c>
      <c r="M39" s="15">
        <f>Tabla3[[#This Row],[VLR. TOTAL FACT.]]-Tabla3[[#This Row],[VLR. TRANSPORTE]]</f>
        <v>465000</v>
      </c>
      <c r="N39" s="3">
        <v>0</v>
      </c>
      <c r="O39" s="3" t="s">
        <v>117</v>
      </c>
    </row>
    <row r="40" spans="1:15" ht="15" thickBot="1" x14ac:dyDescent="0.35">
      <c r="A40" s="3" t="s">
        <v>122</v>
      </c>
      <c r="B40" s="4">
        <v>45983</v>
      </c>
      <c r="C40" s="3" t="s">
        <v>94</v>
      </c>
      <c r="D40" s="3" t="s">
        <v>161</v>
      </c>
      <c r="E40" s="3" t="s">
        <v>162</v>
      </c>
      <c r="F40" s="3"/>
      <c r="G40" s="3" t="str">
        <f>_xlfn.XLOOKUP(Tabla3[[#This Row],[ID]],Tabla2[ID],Tabla2[Corregimiento],"NA")</f>
        <v>NA</v>
      </c>
      <c r="H40" s="5"/>
      <c r="I40" s="5"/>
      <c r="J40" s="3">
        <v>1</v>
      </c>
      <c r="K40" s="15">
        <v>70000</v>
      </c>
      <c r="L40" s="15">
        <v>541100</v>
      </c>
      <c r="M40" s="15">
        <f>Tabla3[[#This Row],[VLR. TOTAL FACT.]]-Tabla3[[#This Row],[VLR. TRANSPORTE]]</f>
        <v>471100</v>
      </c>
      <c r="N40" s="3">
        <v>1</v>
      </c>
      <c r="O40" s="3" t="s">
        <v>122</v>
      </c>
    </row>
    <row r="41" spans="1:15" ht="15" thickBot="1" x14ac:dyDescent="0.35">
      <c r="A41" s="3">
        <v>48443</v>
      </c>
      <c r="B41" s="4">
        <v>45984</v>
      </c>
      <c r="C41" s="3" t="s">
        <v>94</v>
      </c>
      <c r="D41" s="3" t="s">
        <v>163</v>
      </c>
      <c r="E41" s="3" t="s">
        <v>122</v>
      </c>
      <c r="F41" s="3"/>
      <c r="G41" s="3" t="str">
        <f>_xlfn.XLOOKUP(Tabla3[[#This Row],[ID]],Tabla2[ID],Tabla2[Corregimiento],"NA")</f>
        <v>NA</v>
      </c>
      <c r="H41" s="5"/>
      <c r="I41" s="5"/>
      <c r="J41" s="3">
        <v>1</v>
      </c>
      <c r="K41" s="15">
        <v>70000</v>
      </c>
      <c r="L41" s="15">
        <v>300000</v>
      </c>
      <c r="M41" s="15">
        <f>Tabla3[[#This Row],[VLR. TOTAL FACT.]]-Tabla3[[#This Row],[VLR. TRANSPORTE]]</f>
        <v>230000</v>
      </c>
      <c r="N41" s="3">
        <v>1</v>
      </c>
      <c r="O41" s="3" t="s">
        <v>97</v>
      </c>
    </row>
    <row r="42" spans="1:15" ht="15" hidden="1" thickBot="1" x14ac:dyDescent="0.35">
      <c r="A42" s="3">
        <v>30630</v>
      </c>
      <c r="B42" s="4">
        <v>45973</v>
      </c>
      <c r="C42" s="3" t="s">
        <v>102</v>
      </c>
      <c r="D42" s="3" t="s">
        <v>164</v>
      </c>
      <c r="E42" s="3" t="s">
        <v>165</v>
      </c>
      <c r="F42" s="3">
        <v>6</v>
      </c>
      <c r="G42" s="3" t="str">
        <f>_xlfn.XLOOKUP(Tabla3[[#This Row],[ID]],Tabla2[ID],Tabla2[Corregimiento],"NA")</f>
        <v>El Limonar</v>
      </c>
      <c r="H42" s="3" t="s">
        <v>166</v>
      </c>
      <c r="I42" s="5"/>
      <c r="J42" s="3">
        <v>1</v>
      </c>
      <c r="K42" s="15">
        <v>70000</v>
      </c>
      <c r="L42" s="15">
        <v>785000</v>
      </c>
      <c r="M42" s="15">
        <f>Tabla3[[#This Row],[VLR. TOTAL FACT.]]-Tabla3[[#This Row],[VLR. TRANSPORTE]]</f>
        <v>715000</v>
      </c>
      <c r="N42" s="3">
        <v>0</v>
      </c>
      <c r="O42" s="3" t="s">
        <v>101</v>
      </c>
    </row>
    <row r="43" spans="1:15" ht="27.6" hidden="1" thickBot="1" x14ac:dyDescent="0.35">
      <c r="A43" s="3">
        <v>58270</v>
      </c>
      <c r="B43" s="4">
        <v>45985</v>
      </c>
      <c r="C43" s="3" t="s">
        <v>102</v>
      </c>
      <c r="D43" s="3" t="s">
        <v>167</v>
      </c>
      <c r="E43" s="3" t="s">
        <v>168</v>
      </c>
      <c r="F43" s="3">
        <v>4</v>
      </c>
      <c r="G43" s="3" t="str">
        <f>_xlfn.XLOOKUP(Tabla3[[#This Row],[ID]],Tabla2[ID],Tabla2[Corregimiento],"NA")</f>
        <v>El Carmen</v>
      </c>
      <c r="H43" s="3">
        <v>2</v>
      </c>
      <c r="I43" s="5"/>
      <c r="J43" s="3">
        <v>1</v>
      </c>
      <c r="K43" s="15">
        <v>30000</v>
      </c>
      <c r="L43" s="15">
        <v>656000</v>
      </c>
      <c r="M43" s="15">
        <f>Tabla3[[#This Row],[VLR. TOTAL FACT.]]-Tabla3[[#This Row],[VLR. TRANSPORTE]]</f>
        <v>626000</v>
      </c>
      <c r="N43" s="3">
        <v>1</v>
      </c>
      <c r="O43" s="3" t="s">
        <v>101</v>
      </c>
    </row>
    <row r="44" spans="1:15" ht="27.6" thickBot="1" x14ac:dyDescent="0.35">
      <c r="A44" s="3">
        <v>58552</v>
      </c>
      <c r="B44" s="4">
        <v>45977</v>
      </c>
      <c r="C44" s="3" t="s">
        <v>102</v>
      </c>
      <c r="D44" s="3" t="s">
        <v>169</v>
      </c>
      <c r="E44" s="3" t="s">
        <v>170</v>
      </c>
      <c r="F44" s="3"/>
      <c r="G44" s="3" t="str">
        <f>_xlfn.XLOOKUP(Tabla3[[#This Row],[ID]],Tabla2[ID],Tabla2[Corregimiento],"NA")</f>
        <v>NA</v>
      </c>
      <c r="H44" s="3">
        <v>2</v>
      </c>
      <c r="I44" s="5"/>
      <c r="J44" s="3">
        <v>1</v>
      </c>
      <c r="K44" s="15">
        <v>25000</v>
      </c>
      <c r="L44" s="15">
        <v>590000</v>
      </c>
      <c r="M44" s="15">
        <f>Tabla3[[#This Row],[VLR. TOTAL FACT.]]-Tabla3[[#This Row],[VLR. TRANSPORTE]]</f>
        <v>565000</v>
      </c>
      <c r="N44" s="3">
        <v>1</v>
      </c>
      <c r="O44" s="3" t="s">
        <v>101</v>
      </c>
    </row>
    <row r="45" spans="1:15" ht="27.6" hidden="1" thickBot="1" x14ac:dyDescent="0.35">
      <c r="A45" s="3">
        <v>48527</v>
      </c>
      <c r="B45" s="4">
        <v>45983</v>
      </c>
      <c r="C45" s="3" t="s">
        <v>94</v>
      </c>
      <c r="D45" s="3" t="s">
        <v>171</v>
      </c>
      <c r="E45" s="3" t="s">
        <v>111</v>
      </c>
      <c r="F45" s="3">
        <v>2</v>
      </c>
      <c r="G45" s="3" t="str">
        <f>_xlfn.XLOOKUP(Tabla3[[#This Row],[ID]],Tabla2[ID],Tabla2[Corregimiento],"NA")</f>
        <v>Borrero Ayerbe</v>
      </c>
      <c r="H45" s="3">
        <v>4</v>
      </c>
      <c r="I45" s="5"/>
      <c r="J45" s="3">
        <v>1</v>
      </c>
      <c r="K45" s="15">
        <v>60000</v>
      </c>
      <c r="L45" s="15">
        <v>838000</v>
      </c>
      <c r="M45" s="15">
        <f>Tabla3[[#This Row],[VLR. TOTAL FACT.]]-Tabla3[[#This Row],[VLR. TRANSPORTE]]</f>
        <v>778000</v>
      </c>
      <c r="N45" s="3">
        <v>1</v>
      </c>
      <c r="O45" s="3" t="s">
        <v>97</v>
      </c>
    </row>
    <row r="46" spans="1:15" ht="27.6" hidden="1" thickBot="1" x14ac:dyDescent="0.35">
      <c r="A46" s="3">
        <v>48458</v>
      </c>
      <c r="B46" s="4">
        <v>45983</v>
      </c>
      <c r="C46" s="3" t="s">
        <v>94</v>
      </c>
      <c r="D46" s="3" t="s">
        <v>147</v>
      </c>
      <c r="E46" s="3" t="s">
        <v>96</v>
      </c>
      <c r="F46" s="3">
        <v>25</v>
      </c>
      <c r="G46" s="3" t="str">
        <f>_xlfn.XLOOKUP(Tabla3[[#This Row],[ID]],Tabla2[ID],Tabla2[Corregimiento],"NA")</f>
        <v>Villahermosa</v>
      </c>
      <c r="H46" s="3">
        <v>7</v>
      </c>
      <c r="I46" s="5"/>
      <c r="J46" s="3">
        <v>1</v>
      </c>
      <c r="K46" s="15">
        <v>60000</v>
      </c>
      <c r="L46" s="15">
        <v>854500</v>
      </c>
      <c r="M46" s="15">
        <f>Tabla3[[#This Row],[VLR. TOTAL FACT.]]-Tabla3[[#This Row],[VLR. TRANSPORTE]]</f>
        <v>794500</v>
      </c>
      <c r="N46" s="3">
        <v>1</v>
      </c>
      <c r="O46" s="3" t="s">
        <v>97</v>
      </c>
    </row>
    <row r="47" spans="1:15" ht="27.6" hidden="1" thickBot="1" x14ac:dyDescent="0.35">
      <c r="A47" s="3">
        <v>48488</v>
      </c>
      <c r="B47" s="4">
        <v>45985</v>
      </c>
      <c r="C47" s="3" t="s">
        <v>94</v>
      </c>
      <c r="D47" s="3" t="s">
        <v>172</v>
      </c>
      <c r="E47" s="3" t="s">
        <v>106</v>
      </c>
      <c r="F47" s="3">
        <v>4</v>
      </c>
      <c r="G47" s="3" t="str">
        <f>_xlfn.XLOOKUP(Tabla3[[#This Row],[ID]],Tabla2[ID],Tabla2[Corregimiento],"NA")</f>
        <v>El Carmen</v>
      </c>
      <c r="H47" s="3">
        <v>3</v>
      </c>
      <c r="I47" s="5"/>
      <c r="J47" s="3">
        <v>1</v>
      </c>
      <c r="K47" s="15">
        <v>60000</v>
      </c>
      <c r="L47" s="15">
        <v>575400</v>
      </c>
      <c r="M47" s="15">
        <f>Tabla3[[#This Row],[VLR. TOTAL FACT.]]-Tabla3[[#This Row],[VLR. TRANSPORTE]]</f>
        <v>515400</v>
      </c>
      <c r="N47" s="3">
        <v>1</v>
      </c>
      <c r="O47" s="3" t="s">
        <v>97</v>
      </c>
    </row>
    <row r="48" spans="1:15" ht="15" thickBot="1" x14ac:dyDescent="0.35">
      <c r="A48" s="3">
        <v>30710</v>
      </c>
      <c r="B48" s="4">
        <v>45986</v>
      </c>
      <c r="C48" s="3" t="s">
        <v>102</v>
      </c>
      <c r="D48" s="3" t="s">
        <v>173</v>
      </c>
      <c r="E48" s="3" t="s">
        <v>174</v>
      </c>
      <c r="F48" s="3">
        <v>2</v>
      </c>
      <c r="G48" s="3" t="str">
        <f>_xlfn.XLOOKUP(Tabla3[[#This Row],[ID]],Tabla2[ID],Tabla2[Corregimiento],"NA")</f>
        <v>Borrero Ayerbe</v>
      </c>
      <c r="H48" s="3">
        <v>4</v>
      </c>
      <c r="I48" s="5"/>
      <c r="J48" s="3">
        <v>2</v>
      </c>
      <c r="K48" s="15">
        <v>40000</v>
      </c>
      <c r="L48" s="15">
        <v>5045600</v>
      </c>
      <c r="M48" s="15">
        <f>Tabla3[[#This Row],[VLR. TOTAL FACT.]]-Tabla3[[#This Row],[VLR. TRANSPORTE]]</f>
        <v>5005600</v>
      </c>
      <c r="N48" s="3">
        <v>1</v>
      </c>
      <c r="O48" s="3" t="s">
        <v>101</v>
      </c>
    </row>
    <row r="49" spans="1:15" ht="27.6" hidden="1" thickBot="1" x14ac:dyDescent="0.35">
      <c r="A49" s="3">
        <v>58976</v>
      </c>
      <c r="B49" s="4">
        <v>45985</v>
      </c>
      <c r="C49" s="3" t="s">
        <v>102</v>
      </c>
      <c r="D49" s="3" t="s">
        <v>175</v>
      </c>
      <c r="E49" s="3" t="s">
        <v>176</v>
      </c>
      <c r="F49" s="3">
        <v>22</v>
      </c>
      <c r="G49" s="3" t="str">
        <f>_xlfn.XLOOKUP(Tabla3[[#This Row],[ID]],Tabla2[ID],Tabla2[Corregimiento],"NA")</f>
        <v>San Bernardo</v>
      </c>
      <c r="H49" s="3">
        <v>6</v>
      </c>
      <c r="I49" s="5"/>
      <c r="J49" s="3">
        <v>1</v>
      </c>
      <c r="K49" s="15">
        <v>70000</v>
      </c>
      <c r="L49" s="15">
        <v>841000</v>
      </c>
      <c r="M49" s="15">
        <f>Tabla3[[#This Row],[VLR. TOTAL FACT.]]-Tabla3[[#This Row],[VLR. TRANSPORTE]]</f>
        <v>771000</v>
      </c>
      <c r="N49" s="3">
        <v>1</v>
      </c>
      <c r="O49" s="3" t="s">
        <v>101</v>
      </c>
    </row>
    <row r="50" spans="1:15" ht="15" thickBot="1" x14ac:dyDescent="0.35">
      <c r="A50" s="3">
        <v>48585</v>
      </c>
      <c r="B50" s="4">
        <v>45983</v>
      </c>
      <c r="C50" s="3" t="s">
        <v>94</v>
      </c>
      <c r="D50" s="3" t="s">
        <v>177</v>
      </c>
      <c r="E50" s="3" t="s">
        <v>178</v>
      </c>
      <c r="F50" s="3">
        <v>22</v>
      </c>
      <c r="G50" s="3" t="str">
        <f>_xlfn.XLOOKUP(Tabla3[[#This Row],[ID]],Tabla2[ID],Tabla2[Corregimiento],"NA")</f>
        <v>San Bernardo</v>
      </c>
      <c r="H50" s="3" t="s">
        <v>179</v>
      </c>
      <c r="I50" s="5"/>
      <c r="J50" s="3">
        <v>2</v>
      </c>
      <c r="K50" s="15">
        <v>80000</v>
      </c>
      <c r="L50" s="15">
        <v>5520700</v>
      </c>
      <c r="M50" s="15">
        <f>Tabla3[[#This Row],[VLR. TOTAL FACT.]]-Tabla3[[#This Row],[VLR. TRANSPORTE]]</f>
        <v>5440700</v>
      </c>
      <c r="N50" s="3">
        <v>1</v>
      </c>
      <c r="O50" s="3" t="s">
        <v>97</v>
      </c>
    </row>
    <row r="51" spans="1:15" ht="27.6" hidden="1" thickBot="1" x14ac:dyDescent="0.35">
      <c r="A51" s="3">
        <v>48586</v>
      </c>
      <c r="B51" s="4">
        <v>45986</v>
      </c>
      <c r="C51" s="3" t="s">
        <v>94</v>
      </c>
      <c r="D51" s="3" t="s">
        <v>180</v>
      </c>
      <c r="E51" s="3" t="s">
        <v>111</v>
      </c>
      <c r="F51" s="3">
        <v>2</v>
      </c>
      <c r="G51" s="3" t="str">
        <f>_xlfn.XLOOKUP(Tabla3[[#This Row],[ID]],Tabla2[ID],Tabla2[Corregimiento],"NA")</f>
        <v>Borrero Ayerbe</v>
      </c>
      <c r="H51" s="3">
        <v>4</v>
      </c>
      <c r="I51" s="5"/>
      <c r="J51" s="3">
        <v>1</v>
      </c>
      <c r="K51" s="15">
        <v>30000</v>
      </c>
      <c r="L51" s="15">
        <v>124000</v>
      </c>
      <c r="M51" s="15">
        <f>Tabla3[[#This Row],[VLR. TOTAL FACT.]]-Tabla3[[#This Row],[VLR. TRANSPORTE]]</f>
        <v>94000</v>
      </c>
      <c r="N51" s="3">
        <v>0</v>
      </c>
      <c r="O51" s="3" t="s">
        <v>97</v>
      </c>
    </row>
    <row r="52" spans="1:15" ht="15" hidden="1" thickBot="1" x14ac:dyDescent="0.35">
      <c r="A52" s="12">
        <v>48569</v>
      </c>
      <c r="B52" s="13">
        <v>45984</v>
      </c>
      <c r="C52" s="12" t="s">
        <v>94</v>
      </c>
      <c r="D52" s="12" t="s">
        <v>181</v>
      </c>
      <c r="E52" s="12" t="s">
        <v>96</v>
      </c>
      <c r="F52" s="12">
        <v>25</v>
      </c>
      <c r="G52" s="12" t="str">
        <f>_xlfn.XLOOKUP(Tabla3[[#This Row],[ID]],Tabla2[ID],Tabla2[Corregimiento],"NA")</f>
        <v>Villahermosa</v>
      </c>
      <c r="H52" s="12">
        <v>7</v>
      </c>
      <c r="I52" s="14"/>
      <c r="J52" s="12">
        <v>1</v>
      </c>
      <c r="K52" s="16">
        <v>80000</v>
      </c>
      <c r="L52" s="16">
        <v>1219500</v>
      </c>
      <c r="M52" s="15">
        <f>Tabla3[[#This Row],[VLR. TOTAL FACT.]]-Tabla3[[#This Row],[VLR. TRANSPORTE]]</f>
        <v>1139500</v>
      </c>
      <c r="N52" s="12">
        <v>1</v>
      </c>
      <c r="O52" s="12" t="s">
        <v>97</v>
      </c>
    </row>
    <row r="53" spans="1:15" ht="15" thickBot="1" x14ac:dyDescent="0.35">
      <c r="A53" s="3">
        <v>57376</v>
      </c>
      <c r="B53" s="4">
        <v>45950</v>
      </c>
      <c r="C53" s="3"/>
      <c r="D53" s="3" t="s">
        <v>378</v>
      </c>
      <c r="E53" s="3" t="s">
        <v>122</v>
      </c>
      <c r="F53" s="3"/>
      <c r="G53" s="3" t="str">
        <f>_xlfn.XLOOKUP(Tabla3[[#This Row],[ID]],Tabla2[ID],Tabla2[Corregimiento],"NA")</f>
        <v>NA</v>
      </c>
      <c r="H53" s="3"/>
      <c r="I53" s="5"/>
      <c r="J53" s="3"/>
      <c r="K53" s="15">
        <v>0</v>
      </c>
      <c r="L53" s="15">
        <v>615300</v>
      </c>
      <c r="M53" s="15">
        <f>Tabla3[[#This Row],[VLR. TOTAL FACT.]]-Tabla3[[#This Row],[VLR. TRANSPORTE]]</f>
        <v>615300</v>
      </c>
      <c r="N53" s="3"/>
      <c r="O53" s="3" t="s">
        <v>270</v>
      </c>
    </row>
    <row r="54" spans="1:15" ht="27.6" thickBot="1" x14ac:dyDescent="0.35">
      <c r="A54" s="12" t="s">
        <v>122</v>
      </c>
      <c r="B54" s="13">
        <v>45962</v>
      </c>
      <c r="C54" s="12" t="s">
        <v>94</v>
      </c>
      <c r="D54" s="12" t="s">
        <v>184</v>
      </c>
      <c r="E54" s="12" t="s">
        <v>185</v>
      </c>
      <c r="F54" s="12">
        <v>2</v>
      </c>
      <c r="G54" s="12" t="str">
        <f>_xlfn.XLOOKUP(Tabla3[[#This Row],[ID]],Tabla2[ID],Tabla2[Corregimiento],"NA")</f>
        <v>Borrero Ayerbe</v>
      </c>
      <c r="H54" s="12"/>
      <c r="I54" s="14"/>
      <c r="J54" s="12">
        <v>1</v>
      </c>
      <c r="K54" s="16">
        <v>40000</v>
      </c>
      <c r="L54" s="16">
        <v>369000</v>
      </c>
      <c r="M54" s="15">
        <f>Tabla3[[#This Row],[VLR. TOTAL FACT.]]-Tabla3[[#This Row],[VLR. TRANSPORTE]]</f>
        <v>329000</v>
      </c>
      <c r="N54" s="12">
        <v>0</v>
      </c>
      <c r="O54" s="12" t="s">
        <v>101</v>
      </c>
    </row>
    <row r="55" spans="1:15" ht="15" thickBot="1" x14ac:dyDescent="0.35">
      <c r="A55" s="3">
        <v>46418</v>
      </c>
      <c r="B55" s="4">
        <v>45962</v>
      </c>
      <c r="C55" s="3" t="s">
        <v>94</v>
      </c>
      <c r="D55" s="3" t="s">
        <v>186</v>
      </c>
      <c r="E55" s="3" t="s">
        <v>187</v>
      </c>
      <c r="F55" s="3"/>
      <c r="G55" s="3" t="str">
        <f>_xlfn.XLOOKUP(Tabla3[[#This Row],[ID]],Tabla2[ID],Tabla2[Corregimiento],"NA")</f>
        <v>NA</v>
      </c>
      <c r="H55" s="3"/>
      <c r="I55" s="5"/>
      <c r="J55" s="3">
        <v>1</v>
      </c>
      <c r="K55" s="15">
        <v>40000</v>
      </c>
      <c r="L55" s="15">
        <v>233000</v>
      </c>
      <c r="M55" s="15">
        <f>Tabla3[[#This Row],[VLR. TOTAL FACT.]]-Tabla3[[#This Row],[VLR. TRANSPORTE]]</f>
        <v>193000</v>
      </c>
      <c r="N55" s="3">
        <v>0</v>
      </c>
      <c r="O55" s="3" t="s">
        <v>97</v>
      </c>
    </row>
    <row r="56" spans="1:15" ht="15" hidden="1" thickBot="1" x14ac:dyDescent="0.35">
      <c r="A56" s="12">
        <v>46430</v>
      </c>
      <c r="B56" s="13">
        <v>45962</v>
      </c>
      <c r="C56" s="12" t="s">
        <v>94</v>
      </c>
      <c r="D56" s="12" t="s">
        <v>188</v>
      </c>
      <c r="E56" s="12" t="s">
        <v>189</v>
      </c>
      <c r="F56" s="12">
        <v>2</v>
      </c>
      <c r="G56" s="12" t="str">
        <f>_xlfn.XLOOKUP(Tabla3[[#This Row],[ID]],Tabla2[ID],Tabla2[Corregimiento],"NA")</f>
        <v>Borrero Ayerbe</v>
      </c>
      <c r="H56" s="12">
        <v>1</v>
      </c>
      <c r="I56" s="14"/>
      <c r="J56" s="12">
        <v>1</v>
      </c>
      <c r="K56" s="16">
        <v>30000</v>
      </c>
      <c r="L56" s="16">
        <v>768000</v>
      </c>
      <c r="M56" s="15">
        <f>Tabla3[[#This Row],[VLR. TOTAL FACT.]]-Tabla3[[#This Row],[VLR. TRANSPORTE]]</f>
        <v>738000</v>
      </c>
      <c r="N56" s="12">
        <v>0</v>
      </c>
      <c r="O56" s="12" t="s">
        <v>97</v>
      </c>
    </row>
    <row r="57" spans="1:15" ht="15" thickBot="1" x14ac:dyDescent="0.35">
      <c r="A57" s="3">
        <v>52000</v>
      </c>
      <c r="B57" s="4">
        <v>45962</v>
      </c>
      <c r="C57" s="3" t="s">
        <v>94</v>
      </c>
      <c r="D57" s="3" t="s">
        <v>190</v>
      </c>
      <c r="E57" s="3" t="s">
        <v>191</v>
      </c>
      <c r="F57" s="3">
        <v>2</v>
      </c>
      <c r="G57" s="3" t="str">
        <f>_xlfn.XLOOKUP(Tabla3[[#This Row],[ID]],Tabla2[ID],Tabla2[Corregimiento],"NA")</f>
        <v>Borrero Ayerbe</v>
      </c>
      <c r="H57" s="3" t="s">
        <v>192</v>
      </c>
      <c r="I57" s="5"/>
      <c r="J57" s="3">
        <v>3</v>
      </c>
      <c r="K57" s="15">
        <v>120000</v>
      </c>
      <c r="L57" s="15">
        <v>4564800</v>
      </c>
      <c r="M57" s="15">
        <f>Tabla3[[#This Row],[VLR. TOTAL FACT.]]-Tabla3[[#This Row],[VLR. TRANSPORTE]]</f>
        <v>4444800</v>
      </c>
      <c r="N57" s="3">
        <v>1</v>
      </c>
      <c r="O57" s="3" t="s">
        <v>97</v>
      </c>
    </row>
    <row r="58" spans="1:15" ht="15" hidden="1" thickBot="1" x14ac:dyDescent="0.35">
      <c r="A58" s="12">
        <v>46458</v>
      </c>
      <c r="B58" s="13">
        <v>45962</v>
      </c>
      <c r="C58" s="12" t="s">
        <v>94</v>
      </c>
      <c r="D58" s="12" t="s">
        <v>195</v>
      </c>
      <c r="E58" s="12" t="s">
        <v>196</v>
      </c>
      <c r="F58" s="12">
        <v>4</v>
      </c>
      <c r="G58" s="12" t="str">
        <f>_xlfn.XLOOKUP(Tabla3[[#This Row],[ID]],Tabla2[ID],Tabla2[Corregimiento],"NA")</f>
        <v>El Carmen</v>
      </c>
      <c r="H58" s="12">
        <v>5</v>
      </c>
      <c r="I58" s="14"/>
      <c r="J58" s="12">
        <v>1</v>
      </c>
      <c r="K58" s="16">
        <v>30000</v>
      </c>
      <c r="L58" s="16">
        <v>994000</v>
      </c>
      <c r="M58" s="15">
        <f>Tabla3[[#This Row],[VLR. TOTAL FACT.]]-Tabla3[[#This Row],[VLR. TRANSPORTE]]</f>
        <v>964000</v>
      </c>
      <c r="N58" s="12">
        <v>0</v>
      </c>
      <c r="O58" s="12" t="s">
        <v>127</v>
      </c>
    </row>
    <row r="59" spans="1:15" ht="27.6" thickBot="1" x14ac:dyDescent="0.35">
      <c r="A59" s="3">
        <v>57636</v>
      </c>
      <c r="B59" s="4">
        <v>45962</v>
      </c>
      <c r="C59" s="3" t="s">
        <v>102</v>
      </c>
      <c r="D59" s="3" t="s">
        <v>197</v>
      </c>
      <c r="E59" s="3" t="s">
        <v>198</v>
      </c>
      <c r="F59" s="3"/>
      <c r="G59" s="3" t="str">
        <f>_xlfn.XLOOKUP(Tabla3[[#This Row],[ID]],Tabla2[ID],Tabla2[Corregimiento],"NA")</f>
        <v>NA</v>
      </c>
      <c r="H59" s="3"/>
      <c r="I59" s="5"/>
      <c r="J59" s="3">
        <v>1</v>
      </c>
      <c r="K59" s="15">
        <v>15000</v>
      </c>
      <c r="L59" s="15">
        <v>526000</v>
      </c>
      <c r="M59" s="15">
        <f>Tabla3[[#This Row],[VLR. TOTAL FACT.]]-Tabla3[[#This Row],[VLR. TRANSPORTE]]</f>
        <v>511000</v>
      </c>
      <c r="N59" s="3">
        <v>0</v>
      </c>
      <c r="O59" s="3" t="s">
        <v>101</v>
      </c>
    </row>
    <row r="60" spans="1:15" ht="27.6" hidden="1" thickBot="1" x14ac:dyDescent="0.35">
      <c r="A60" s="12">
        <v>46903</v>
      </c>
      <c r="B60" s="13">
        <v>45967</v>
      </c>
      <c r="C60" s="12" t="s">
        <v>94</v>
      </c>
      <c r="D60" s="12" t="s">
        <v>199</v>
      </c>
      <c r="E60" s="12" t="s">
        <v>200</v>
      </c>
      <c r="F60" s="12">
        <v>22</v>
      </c>
      <c r="G60" s="12" t="str">
        <f>_xlfn.XLOOKUP(Tabla3[[#This Row],[ID]],Tabla2[ID],Tabla2[Corregimiento],"NA")</f>
        <v>San Bernardo</v>
      </c>
      <c r="H60" s="12" t="s">
        <v>201</v>
      </c>
      <c r="I60" s="14"/>
      <c r="J60" s="12">
        <v>1</v>
      </c>
      <c r="K60" s="16">
        <v>50000</v>
      </c>
      <c r="L60" s="16">
        <v>428000</v>
      </c>
      <c r="M60" s="15">
        <f>Tabla3[[#This Row],[VLR. TOTAL FACT.]]-Tabla3[[#This Row],[VLR. TRANSPORTE]]</f>
        <v>378000</v>
      </c>
      <c r="N60" s="12">
        <v>0</v>
      </c>
      <c r="O60" s="12" t="s">
        <v>97</v>
      </c>
    </row>
    <row r="61" spans="1:15" ht="15" hidden="1" thickBot="1" x14ac:dyDescent="0.35">
      <c r="A61" s="3">
        <v>46851</v>
      </c>
      <c r="B61" s="4">
        <v>45967</v>
      </c>
      <c r="C61" s="3" t="s">
        <v>94</v>
      </c>
      <c r="D61" s="3" t="s">
        <v>202</v>
      </c>
      <c r="E61" s="3" t="s">
        <v>165</v>
      </c>
      <c r="F61" s="3">
        <v>6</v>
      </c>
      <c r="G61" s="3" t="str">
        <f>_xlfn.XLOOKUP(Tabla3[[#This Row],[ID]],Tabla2[ID],Tabla2[Corregimiento],"NA")</f>
        <v>El Limonar</v>
      </c>
      <c r="H61" s="3" t="s">
        <v>166</v>
      </c>
      <c r="I61" s="5"/>
      <c r="J61" s="3">
        <v>1</v>
      </c>
      <c r="K61" s="15">
        <v>15000</v>
      </c>
      <c r="L61" s="15">
        <v>562000</v>
      </c>
      <c r="M61" s="15">
        <f>Tabla3[[#This Row],[VLR. TOTAL FACT.]]-Tabla3[[#This Row],[VLR. TRANSPORTE]]</f>
        <v>547000</v>
      </c>
      <c r="N61" s="3">
        <v>1</v>
      </c>
      <c r="O61" s="3" t="s">
        <v>97</v>
      </c>
    </row>
    <row r="62" spans="1:15" ht="27.6" hidden="1" thickBot="1" x14ac:dyDescent="0.35">
      <c r="A62" s="12">
        <v>46906</v>
      </c>
      <c r="B62" s="13">
        <v>45966</v>
      </c>
      <c r="C62" s="12" t="s">
        <v>94</v>
      </c>
      <c r="D62" s="12" t="s">
        <v>203</v>
      </c>
      <c r="E62" s="12" t="s">
        <v>151</v>
      </c>
      <c r="F62" s="12">
        <v>4</v>
      </c>
      <c r="G62" s="12" t="str">
        <f>_xlfn.XLOOKUP(Tabla3[[#This Row],[ID]],Tabla2[ID],Tabla2[Corregimiento],"NA")</f>
        <v>El Carmen</v>
      </c>
      <c r="H62" s="12" t="s">
        <v>152</v>
      </c>
      <c r="I62" s="14"/>
      <c r="J62" s="12">
        <v>2</v>
      </c>
      <c r="K62" s="16">
        <v>160000</v>
      </c>
      <c r="L62" s="16">
        <v>1915000</v>
      </c>
      <c r="M62" s="15">
        <f>Tabla3[[#This Row],[VLR. TOTAL FACT.]]-Tabla3[[#This Row],[VLR. TRANSPORTE]]</f>
        <v>1755000</v>
      </c>
      <c r="N62" s="12">
        <v>1</v>
      </c>
      <c r="O62" s="12" t="s">
        <v>97</v>
      </c>
    </row>
    <row r="63" spans="1:15" ht="27.6" thickBot="1" x14ac:dyDescent="0.35">
      <c r="A63" s="3">
        <v>46874</v>
      </c>
      <c r="B63" s="4">
        <v>45967</v>
      </c>
      <c r="C63" s="3" t="s">
        <v>94</v>
      </c>
      <c r="D63" s="3" t="s">
        <v>206</v>
      </c>
      <c r="E63" s="3" t="s">
        <v>207</v>
      </c>
      <c r="F63" s="3">
        <v>4</v>
      </c>
      <c r="G63" s="3" t="str">
        <f>_xlfn.XLOOKUP(Tabla3[[#This Row],[ID]],Tabla2[ID],Tabla2[Corregimiento],"NA")</f>
        <v>El Carmen</v>
      </c>
      <c r="H63" s="3" t="s">
        <v>208</v>
      </c>
      <c r="I63" s="5"/>
      <c r="J63" s="3">
        <v>1</v>
      </c>
      <c r="K63" s="15">
        <v>50000</v>
      </c>
      <c r="L63" s="15">
        <v>119000</v>
      </c>
      <c r="M63" s="15">
        <f>Tabla3[[#This Row],[VLR. TOTAL FACT.]]-Tabla3[[#This Row],[VLR. TRANSPORTE]]</f>
        <v>69000</v>
      </c>
      <c r="N63" s="3">
        <v>1</v>
      </c>
      <c r="O63" s="3" t="s">
        <v>101</v>
      </c>
    </row>
    <row r="64" spans="1:15" ht="27.6" thickBot="1" x14ac:dyDescent="0.35">
      <c r="A64" s="12">
        <v>46527</v>
      </c>
      <c r="B64" s="13">
        <v>45967</v>
      </c>
      <c r="C64" s="12" t="s">
        <v>94</v>
      </c>
      <c r="D64" s="12" t="s">
        <v>209</v>
      </c>
      <c r="E64" s="12" t="s">
        <v>210</v>
      </c>
      <c r="F64" s="12">
        <v>6</v>
      </c>
      <c r="G64" s="12" t="str">
        <f>_xlfn.XLOOKUP(Tabla3[[#This Row],[ID]],Tabla2[ID],Tabla2[Corregimiento],"NA")</f>
        <v>El Limonar</v>
      </c>
      <c r="H64" s="12">
        <v>7</v>
      </c>
      <c r="I64" s="14"/>
      <c r="J64" s="12">
        <v>2</v>
      </c>
      <c r="K64" s="16">
        <v>140000</v>
      </c>
      <c r="L64" s="16">
        <v>1784000</v>
      </c>
      <c r="M64" s="15">
        <f>Tabla3[[#This Row],[VLR. TOTAL FACT.]]-Tabla3[[#This Row],[VLR. TRANSPORTE]]</f>
        <v>1644000</v>
      </c>
      <c r="N64" s="12">
        <v>0</v>
      </c>
      <c r="O64" s="12" t="s">
        <v>127</v>
      </c>
    </row>
    <row r="65" spans="1:15" ht="15" hidden="1" thickBot="1" x14ac:dyDescent="0.35">
      <c r="A65" s="3">
        <v>46592</v>
      </c>
      <c r="B65" s="4">
        <v>45964</v>
      </c>
      <c r="C65" s="3" t="s">
        <v>94</v>
      </c>
      <c r="D65" s="3" t="s">
        <v>213</v>
      </c>
      <c r="E65" s="3" t="s">
        <v>176</v>
      </c>
      <c r="F65" s="3">
        <v>22</v>
      </c>
      <c r="G65" s="3" t="str">
        <f>_xlfn.XLOOKUP(Tabla3[[#This Row],[ID]],Tabla2[ID],Tabla2[Corregimiento],"NA")</f>
        <v>San Bernardo</v>
      </c>
      <c r="H65" s="3">
        <v>6</v>
      </c>
      <c r="I65" s="5"/>
      <c r="J65" s="3">
        <v>1</v>
      </c>
      <c r="K65" s="15">
        <v>60000</v>
      </c>
      <c r="L65" s="15">
        <v>846000</v>
      </c>
      <c r="M65" s="15">
        <f>Tabla3[[#This Row],[VLR. TOTAL FACT.]]-Tabla3[[#This Row],[VLR. TRANSPORTE]]</f>
        <v>786000</v>
      </c>
      <c r="N65" s="3">
        <v>1</v>
      </c>
      <c r="O65" s="3" t="s">
        <v>97</v>
      </c>
    </row>
    <row r="66" spans="1:15" ht="27.6" hidden="1" thickBot="1" x14ac:dyDescent="0.35">
      <c r="A66" s="12">
        <v>58024</v>
      </c>
      <c r="B66" s="13">
        <v>45964</v>
      </c>
      <c r="C66" s="12" t="s">
        <v>102</v>
      </c>
      <c r="D66" s="12" t="s">
        <v>214</v>
      </c>
      <c r="E66" s="12" t="s">
        <v>108</v>
      </c>
      <c r="F66" s="12">
        <v>4</v>
      </c>
      <c r="G66" s="12" t="str">
        <f>_xlfn.XLOOKUP(Tabla3[[#This Row],[ID]],Tabla2[ID],Tabla2[Corregimiento],"NA")</f>
        <v>El Carmen</v>
      </c>
      <c r="H66" s="12"/>
      <c r="I66" s="14"/>
      <c r="J66" s="12">
        <v>1</v>
      </c>
      <c r="K66" s="16">
        <v>60000</v>
      </c>
      <c r="L66" s="16">
        <v>302000</v>
      </c>
      <c r="M66" s="15">
        <f>Tabla3[[#This Row],[VLR. TOTAL FACT.]]-Tabla3[[#This Row],[VLR. TRANSPORTE]]</f>
        <v>242000</v>
      </c>
      <c r="N66" s="12">
        <v>1</v>
      </c>
      <c r="O66" s="12" t="s">
        <v>101</v>
      </c>
    </row>
    <row r="67" spans="1:15" ht="15" thickBot="1" x14ac:dyDescent="0.35">
      <c r="A67" s="3">
        <v>46662</v>
      </c>
      <c r="B67" s="4">
        <v>45967</v>
      </c>
      <c r="C67" s="3" t="s">
        <v>94</v>
      </c>
      <c r="D67" s="3" t="s">
        <v>215</v>
      </c>
      <c r="E67" s="3" t="s">
        <v>216</v>
      </c>
      <c r="F67" s="3"/>
      <c r="G67" s="3" t="str">
        <f>_xlfn.XLOOKUP(Tabla3[[#This Row],[ID]],Tabla2[ID],Tabla2[Corregimiento],"NA")</f>
        <v>NA</v>
      </c>
      <c r="H67" s="3" t="s">
        <v>217</v>
      </c>
      <c r="I67" s="5"/>
      <c r="J67" s="3">
        <v>1</v>
      </c>
      <c r="K67" s="15">
        <v>40000</v>
      </c>
      <c r="L67" s="15">
        <v>169000</v>
      </c>
      <c r="M67" s="15">
        <f>Tabla3[[#This Row],[VLR. TOTAL FACT.]]-Tabla3[[#This Row],[VLR. TRANSPORTE]]</f>
        <v>129000</v>
      </c>
      <c r="N67" s="3">
        <v>1</v>
      </c>
      <c r="O67" s="3" t="s">
        <v>127</v>
      </c>
    </row>
    <row r="68" spans="1:15" ht="15" hidden="1" thickBot="1" x14ac:dyDescent="0.35">
      <c r="A68" s="12">
        <v>46693</v>
      </c>
      <c r="B68" s="13">
        <v>45967</v>
      </c>
      <c r="C68" s="12" t="s">
        <v>94</v>
      </c>
      <c r="D68" s="12" t="s">
        <v>218</v>
      </c>
      <c r="E68" s="12">
        <v>40</v>
      </c>
      <c r="F68" s="12">
        <v>6</v>
      </c>
      <c r="G68" s="12" t="str">
        <f>_xlfn.XLOOKUP(Tabla3[[#This Row],[ID]],Tabla2[ID],Tabla2[Corregimiento],"NA")</f>
        <v>El Limonar</v>
      </c>
      <c r="H68" s="12">
        <v>10</v>
      </c>
      <c r="I68" s="14"/>
      <c r="J68" s="12">
        <v>1</v>
      </c>
      <c r="K68" s="16">
        <v>30000</v>
      </c>
      <c r="L68" s="16">
        <v>1393600</v>
      </c>
      <c r="M68" s="15">
        <f>Tabla3[[#This Row],[VLR. TOTAL FACT.]]-Tabla3[[#This Row],[VLR. TRANSPORTE]]</f>
        <v>1363600</v>
      </c>
      <c r="N68" s="12">
        <v>0</v>
      </c>
      <c r="O68" s="12" t="s">
        <v>127</v>
      </c>
    </row>
    <row r="69" spans="1:15" ht="15" hidden="1" thickBot="1" x14ac:dyDescent="0.35">
      <c r="A69" s="3">
        <v>57685</v>
      </c>
      <c r="B69" s="4">
        <v>45962</v>
      </c>
      <c r="C69" s="3" t="s">
        <v>102</v>
      </c>
      <c r="D69" s="3" t="s">
        <v>221</v>
      </c>
      <c r="E69" s="3" t="s">
        <v>222</v>
      </c>
      <c r="F69" s="3">
        <v>8</v>
      </c>
      <c r="G69" s="3" t="str">
        <f>_xlfn.XLOOKUP(Tabla3[[#This Row],[ID]],Tabla2[ID],Tabla2[Corregimiento],"NA")</f>
        <v>El Palmar</v>
      </c>
      <c r="H69" s="3"/>
      <c r="I69" s="5"/>
      <c r="J69" s="3">
        <v>1</v>
      </c>
      <c r="K69" s="15">
        <v>80000</v>
      </c>
      <c r="L69" s="15">
        <v>415000</v>
      </c>
      <c r="M69" s="15">
        <f>Tabla3[[#This Row],[VLR. TOTAL FACT.]]-Tabla3[[#This Row],[VLR. TRANSPORTE]]</f>
        <v>335000</v>
      </c>
      <c r="N69" s="3">
        <v>0</v>
      </c>
      <c r="O69" s="3" t="s">
        <v>101</v>
      </c>
    </row>
    <row r="70" spans="1:15" ht="15" thickBot="1" x14ac:dyDescent="0.35">
      <c r="A70" s="12">
        <v>46700</v>
      </c>
      <c r="B70" s="13">
        <v>45965</v>
      </c>
      <c r="C70" s="12" t="s">
        <v>94</v>
      </c>
      <c r="D70" s="12" t="s">
        <v>223</v>
      </c>
      <c r="E70" s="12" t="s">
        <v>224</v>
      </c>
      <c r="F70" s="12"/>
      <c r="G70" s="12" t="str">
        <f>_xlfn.XLOOKUP(Tabla3[[#This Row],[ID]],Tabla2[ID],Tabla2[Corregimiento],"NA")</f>
        <v>NA</v>
      </c>
      <c r="H70" s="12" t="s">
        <v>120</v>
      </c>
      <c r="I70" s="14"/>
      <c r="J70" s="12">
        <v>1</v>
      </c>
      <c r="K70" s="16">
        <v>50000</v>
      </c>
      <c r="L70" s="16">
        <v>139000</v>
      </c>
      <c r="M70" s="15">
        <f>Tabla3[[#This Row],[VLR. TOTAL FACT.]]-Tabla3[[#This Row],[VLR. TRANSPORTE]]</f>
        <v>89000</v>
      </c>
      <c r="N70" s="12">
        <v>0</v>
      </c>
      <c r="O70" s="12" t="s">
        <v>97</v>
      </c>
    </row>
    <row r="71" spans="1:15" ht="15" hidden="1" thickBot="1" x14ac:dyDescent="0.35">
      <c r="A71" s="3">
        <v>46605</v>
      </c>
      <c r="B71" s="4">
        <v>45963</v>
      </c>
      <c r="C71" s="3" t="s">
        <v>94</v>
      </c>
      <c r="D71" s="3" t="s">
        <v>225</v>
      </c>
      <c r="E71" s="3" t="s">
        <v>160</v>
      </c>
      <c r="F71" s="3">
        <v>20</v>
      </c>
      <c r="G71" s="3" t="str">
        <f>_xlfn.XLOOKUP(Tabla3[[#This Row],[ID]],Tabla2[ID],Tabla2[Corregimiento],"NA")</f>
        <v>Los Cristales</v>
      </c>
      <c r="H71" s="3" t="s">
        <v>208</v>
      </c>
      <c r="I71" s="5"/>
      <c r="J71" s="3">
        <v>1</v>
      </c>
      <c r="K71" s="15">
        <v>60000</v>
      </c>
      <c r="L71" s="15">
        <v>420000</v>
      </c>
      <c r="M71" s="15">
        <f>Tabla3[[#This Row],[VLR. TOTAL FACT.]]-Tabla3[[#This Row],[VLR. TRANSPORTE]]</f>
        <v>360000</v>
      </c>
      <c r="N71" s="3">
        <v>1</v>
      </c>
      <c r="O71" s="3" t="s">
        <v>97</v>
      </c>
    </row>
    <row r="72" spans="1:15" ht="15" thickBot="1" x14ac:dyDescent="0.35">
      <c r="A72" s="12">
        <v>511</v>
      </c>
      <c r="B72" s="13">
        <v>45966</v>
      </c>
      <c r="C72" s="12" t="s">
        <v>94</v>
      </c>
      <c r="D72" s="12" t="s">
        <v>226</v>
      </c>
      <c r="E72" s="12" t="s">
        <v>174</v>
      </c>
      <c r="F72" s="12">
        <v>2</v>
      </c>
      <c r="G72" s="12" t="str">
        <f>_xlfn.XLOOKUP(Tabla3[[#This Row],[ID]],Tabla2[ID],Tabla2[Corregimiento],"NA")</f>
        <v>Borrero Ayerbe</v>
      </c>
      <c r="H72" s="12">
        <v>3</v>
      </c>
      <c r="I72" s="14"/>
      <c r="J72" s="12">
        <v>1</v>
      </c>
      <c r="K72" s="16">
        <v>15000</v>
      </c>
      <c r="L72" s="16">
        <v>189000</v>
      </c>
      <c r="M72" s="15">
        <f>Tabla3[[#This Row],[VLR. TOTAL FACT.]]-Tabla3[[#This Row],[VLR. TRANSPORTE]]</f>
        <v>174000</v>
      </c>
      <c r="N72" s="12">
        <v>0</v>
      </c>
      <c r="O72" s="12" t="s">
        <v>97</v>
      </c>
    </row>
    <row r="73" spans="1:15" ht="27.6" hidden="1" thickBot="1" x14ac:dyDescent="0.35">
      <c r="A73" s="3">
        <v>58104</v>
      </c>
      <c r="B73" s="4">
        <v>45966</v>
      </c>
      <c r="C73" s="3" t="s">
        <v>94</v>
      </c>
      <c r="D73" s="3" t="s">
        <v>227</v>
      </c>
      <c r="E73" s="3" t="s">
        <v>228</v>
      </c>
      <c r="F73" s="3">
        <v>4</v>
      </c>
      <c r="G73" s="3" t="str">
        <f>_xlfn.XLOOKUP(Tabla3[[#This Row],[ID]],Tabla2[ID],Tabla2[Corregimiento],"NA")</f>
        <v>El Carmen</v>
      </c>
      <c r="H73" s="3" t="s">
        <v>208</v>
      </c>
      <c r="I73" s="5"/>
      <c r="J73" s="3">
        <v>1</v>
      </c>
      <c r="K73" s="15">
        <v>70000</v>
      </c>
      <c r="L73" s="15">
        <v>376000</v>
      </c>
      <c r="M73" s="15">
        <f>Tabla3[[#This Row],[VLR. TOTAL FACT.]]-Tabla3[[#This Row],[VLR. TRANSPORTE]]</f>
        <v>306000</v>
      </c>
      <c r="N73" s="3">
        <v>1</v>
      </c>
      <c r="O73" s="3" t="s">
        <v>101</v>
      </c>
    </row>
    <row r="74" spans="1:15" ht="27.6" hidden="1" thickBot="1" x14ac:dyDescent="0.35">
      <c r="A74" s="12">
        <v>57737</v>
      </c>
      <c r="B74" s="13">
        <v>45966</v>
      </c>
      <c r="C74" s="12" t="s">
        <v>94</v>
      </c>
      <c r="D74" s="12" t="s">
        <v>229</v>
      </c>
      <c r="E74" s="12" t="s">
        <v>230</v>
      </c>
      <c r="F74" s="12">
        <v>4</v>
      </c>
      <c r="G74" s="12" t="str">
        <f>_xlfn.XLOOKUP(Tabla3[[#This Row],[ID]],Tabla2[ID],Tabla2[Corregimiento],"NA")</f>
        <v>El Carmen</v>
      </c>
      <c r="H74" s="12" t="s">
        <v>231</v>
      </c>
      <c r="I74" s="14"/>
      <c r="J74" s="12">
        <v>1</v>
      </c>
      <c r="K74" s="16">
        <v>50000</v>
      </c>
      <c r="L74" s="16">
        <v>305000</v>
      </c>
      <c r="M74" s="15">
        <f>Tabla3[[#This Row],[VLR. TOTAL FACT.]]-Tabla3[[#This Row],[VLR. TRANSPORTE]]</f>
        <v>255000</v>
      </c>
      <c r="N74" s="12">
        <v>1</v>
      </c>
      <c r="O74" s="12" t="s">
        <v>101</v>
      </c>
    </row>
    <row r="75" spans="1:15" ht="27.6" hidden="1" thickBot="1" x14ac:dyDescent="0.35">
      <c r="A75" s="3">
        <v>46751</v>
      </c>
      <c r="B75" s="4">
        <v>45966</v>
      </c>
      <c r="C75" s="3" t="s">
        <v>94</v>
      </c>
      <c r="D75" s="3" t="s">
        <v>232</v>
      </c>
      <c r="E75" s="3" t="s">
        <v>228</v>
      </c>
      <c r="F75" s="3">
        <v>4</v>
      </c>
      <c r="G75" s="3" t="str">
        <f>_xlfn.XLOOKUP(Tabla3[[#This Row],[ID]],Tabla2[ID],Tabla2[Corregimiento],"NA")</f>
        <v>El Carmen</v>
      </c>
      <c r="H75" s="3" t="s">
        <v>208</v>
      </c>
      <c r="I75" s="5"/>
      <c r="J75" s="3">
        <v>1</v>
      </c>
      <c r="K75" s="15">
        <v>60000</v>
      </c>
      <c r="L75" s="15">
        <v>194000</v>
      </c>
      <c r="M75" s="15">
        <f>Tabla3[[#This Row],[VLR. TOTAL FACT.]]-Tabla3[[#This Row],[VLR. TRANSPORTE]]</f>
        <v>134000</v>
      </c>
      <c r="N75" s="3">
        <v>1</v>
      </c>
      <c r="O75" s="3" t="s">
        <v>97</v>
      </c>
    </row>
    <row r="76" spans="1:15" ht="27.6" hidden="1" thickBot="1" x14ac:dyDescent="0.35">
      <c r="A76" s="12">
        <v>30518</v>
      </c>
      <c r="B76" s="13">
        <v>45974</v>
      </c>
      <c r="C76" s="12" t="s">
        <v>102</v>
      </c>
      <c r="D76" s="12" t="s">
        <v>203</v>
      </c>
      <c r="E76" s="12" t="s">
        <v>233</v>
      </c>
      <c r="F76" s="12">
        <v>4</v>
      </c>
      <c r="G76" s="12" t="str">
        <f>_xlfn.XLOOKUP(Tabla3[[#This Row],[ID]],Tabla2[ID],Tabla2[Corregimiento],"NA")</f>
        <v>El Carmen</v>
      </c>
      <c r="H76" s="12" t="s">
        <v>234</v>
      </c>
      <c r="I76" s="14"/>
      <c r="J76" s="12">
        <v>1</v>
      </c>
      <c r="K76" s="16">
        <v>40000</v>
      </c>
      <c r="L76" s="16">
        <v>192000</v>
      </c>
      <c r="M76" s="15">
        <f>Tabla3[[#This Row],[VLR. TOTAL FACT.]]-Tabla3[[#This Row],[VLR. TRANSPORTE]]</f>
        <v>152000</v>
      </c>
      <c r="N76" s="12">
        <v>0</v>
      </c>
      <c r="O76" s="12" t="s">
        <v>101</v>
      </c>
    </row>
    <row r="77" spans="1:15" ht="27.6" hidden="1" thickBot="1" x14ac:dyDescent="0.35">
      <c r="A77" s="3">
        <v>58449</v>
      </c>
      <c r="B77" s="4">
        <v>45975</v>
      </c>
      <c r="C77" s="3" t="s">
        <v>102</v>
      </c>
      <c r="D77" s="3" t="s">
        <v>235</v>
      </c>
      <c r="E77" s="3" t="s">
        <v>236</v>
      </c>
      <c r="F77" s="3">
        <v>4</v>
      </c>
      <c r="G77" s="3" t="str">
        <f>_xlfn.XLOOKUP(Tabla3[[#This Row],[ID]],Tabla2[ID],Tabla2[Corregimiento],"NA")</f>
        <v>El Carmen</v>
      </c>
      <c r="H77" s="3" t="s">
        <v>109</v>
      </c>
      <c r="I77" s="5"/>
      <c r="J77" s="3">
        <v>1</v>
      </c>
      <c r="K77" s="15">
        <v>60000</v>
      </c>
      <c r="L77" s="15">
        <v>213000</v>
      </c>
      <c r="M77" s="15">
        <f>Tabla3[[#This Row],[VLR. TOTAL FACT.]]-Tabla3[[#This Row],[VLR. TRANSPORTE]]</f>
        <v>153000</v>
      </c>
      <c r="N77" s="3">
        <v>1</v>
      </c>
      <c r="O77" s="3" t="s">
        <v>101</v>
      </c>
    </row>
    <row r="78" spans="1:15" ht="15" hidden="1" thickBot="1" x14ac:dyDescent="0.35">
      <c r="A78" s="12">
        <v>47704</v>
      </c>
      <c r="B78" s="13">
        <v>45975</v>
      </c>
      <c r="C78" s="12" t="s">
        <v>94</v>
      </c>
      <c r="D78" s="12" t="s">
        <v>237</v>
      </c>
      <c r="E78" s="12" t="s">
        <v>238</v>
      </c>
      <c r="F78" s="12">
        <v>22</v>
      </c>
      <c r="G78" s="12" t="str">
        <f>_xlfn.XLOOKUP(Tabla3[[#This Row],[ID]],Tabla2[ID],Tabla2[Corregimiento],"NA")</f>
        <v>San Bernardo</v>
      </c>
      <c r="H78" s="12" t="s">
        <v>239</v>
      </c>
      <c r="I78" s="14"/>
      <c r="J78" s="12">
        <v>1</v>
      </c>
      <c r="K78" s="16">
        <v>35000</v>
      </c>
      <c r="L78" s="16">
        <v>441000</v>
      </c>
      <c r="M78" s="15">
        <f>Tabla3[[#This Row],[VLR. TOTAL FACT.]]-Tabla3[[#This Row],[VLR. TRANSPORTE]]</f>
        <v>406000</v>
      </c>
      <c r="N78" s="12">
        <v>0</v>
      </c>
      <c r="O78" s="12" t="s">
        <v>97</v>
      </c>
    </row>
    <row r="79" spans="1:15" ht="15" thickBot="1" x14ac:dyDescent="0.35">
      <c r="A79" s="3">
        <v>47665</v>
      </c>
      <c r="B79" s="4">
        <v>45975</v>
      </c>
      <c r="C79" s="3" t="s">
        <v>94</v>
      </c>
      <c r="D79" s="3" t="s">
        <v>240</v>
      </c>
      <c r="E79" s="3" t="s">
        <v>241</v>
      </c>
      <c r="F79" s="3"/>
      <c r="G79" s="3" t="str">
        <f>_xlfn.XLOOKUP(Tabla3[[#This Row],[ID]],Tabla2[ID],Tabla2[Corregimiento],"NA")</f>
        <v>NA</v>
      </c>
      <c r="H79" s="3"/>
      <c r="I79" s="5"/>
      <c r="J79" s="3">
        <v>1</v>
      </c>
      <c r="K79" s="15">
        <v>30000</v>
      </c>
      <c r="L79" s="15">
        <v>302000</v>
      </c>
      <c r="M79" s="15">
        <f>Tabla3[[#This Row],[VLR. TOTAL FACT.]]-Tabla3[[#This Row],[VLR. TRANSPORTE]]</f>
        <v>272000</v>
      </c>
      <c r="N79" s="3">
        <v>0</v>
      </c>
      <c r="O79" s="3" t="s">
        <v>97</v>
      </c>
    </row>
    <row r="80" spans="1:15" ht="15" thickBot="1" x14ac:dyDescent="0.35">
      <c r="A80" s="12">
        <v>58524</v>
      </c>
      <c r="B80" s="13">
        <v>45976</v>
      </c>
      <c r="C80" s="12" t="s">
        <v>102</v>
      </c>
      <c r="D80" s="12" t="s">
        <v>242</v>
      </c>
      <c r="E80" s="12" t="s">
        <v>202</v>
      </c>
      <c r="F80" s="12"/>
      <c r="G80" s="12" t="str">
        <f>_xlfn.XLOOKUP(Tabla3[[#This Row],[ID]],Tabla2[ID],Tabla2[Corregimiento],"NA")</f>
        <v>NA</v>
      </c>
      <c r="H80" s="12"/>
      <c r="I80" s="14"/>
      <c r="J80" s="12">
        <v>1</v>
      </c>
      <c r="K80" s="16">
        <v>40000</v>
      </c>
      <c r="L80" s="16">
        <v>288000</v>
      </c>
      <c r="M80" s="15">
        <f>Tabla3[[#This Row],[VLR. TOTAL FACT.]]-Tabla3[[#This Row],[VLR. TRANSPORTE]]</f>
        <v>248000</v>
      </c>
      <c r="N80" s="12">
        <v>0</v>
      </c>
      <c r="O80" s="12" t="s">
        <v>101</v>
      </c>
    </row>
    <row r="81" spans="1:15" ht="27.6" hidden="1" thickBot="1" x14ac:dyDescent="0.35">
      <c r="A81" s="3">
        <v>58517</v>
      </c>
      <c r="B81" s="4">
        <v>45976</v>
      </c>
      <c r="C81" s="3" t="s">
        <v>94</v>
      </c>
      <c r="D81" s="3" t="s">
        <v>243</v>
      </c>
      <c r="E81" s="3" t="s">
        <v>244</v>
      </c>
      <c r="F81" s="3">
        <v>4</v>
      </c>
      <c r="G81" s="3" t="str">
        <f>_xlfn.XLOOKUP(Tabla3[[#This Row],[ID]],Tabla2[ID],Tabla2[Corregimiento],"NA")</f>
        <v>El Carmen</v>
      </c>
      <c r="H81" s="3">
        <v>4</v>
      </c>
      <c r="I81" s="5"/>
      <c r="J81" s="3">
        <v>1</v>
      </c>
      <c r="K81" s="15">
        <v>30000</v>
      </c>
      <c r="L81" s="15">
        <v>409000</v>
      </c>
      <c r="M81" s="15">
        <f>Tabla3[[#This Row],[VLR. TOTAL FACT.]]-Tabla3[[#This Row],[VLR. TRANSPORTE]]</f>
        <v>379000</v>
      </c>
      <c r="N81" s="3">
        <v>0</v>
      </c>
      <c r="O81" s="3" t="s">
        <v>97</v>
      </c>
    </row>
    <row r="82" spans="1:15" ht="15" thickBot="1" x14ac:dyDescent="0.35">
      <c r="A82" s="12">
        <v>47735</v>
      </c>
      <c r="B82" s="13">
        <v>45976</v>
      </c>
      <c r="C82" s="12" t="s">
        <v>94</v>
      </c>
      <c r="D82" s="12" t="s">
        <v>240</v>
      </c>
      <c r="E82" s="12" t="s">
        <v>241</v>
      </c>
      <c r="F82" s="12"/>
      <c r="G82" s="12" t="str">
        <f>_xlfn.XLOOKUP(Tabla3[[#This Row],[ID]],Tabla2[ID],Tabla2[Corregimiento],"NA")</f>
        <v>NA</v>
      </c>
      <c r="H82" s="12"/>
      <c r="I82" s="14"/>
      <c r="J82" s="12">
        <v>2</v>
      </c>
      <c r="K82" s="16">
        <v>80000</v>
      </c>
      <c r="L82" s="16">
        <v>300000</v>
      </c>
      <c r="M82" s="15">
        <f>Tabla3[[#This Row],[VLR. TOTAL FACT.]]-Tabla3[[#This Row],[VLR. TRANSPORTE]]</f>
        <v>220000</v>
      </c>
      <c r="N82" s="12">
        <v>0</v>
      </c>
      <c r="O82" s="12" t="s">
        <v>97</v>
      </c>
    </row>
    <row r="83" spans="1:15" ht="27.6" thickBot="1" x14ac:dyDescent="0.35">
      <c r="A83" s="3">
        <v>47727</v>
      </c>
      <c r="B83" s="4">
        <v>45975</v>
      </c>
      <c r="C83" s="3" t="s">
        <v>94</v>
      </c>
      <c r="D83" s="3" t="s">
        <v>245</v>
      </c>
      <c r="E83" s="3" t="s">
        <v>202</v>
      </c>
      <c r="F83" s="3"/>
      <c r="G83" s="3" t="str">
        <f>_xlfn.XLOOKUP(Tabla3[[#This Row],[ID]],Tabla2[ID],Tabla2[Corregimiento],"NA")</f>
        <v>NA</v>
      </c>
      <c r="H83" s="3"/>
      <c r="I83" s="5"/>
      <c r="J83" s="3">
        <v>1</v>
      </c>
      <c r="K83" s="15">
        <v>12000</v>
      </c>
      <c r="L83" s="15">
        <v>40000</v>
      </c>
      <c r="M83" s="15">
        <f>Tabla3[[#This Row],[VLR. TOTAL FACT.]]-Tabla3[[#This Row],[VLR. TRANSPORTE]]</f>
        <v>28000</v>
      </c>
      <c r="N83" s="3">
        <v>0</v>
      </c>
      <c r="O83" s="3" t="s">
        <v>97</v>
      </c>
    </row>
    <row r="84" spans="1:15" ht="27.6" hidden="1" thickBot="1" x14ac:dyDescent="0.35">
      <c r="A84" s="12">
        <v>47566</v>
      </c>
      <c r="B84" s="13">
        <v>45974</v>
      </c>
      <c r="C84" s="12" t="s">
        <v>94</v>
      </c>
      <c r="D84" s="12" t="s">
        <v>246</v>
      </c>
      <c r="E84" s="12">
        <v>40</v>
      </c>
      <c r="F84" s="12">
        <v>6</v>
      </c>
      <c r="G84" s="12" t="str">
        <f>_xlfn.XLOOKUP(Tabla3[[#This Row],[ID]],Tabla2[ID],Tabla2[Corregimiento],"NA")</f>
        <v>El Limonar</v>
      </c>
      <c r="H84" s="12">
        <v>10</v>
      </c>
      <c r="I84" s="14"/>
      <c r="J84" s="12">
        <v>1</v>
      </c>
      <c r="K84" s="16">
        <v>30000</v>
      </c>
      <c r="L84" s="16">
        <v>372000</v>
      </c>
      <c r="M84" s="15">
        <f>Tabla3[[#This Row],[VLR. TOTAL FACT.]]-Tabla3[[#This Row],[VLR. TRANSPORTE]]</f>
        <v>342000</v>
      </c>
      <c r="N84" s="12">
        <v>0</v>
      </c>
      <c r="O84" s="12" t="s">
        <v>127</v>
      </c>
    </row>
    <row r="85" spans="1:15" ht="15" hidden="1" thickBot="1" x14ac:dyDescent="0.35">
      <c r="A85" s="3">
        <v>47609</v>
      </c>
      <c r="B85" s="4">
        <v>45974</v>
      </c>
      <c r="C85" s="3" t="s">
        <v>94</v>
      </c>
      <c r="D85" s="3" t="s">
        <v>247</v>
      </c>
      <c r="E85" s="3" t="s">
        <v>248</v>
      </c>
      <c r="F85" s="3">
        <v>2</v>
      </c>
      <c r="G85" s="3" t="str">
        <f>_xlfn.XLOOKUP(Tabla3[[#This Row],[ID]],Tabla2[ID],Tabla2[Corregimiento],"NA")</f>
        <v>Borrero Ayerbe</v>
      </c>
      <c r="H85" s="3" t="s">
        <v>249</v>
      </c>
      <c r="I85" s="5"/>
      <c r="J85" s="3">
        <v>1</v>
      </c>
      <c r="K85" s="15">
        <v>15000</v>
      </c>
      <c r="L85" s="15">
        <v>300000</v>
      </c>
      <c r="M85" s="15">
        <f>Tabla3[[#This Row],[VLR. TOTAL FACT.]]-Tabla3[[#This Row],[VLR. TRANSPORTE]]</f>
        <v>285000</v>
      </c>
      <c r="N85" s="3">
        <v>0</v>
      </c>
      <c r="O85" s="3" t="s">
        <v>127</v>
      </c>
    </row>
    <row r="86" spans="1:15" ht="27.6" hidden="1" thickBot="1" x14ac:dyDescent="0.35">
      <c r="A86" s="12">
        <v>58466</v>
      </c>
      <c r="B86" s="13">
        <v>45974</v>
      </c>
      <c r="C86" s="12" t="s">
        <v>102</v>
      </c>
      <c r="D86" s="12" t="s">
        <v>188</v>
      </c>
      <c r="E86" s="12" t="s">
        <v>250</v>
      </c>
      <c r="F86" s="12">
        <v>2</v>
      </c>
      <c r="G86" s="12" t="str">
        <f>_xlfn.XLOOKUP(Tabla3[[#This Row],[ID]],Tabla2[ID],Tabla2[Corregimiento],"NA")</f>
        <v>Borrero Ayerbe</v>
      </c>
      <c r="H86" s="12" t="s">
        <v>251</v>
      </c>
      <c r="I86" s="14"/>
      <c r="J86" s="12">
        <v>1</v>
      </c>
      <c r="K86" s="15">
        <v>15000</v>
      </c>
      <c r="L86" s="16">
        <v>246000</v>
      </c>
      <c r="M86" s="15">
        <f>Tabla3[[#This Row],[VLR. TOTAL FACT.]]-Tabla3[[#This Row],[VLR. TRANSPORTE]]</f>
        <v>231000</v>
      </c>
      <c r="N86" s="12">
        <v>0</v>
      </c>
      <c r="O86" s="12" t="s">
        <v>101</v>
      </c>
    </row>
    <row r="87" spans="1:15" ht="27.6" hidden="1" thickBot="1" x14ac:dyDescent="0.35">
      <c r="A87" s="3">
        <v>58457</v>
      </c>
      <c r="B87" s="4">
        <v>45974</v>
      </c>
      <c r="C87" s="3" t="s">
        <v>102</v>
      </c>
      <c r="D87" s="3" t="s">
        <v>252</v>
      </c>
      <c r="E87" s="3" t="s">
        <v>250</v>
      </c>
      <c r="F87" s="3">
        <v>2</v>
      </c>
      <c r="G87" s="3" t="str">
        <f>_xlfn.XLOOKUP(Tabla3[[#This Row],[ID]],Tabla2[ID],Tabla2[Corregimiento],"NA")</f>
        <v>Borrero Ayerbe</v>
      </c>
      <c r="H87" s="3">
        <v>1</v>
      </c>
      <c r="I87" s="5"/>
      <c r="J87" s="3">
        <v>1</v>
      </c>
      <c r="K87" s="15">
        <v>30000</v>
      </c>
      <c r="L87" s="15">
        <v>210000</v>
      </c>
      <c r="M87" s="15">
        <f>Tabla3[[#This Row],[VLR. TOTAL FACT.]]-Tabla3[[#This Row],[VLR. TRANSPORTE]]</f>
        <v>180000</v>
      </c>
      <c r="N87" s="3">
        <v>1</v>
      </c>
      <c r="O87" s="3" t="s">
        <v>101</v>
      </c>
    </row>
    <row r="88" spans="1:15" ht="27.6" hidden="1" thickBot="1" x14ac:dyDescent="0.35">
      <c r="A88" s="12">
        <v>57979</v>
      </c>
      <c r="B88" s="13">
        <v>45974</v>
      </c>
      <c r="C88" s="12" t="s">
        <v>102</v>
      </c>
      <c r="D88" s="12" t="s">
        <v>253</v>
      </c>
      <c r="E88" s="12" t="s">
        <v>254</v>
      </c>
      <c r="F88" s="12">
        <v>2</v>
      </c>
      <c r="G88" s="12" t="str">
        <f>_xlfn.XLOOKUP(Tabla3[[#This Row],[ID]],Tabla2[ID],Tabla2[Corregimiento],"NA")</f>
        <v>Borrero Ayerbe</v>
      </c>
      <c r="H88" s="12" t="s">
        <v>116</v>
      </c>
      <c r="I88" s="14"/>
      <c r="J88" s="12">
        <v>1</v>
      </c>
      <c r="K88" s="15">
        <v>15000</v>
      </c>
      <c r="L88" s="16">
        <v>378000</v>
      </c>
      <c r="M88" s="15">
        <f>Tabla3[[#This Row],[VLR. TOTAL FACT.]]-Tabla3[[#This Row],[VLR. TRANSPORTE]]</f>
        <v>363000</v>
      </c>
      <c r="N88" s="12">
        <v>0</v>
      </c>
      <c r="O88" s="12" t="s">
        <v>101</v>
      </c>
    </row>
    <row r="89" spans="1:15" ht="15" hidden="1" thickBot="1" x14ac:dyDescent="0.35">
      <c r="A89" s="3">
        <v>47595</v>
      </c>
      <c r="B89" s="4">
        <v>45974</v>
      </c>
      <c r="C89" s="3" t="s">
        <v>94</v>
      </c>
      <c r="D89" s="3" t="s">
        <v>202</v>
      </c>
      <c r="E89" s="3" t="s">
        <v>236</v>
      </c>
      <c r="F89" s="3">
        <v>4</v>
      </c>
      <c r="G89" s="3" t="str">
        <f>_xlfn.XLOOKUP(Tabla3[[#This Row],[ID]],Tabla2[ID],Tabla2[Corregimiento],"NA")</f>
        <v>El Carmen</v>
      </c>
      <c r="H89" s="3" t="s">
        <v>255</v>
      </c>
      <c r="I89" s="5"/>
      <c r="J89" s="3">
        <v>1</v>
      </c>
      <c r="K89" s="15">
        <v>30000</v>
      </c>
      <c r="L89" s="15">
        <v>1940000</v>
      </c>
      <c r="M89" s="15">
        <f>Tabla3[[#This Row],[VLR. TOTAL FACT.]]-Tabla3[[#This Row],[VLR. TRANSPORTE]]</f>
        <v>1910000</v>
      </c>
      <c r="N89" s="3">
        <v>0</v>
      </c>
      <c r="O89" s="3" t="s">
        <v>97</v>
      </c>
    </row>
    <row r="90" spans="1:15" ht="15" thickBot="1" x14ac:dyDescent="0.35">
      <c r="A90" s="12">
        <v>47598</v>
      </c>
      <c r="B90" s="13">
        <v>45974</v>
      </c>
      <c r="C90" s="12" t="s">
        <v>94</v>
      </c>
      <c r="D90" s="12" t="s">
        <v>258</v>
      </c>
      <c r="E90" s="12" t="s">
        <v>202</v>
      </c>
      <c r="F90" s="12"/>
      <c r="G90" s="12" t="str">
        <f>_xlfn.XLOOKUP(Tabla3[[#This Row],[ID]],Tabla2[ID],Tabla2[Corregimiento],"NA")</f>
        <v>NA</v>
      </c>
      <c r="H90" s="12"/>
      <c r="I90" s="14"/>
      <c r="J90" s="12">
        <v>1</v>
      </c>
      <c r="K90" s="16">
        <v>50000</v>
      </c>
      <c r="L90" s="16">
        <v>404000</v>
      </c>
      <c r="M90" s="15">
        <f>Tabla3[[#This Row],[VLR. TOTAL FACT.]]-Tabla3[[#This Row],[VLR. TRANSPORTE]]</f>
        <v>354000</v>
      </c>
      <c r="N90" s="12">
        <v>0</v>
      </c>
      <c r="O90" s="12" t="s">
        <v>97</v>
      </c>
    </row>
    <row r="91" spans="1:15" ht="15" hidden="1" thickBot="1" x14ac:dyDescent="0.35">
      <c r="A91" s="3">
        <v>47595</v>
      </c>
      <c r="B91" s="4">
        <v>45974</v>
      </c>
      <c r="C91" s="3" t="s">
        <v>94</v>
      </c>
      <c r="D91" s="3" t="s">
        <v>259</v>
      </c>
      <c r="E91" s="3" t="s">
        <v>236</v>
      </c>
      <c r="F91" s="3">
        <v>4</v>
      </c>
      <c r="G91" s="3" t="str">
        <f>_xlfn.XLOOKUP(Tabla3[[#This Row],[ID]],Tabla2[ID],Tabla2[Corregimiento],"NA")</f>
        <v>El Carmen</v>
      </c>
      <c r="H91" s="3" t="s">
        <v>109</v>
      </c>
      <c r="I91" s="5"/>
      <c r="J91" s="3">
        <v>1</v>
      </c>
      <c r="K91" s="15">
        <v>40000</v>
      </c>
      <c r="L91" s="15">
        <v>881000</v>
      </c>
      <c r="M91" s="15">
        <f>Tabla3[[#This Row],[VLR. TOTAL FACT.]]-Tabla3[[#This Row],[VLR. TRANSPORTE]]</f>
        <v>841000</v>
      </c>
      <c r="N91" s="3">
        <v>0</v>
      </c>
      <c r="O91" s="3" t="s">
        <v>97</v>
      </c>
    </row>
    <row r="92" spans="1:15" ht="15" hidden="1" thickBot="1" x14ac:dyDescent="0.35">
      <c r="A92" s="12">
        <v>47501</v>
      </c>
      <c r="B92" s="13">
        <v>45974</v>
      </c>
      <c r="C92" s="12" t="s">
        <v>94</v>
      </c>
      <c r="D92" s="12" t="s">
        <v>260</v>
      </c>
      <c r="E92" s="12" t="s">
        <v>176</v>
      </c>
      <c r="F92" s="12">
        <v>22</v>
      </c>
      <c r="G92" s="12" t="str">
        <f>_xlfn.XLOOKUP(Tabla3[[#This Row],[ID]],Tabla2[ID],Tabla2[Corregimiento],"NA")</f>
        <v>San Bernardo</v>
      </c>
      <c r="H92" s="12">
        <v>6</v>
      </c>
      <c r="I92" s="14"/>
      <c r="J92" s="12">
        <v>1</v>
      </c>
      <c r="K92" s="15">
        <v>30000</v>
      </c>
      <c r="L92" s="16">
        <v>74000</v>
      </c>
      <c r="M92" s="15">
        <f>Tabla3[[#This Row],[VLR. TOTAL FACT.]]-Tabla3[[#This Row],[VLR. TRANSPORTE]]</f>
        <v>44000</v>
      </c>
      <c r="N92" s="12">
        <v>0</v>
      </c>
      <c r="O92" s="12" t="s">
        <v>97</v>
      </c>
    </row>
    <row r="93" spans="1:15" ht="27.6" hidden="1" thickBot="1" x14ac:dyDescent="0.35">
      <c r="A93" s="3">
        <v>47572</v>
      </c>
      <c r="B93" s="4">
        <v>45974</v>
      </c>
      <c r="C93" s="3" t="s">
        <v>94</v>
      </c>
      <c r="D93" s="3" t="s">
        <v>261</v>
      </c>
      <c r="E93" s="3" t="s">
        <v>111</v>
      </c>
      <c r="F93" s="3">
        <v>2</v>
      </c>
      <c r="G93" s="3" t="str">
        <f>_xlfn.XLOOKUP(Tabla3[[#This Row],[ID]],Tabla2[ID],Tabla2[Corregimiento],"NA")</f>
        <v>Borrero Ayerbe</v>
      </c>
      <c r="H93" s="3">
        <v>4</v>
      </c>
      <c r="I93" s="5"/>
      <c r="J93" s="3">
        <v>1</v>
      </c>
      <c r="K93" s="15">
        <v>30000</v>
      </c>
      <c r="L93" s="15">
        <v>164000</v>
      </c>
      <c r="M93" s="15">
        <f>Tabla3[[#This Row],[VLR. TOTAL FACT.]]-Tabla3[[#This Row],[VLR. TRANSPORTE]]</f>
        <v>134000</v>
      </c>
      <c r="N93" s="3">
        <v>0</v>
      </c>
      <c r="O93" s="3" t="s">
        <v>97</v>
      </c>
    </row>
    <row r="94" spans="1:15" ht="27.6" hidden="1" thickBot="1" x14ac:dyDescent="0.35">
      <c r="A94" s="12">
        <v>57923</v>
      </c>
      <c r="B94" s="13">
        <v>45962</v>
      </c>
      <c r="C94" s="12" t="s">
        <v>102</v>
      </c>
      <c r="D94" s="12" t="s">
        <v>262</v>
      </c>
      <c r="E94" s="12" t="s">
        <v>263</v>
      </c>
      <c r="F94" s="12">
        <v>2</v>
      </c>
      <c r="G94" s="12" t="str">
        <f>_xlfn.XLOOKUP(Tabla3[[#This Row],[ID]],Tabla2[ID],Tabla2[Corregimiento],"NA")</f>
        <v>Borrero Ayerbe</v>
      </c>
      <c r="H94" s="12" t="s">
        <v>192</v>
      </c>
      <c r="I94" s="14"/>
      <c r="J94" s="12">
        <v>1</v>
      </c>
      <c r="K94" s="15">
        <v>40000</v>
      </c>
      <c r="L94" s="16">
        <v>341000</v>
      </c>
      <c r="M94" s="15">
        <f>Tabla3[[#This Row],[VLR. TOTAL FACT.]]-Tabla3[[#This Row],[VLR. TRANSPORTE]]</f>
        <v>301000</v>
      </c>
      <c r="N94" s="12">
        <v>1</v>
      </c>
      <c r="O94" s="12" t="s">
        <v>101</v>
      </c>
    </row>
    <row r="95" spans="1:15" ht="27.6" hidden="1" thickBot="1" x14ac:dyDescent="0.35">
      <c r="A95" s="3">
        <v>47439</v>
      </c>
      <c r="B95" s="4">
        <v>45972</v>
      </c>
      <c r="C95" s="3" t="s">
        <v>94</v>
      </c>
      <c r="D95" s="3" t="s">
        <v>264</v>
      </c>
      <c r="E95" s="3" t="s">
        <v>265</v>
      </c>
      <c r="F95" s="3">
        <v>4</v>
      </c>
      <c r="G95" s="3" t="str">
        <f>_xlfn.XLOOKUP(Tabla3[[#This Row],[ID]],Tabla2[ID],Tabla2[Corregimiento],"NA")</f>
        <v>El Carmen</v>
      </c>
      <c r="H95" s="3" t="s">
        <v>152</v>
      </c>
      <c r="I95" s="5"/>
      <c r="J95" s="3">
        <v>1</v>
      </c>
      <c r="K95" s="15">
        <v>70000</v>
      </c>
      <c r="L95" s="15">
        <v>420000</v>
      </c>
      <c r="M95" s="15">
        <f>Tabla3[[#This Row],[VLR. TOTAL FACT.]]-Tabla3[[#This Row],[VLR. TRANSPORTE]]</f>
        <v>350000</v>
      </c>
      <c r="N95" s="3">
        <v>1</v>
      </c>
      <c r="O95" s="3" t="s">
        <v>127</v>
      </c>
    </row>
    <row r="96" spans="1:15" ht="27.6" hidden="1" thickBot="1" x14ac:dyDescent="0.35">
      <c r="A96" s="12">
        <v>47495</v>
      </c>
      <c r="B96" s="13">
        <v>45971</v>
      </c>
      <c r="C96" s="12" t="s">
        <v>94</v>
      </c>
      <c r="D96" s="12" t="s">
        <v>266</v>
      </c>
      <c r="E96" s="12" t="s">
        <v>267</v>
      </c>
      <c r="F96" s="12">
        <v>2</v>
      </c>
      <c r="G96" s="12" t="str">
        <f>_xlfn.XLOOKUP(Tabla3[[#This Row],[ID]],Tabla2[ID],Tabla2[Corregimiento],"NA")</f>
        <v>Borrero Ayerbe</v>
      </c>
      <c r="H96" s="12" t="s">
        <v>231</v>
      </c>
      <c r="I96" s="14"/>
      <c r="J96" s="12">
        <v>2</v>
      </c>
      <c r="K96" s="16">
        <v>100000</v>
      </c>
      <c r="L96" s="16">
        <v>2479900</v>
      </c>
      <c r="M96" s="15">
        <f>Tabla3[[#This Row],[VLR. TOTAL FACT.]]-Tabla3[[#This Row],[VLR. TRANSPORTE]]</f>
        <v>2379900</v>
      </c>
      <c r="N96" s="12">
        <v>0</v>
      </c>
      <c r="O96" s="12" t="s">
        <v>270</v>
      </c>
    </row>
    <row r="97" spans="1:15" ht="27.6" hidden="1" thickBot="1" x14ac:dyDescent="0.35">
      <c r="A97" s="3">
        <v>30506</v>
      </c>
      <c r="B97" s="4">
        <v>45973</v>
      </c>
      <c r="C97" s="3" t="s">
        <v>94</v>
      </c>
      <c r="D97" s="3" t="s">
        <v>271</v>
      </c>
      <c r="E97" s="3" t="s">
        <v>272</v>
      </c>
      <c r="F97" s="3">
        <v>2</v>
      </c>
      <c r="G97" s="3" t="str">
        <f>_xlfn.XLOOKUP(Tabla3[[#This Row],[ID]],Tabla2[ID],Tabla2[Corregimiento],"NA")</f>
        <v>Borrero Ayerbe</v>
      </c>
      <c r="H97" s="3">
        <v>7</v>
      </c>
      <c r="I97" s="5"/>
      <c r="J97" s="3">
        <v>1</v>
      </c>
      <c r="K97" s="15">
        <v>60000</v>
      </c>
      <c r="L97" s="15">
        <v>524000</v>
      </c>
      <c r="M97" s="15">
        <f>Tabla3[[#This Row],[VLR. TOTAL FACT.]]-Tabla3[[#This Row],[VLR. TRANSPORTE]]</f>
        <v>464000</v>
      </c>
      <c r="N97" s="3">
        <v>0</v>
      </c>
      <c r="O97" s="3" t="s">
        <v>273</v>
      </c>
    </row>
    <row r="98" spans="1:15" ht="27.6" hidden="1" thickBot="1" x14ac:dyDescent="0.35">
      <c r="A98" s="12">
        <v>30503</v>
      </c>
      <c r="B98" s="13">
        <v>45973</v>
      </c>
      <c r="C98" s="12" t="s">
        <v>94</v>
      </c>
      <c r="D98" s="12" t="s">
        <v>274</v>
      </c>
      <c r="E98" s="12" t="s">
        <v>122</v>
      </c>
      <c r="F98" s="12">
        <v>2</v>
      </c>
      <c r="G98" s="12" t="str">
        <f>_xlfn.XLOOKUP(Tabla3[[#This Row],[ID]],Tabla2[ID],Tabla2[Corregimiento],"NA")</f>
        <v>Borrero Ayerbe</v>
      </c>
      <c r="H98" s="12"/>
      <c r="I98" s="14"/>
      <c r="J98" s="12">
        <v>1</v>
      </c>
      <c r="K98" s="15">
        <v>60000</v>
      </c>
      <c r="L98" s="16">
        <v>750000</v>
      </c>
      <c r="M98" s="15">
        <f>Tabla3[[#This Row],[VLR. TOTAL FACT.]]-Tabla3[[#This Row],[VLR. TRANSPORTE]]</f>
        <v>690000</v>
      </c>
      <c r="N98" s="12">
        <v>0</v>
      </c>
      <c r="O98" s="12" t="s">
        <v>270</v>
      </c>
    </row>
    <row r="99" spans="1:15" ht="27.6" hidden="1" thickBot="1" x14ac:dyDescent="0.35">
      <c r="A99" s="3">
        <v>57099</v>
      </c>
      <c r="B99" s="4">
        <v>45943</v>
      </c>
      <c r="C99" s="3" t="s">
        <v>94</v>
      </c>
      <c r="D99" s="3" t="s">
        <v>275</v>
      </c>
      <c r="E99" s="3" t="s">
        <v>122</v>
      </c>
      <c r="F99" s="3">
        <v>2</v>
      </c>
      <c r="G99" s="3" t="str">
        <f>_xlfn.XLOOKUP(Tabla3[[#This Row],[ID]],Tabla2[ID],Tabla2[Corregimiento],"NA")</f>
        <v>Borrero Ayerbe</v>
      </c>
      <c r="H99" s="3"/>
      <c r="I99" s="5"/>
      <c r="J99" s="3">
        <v>2</v>
      </c>
      <c r="K99" s="15">
        <v>120000</v>
      </c>
      <c r="L99" s="15">
        <v>1605000</v>
      </c>
      <c r="M99" s="15">
        <f>Tabla3[[#This Row],[VLR. TOTAL FACT.]]-Tabla3[[#This Row],[VLR. TRANSPORTE]]</f>
        <v>1485000</v>
      </c>
      <c r="N99" s="3">
        <v>0</v>
      </c>
      <c r="O99" s="3" t="s">
        <v>270</v>
      </c>
    </row>
    <row r="100" spans="1:15" ht="27.6" thickBot="1" x14ac:dyDescent="0.35">
      <c r="A100" s="12">
        <v>30441</v>
      </c>
      <c r="B100" s="13">
        <v>45971</v>
      </c>
      <c r="C100" s="12" t="s">
        <v>94</v>
      </c>
      <c r="D100" s="12" t="s">
        <v>278</v>
      </c>
      <c r="E100" s="12" t="s">
        <v>160</v>
      </c>
      <c r="F100" s="12"/>
      <c r="G100" s="12" t="str">
        <f>_xlfn.XLOOKUP(Tabla3[[#This Row],[ID]],Tabla2[ID],Tabla2[Corregimiento],"NA")</f>
        <v>NA</v>
      </c>
      <c r="H100" s="12" t="s">
        <v>208</v>
      </c>
      <c r="I100" s="14"/>
      <c r="J100" s="12">
        <v>1</v>
      </c>
      <c r="K100" s="15">
        <v>60000</v>
      </c>
      <c r="L100" s="16">
        <v>258000</v>
      </c>
      <c r="M100" s="15">
        <f>Tabla3[[#This Row],[VLR. TOTAL FACT.]]-Tabla3[[#This Row],[VLR. TRANSPORTE]]</f>
        <v>198000</v>
      </c>
      <c r="N100" s="12">
        <v>1</v>
      </c>
      <c r="O100" s="12" t="s">
        <v>270</v>
      </c>
    </row>
    <row r="101" spans="1:15" ht="15" thickBot="1" x14ac:dyDescent="0.35">
      <c r="A101" s="3">
        <v>57849</v>
      </c>
      <c r="B101" s="4">
        <v>45972</v>
      </c>
      <c r="C101" s="3" t="s">
        <v>94</v>
      </c>
      <c r="D101" s="3" t="s">
        <v>279</v>
      </c>
      <c r="E101" s="3" t="s">
        <v>160</v>
      </c>
      <c r="F101" s="3"/>
      <c r="G101" s="3" t="str">
        <f>_xlfn.XLOOKUP(Tabla3[[#This Row],[ID]],Tabla2[ID],Tabla2[Corregimiento],"NA")</f>
        <v>NA</v>
      </c>
      <c r="H101" s="3" t="s">
        <v>208</v>
      </c>
      <c r="I101" s="5"/>
      <c r="J101" s="3">
        <v>1</v>
      </c>
      <c r="K101" s="15">
        <v>60000</v>
      </c>
      <c r="L101" s="15">
        <v>400000</v>
      </c>
      <c r="M101" s="15">
        <f>Tabla3[[#This Row],[VLR. TOTAL FACT.]]-Tabla3[[#This Row],[VLR. TRANSPORTE]]</f>
        <v>340000</v>
      </c>
      <c r="N101" s="3">
        <v>1</v>
      </c>
      <c r="O101" s="3" t="s">
        <v>273</v>
      </c>
    </row>
    <row r="102" spans="1:15" ht="27.6" hidden="1" thickBot="1" x14ac:dyDescent="0.35">
      <c r="A102" s="12">
        <v>58313</v>
      </c>
      <c r="B102" s="13">
        <v>45972</v>
      </c>
      <c r="C102" s="12" t="s">
        <v>94</v>
      </c>
      <c r="D102" s="12" t="s">
        <v>280</v>
      </c>
      <c r="E102" s="12" t="s">
        <v>111</v>
      </c>
      <c r="F102" s="12">
        <v>2</v>
      </c>
      <c r="G102" s="12" t="str">
        <f>_xlfn.XLOOKUP(Tabla3[[#This Row],[ID]],Tabla2[ID],Tabla2[Corregimiento],"NA")</f>
        <v>Borrero Ayerbe</v>
      </c>
      <c r="H102" s="12" t="s">
        <v>152</v>
      </c>
      <c r="I102" s="14"/>
      <c r="J102" s="12">
        <v>1</v>
      </c>
      <c r="K102" s="15">
        <v>60000</v>
      </c>
      <c r="L102" s="16">
        <v>1630800</v>
      </c>
      <c r="M102" s="15">
        <f>Tabla3[[#This Row],[VLR. TOTAL FACT.]]-Tabla3[[#This Row],[VLR. TRANSPORTE]]</f>
        <v>1570800</v>
      </c>
      <c r="N102" s="12">
        <v>1</v>
      </c>
      <c r="O102" s="12" t="s">
        <v>101</v>
      </c>
    </row>
    <row r="103" spans="1:15" ht="27.6" hidden="1" thickBot="1" x14ac:dyDescent="0.35">
      <c r="A103" s="3">
        <v>58549</v>
      </c>
      <c r="B103" s="4">
        <v>45978</v>
      </c>
      <c r="C103" s="3" t="s">
        <v>94</v>
      </c>
      <c r="D103" s="3" t="s">
        <v>283</v>
      </c>
      <c r="E103" s="3" t="s">
        <v>284</v>
      </c>
      <c r="F103" s="3">
        <v>2</v>
      </c>
      <c r="G103" s="3" t="str">
        <f>_xlfn.XLOOKUP(Tabla3[[#This Row],[ID]],Tabla2[ID],Tabla2[Corregimiento],"NA")</f>
        <v>Borrero Ayerbe</v>
      </c>
      <c r="H103" s="3">
        <v>4</v>
      </c>
      <c r="I103" s="5"/>
      <c r="J103" s="3">
        <v>1</v>
      </c>
      <c r="K103" s="16">
        <v>50000</v>
      </c>
      <c r="L103" s="15">
        <v>1794500</v>
      </c>
      <c r="M103" s="15">
        <f>Tabla3[[#This Row],[VLR. TOTAL FACT.]]-Tabla3[[#This Row],[VLR. TRANSPORTE]]</f>
        <v>1744500</v>
      </c>
      <c r="N103" s="3">
        <v>1</v>
      </c>
      <c r="O103" s="3" t="s">
        <v>127</v>
      </c>
    </row>
    <row r="104" spans="1:15" ht="27.6" hidden="1" thickBot="1" x14ac:dyDescent="0.35">
      <c r="A104" s="12">
        <v>58539</v>
      </c>
      <c r="B104" s="13">
        <v>45978</v>
      </c>
      <c r="C104" s="12" t="s">
        <v>94</v>
      </c>
      <c r="D104" s="12" t="s">
        <v>262</v>
      </c>
      <c r="E104" s="12" t="s">
        <v>263</v>
      </c>
      <c r="F104" s="12">
        <v>2</v>
      </c>
      <c r="G104" s="12" t="str">
        <f>_xlfn.XLOOKUP(Tabla3[[#This Row],[ID]],Tabla2[ID],Tabla2[Corregimiento],"NA")</f>
        <v>Borrero Ayerbe</v>
      </c>
      <c r="H104" s="12" t="s">
        <v>287</v>
      </c>
      <c r="I104" s="14"/>
      <c r="J104" s="12">
        <v>1</v>
      </c>
      <c r="K104" s="15">
        <v>40000</v>
      </c>
      <c r="L104" s="16">
        <v>162000</v>
      </c>
      <c r="M104" s="15">
        <f>Tabla3[[#This Row],[VLR. TOTAL FACT.]]-Tabla3[[#This Row],[VLR. TRANSPORTE]]</f>
        <v>122000</v>
      </c>
      <c r="N104" s="12">
        <v>1</v>
      </c>
      <c r="O104" s="12" t="s">
        <v>101</v>
      </c>
    </row>
    <row r="105" spans="1:15" ht="15" hidden="1" thickBot="1" x14ac:dyDescent="0.35">
      <c r="A105" s="3">
        <v>30562</v>
      </c>
      <c r="B105" s="4" t="s">
        <v>122</v>
      </c>
      <c r="C105" s="3" t="s">
        <v>94</v>
      </c>
      <c r="D105" s="3" t="s">
        <v>122</v>
      </c>
      <c r="E105" s="3" t="s">
        <v>288</v>
      </c>
      <c r="F105" s="3">
        <v>10</v>
      </c>
      <c r="G105" s="3" t="str">
        <f>_xlfn.XLOOKUP(Tabla3[[#This Row],[ID]],Tabla2[ID],Tabla2[Corregimiento],"NA")</f>
        <v>El Queremal</v>
      </c>
      <c r="H105" s="3" t="s">
        <v>289</v>
      </c>
      <c r="I105" s="5"/>
      <c r="J105" s="3">
        <v>1</v>
      </c>
      <c r="K105" s="15">
        <v>80000</v>
      </c>
      <c r="L105" s="15">
        <v>3032800</v>
      </c>
      <c r="M105" s="15">
        <f>Tabla3[[#This Row],[VLR. TOTAL FACT.]]-Tabla3[[#This Row],[VLR. TRANSPORTE]]</f>
        <v>2952800</v>
      </c>
      <c r="N105" s="3">
        <v>0</v>
      </c>
      <c r="O105" s="3" t="s">
        <v>127</v>
      </c>
    </row>
    <row r="106" spans="1:15" ht="15" hidden="1" thickBot="1" x14ac:dyDescent="0.35">
      <c r="A106" s="12">
        <v>58415</v>
      </c>
      <c r="B106" s="13">
        <v>45974</v>
      </c>
      <c r="C106" s="12" t="s">
        <v>94</v>
      </c>
      <c r="D106" s="12" t="s">
        <v>292</v>
      </c>
      <c r="E106" s="12" t="s">
        <v>265</v>
      </c>
      <c r="F106" s="12">
        <v>4</v>
      </c>
      <c r="G106" s="12" t="str">
        <f>_xlfn.XLOOKUP(Tabla3[[#This Row],[ID]],Tabla2[ID],Tabla2[Corregimiento],"NA")</f>
        <v>El Carmen</v>
      </c>
      <c r="H106" s="12" t="s">
        <v>152</v>
      </c>
      <c r="I106" s="14"/>
      <c r="J106" s="12">
        <v>1</v>
      </c>
      <c r="K106" s="15">
        <v>60000</v>
      </c>
      <c r="L106" s="16">
        <v>956000</v>
      </c>
      <c r="M106" s="15">
        <f>Tabla3[[#This Row],[VLR. TOTAL FACT.]]-Tabla3[[#This Row],[VLR. TRANSPORTE]]</f>
        <v>896000</v>
      </c>
      <c r="N106" s="12">
        <v>1</v>
      </c>
      <c r="O106" s="12" t="s">
        <v>101</v>
      </c>
    </row>
    <row r="107" spans="1:15" ht="27.6" thickBot="1" x14ac:dyDescent="0.35">
      <c r="A107" s="3">
        <v>58584</v>
      </c>
      <c r="B107" s="4">
        <v>45979</v>
      </c>
      <c r="C107" s="3" t="s">
        <v>94</v>
      </c>
      <c r="D107" s="3" t="s">
        <v>293</v>
      </c>
      <c r="E107" s="3" t="s">
        <v>294</v>
      </c>
      <c r="F107" s="3"/>
      <c r="G107" s="3" t="str">
        <f>_xlfn.XLOOKUP(Tabla3[[#This Row],[ID]],Tabla2[ID],Tabla2[Corregimiento],"NA")</f>
        <v>NA</v>
      </c>
      <c r="H107" s="3"/>
      <c r="I107" s="5"/>
      <c r="J107" s="3">
        <v>1</v>
      </c>
      <c r="K107" s="15">
        <v>40000</v>
      </c>
      <c r="L107" s="15">
        <v>396000</v>
      </c>
      <c r="M107" s="15">
        <f>Tabla3[[#This Row],[VLR. TOTAL FACT.]]-Tabla3[[#This Row],[VLR. TRANSPORTE]]</f>
        <v>356000</v>
      </c>
      <c r="N107" s="3">
        <v>0</v>
      </c>
      <c r="O107" s="3" t="s">
        <v>127</v>
      </c>
    </row>
    <row r="108" spans="1:15" ht="15" hidden="1" thickBot="1" x14ac:dyDescent="0.35">
      <c r="A108" s="12">
        <v>58574</v>
      </c>
      <c r="B108" s="13">
        <v>45979</v>
      </c>
      <c r="C108" s="12" t="s">
        <v>94</v>
      </c>
      <c r="D108" s="12" t="s">
        <v>293</v>
      </c>
      <c r="E108" s="12" t="s">
        <v>267</v>
      </c>
      <c r="F108" s="12">
        <v>2</v>
      </c>
      <c r="G108" s="12" t="str">
        <f>_xlfn.XLOOKUP(Tabla3[[#This Row],[ID]],Tabla2[ID],Tabla2[Corregimiento],"NA")</f>
        <v>Borrero Ayerbe</v>
      </c>
      <c r="H108" s="12" t="s">
        <v>231</v>
      </c>
      <c r="I108" s="14"/>
      <c r="J108" s="12">
        <v>1</v>
      </c>
      <c r="K108" s="15">
        <v>40000</v>
      </c>
      <c r="L108" s="16">
        <v>482000</v>
      </c>
      <c r="M108" s="15">
        <f>Tabla3[[#This Row],[VLR. TOTAL FACT.]]-Tabla3[[#This Row],[VLR. TRANSPORTE]]</f>
        <v>442000</v>
      </c>
      <c r="N108" s="12">
        <v>0</v>
      </c>
      <c r="O108" s="12" t="s">
        <v>273</v>
      </c>
    </row>
    <row r="109" spans="1:15" ht="15" hidden="1" thickBot="1" x14ac:dyDescent="0.35">
      <c r="A109" s="3">
        <v>58571</v>
      </c>
      <c r="B109" s="4" t="s">
        <v>122</v>
      </c>
      <c r="C109" s="3" t="s">
        <v>94</v>
      </c>
      <c r="D109" s="3" t="s">
        <v>295</v>
      </c>
      <c r="E109" s="3" t="s">
        <v>151</v>
      </c>
      <c r="F109" s="3">
        <v>4</v>
      </c>
      <c r="G109" s="3" t="str">
        <f>_xlfn.XLOOKUP(Tabla3[[#This Row],[ID]],Tabla2[ID],Tabla2[Corregimiento],"NA")</f>
        <v>El Carmen</v>
      </c>
      <c r="H109" s="3" t="s">
        <v>152</v>
      </c>
      <c r="I109" s="5"/>
      <c r="J109" s="3">
        <v>1</v>
      </c>
      <c r="K109" s="15">
        <v>60000</v>
      </c>
      <c r="L109" s="15">
        <v>1045000</v>
      </c>
      <c r="M109" s="15">
        <f>Tabla3[[#This Row],[VLR. TOTAL FACT.]]-Tabla3[[#This Row],[VLR. TRANSPORTE]]</f>
        <v>985000</v>
      </c>
      <c r="N109" s="3">
        <v>1</v>
      </c>
      <c r="O109" s="3" t="s">
        <v>270</v>
      </c>
    </row>
    <row r="110" spans="1:15" ht="15" thickBot="1" x14ac:dyDescent="0.35">
      <c r="A110" s="12">
        <v>30535</v>
      </c>
      <c r="B110" s="13" t="s">
        <v>122</v>
      </c>
      <c r="C110" s="12" t="s">
        <v>94</v>
      </c>
      <c r="D110" s="12" t="s">
        <v>122</v>
      </c>
      <c r="E110" s="12" t="s">
        <v>297</v>
      </c>
      <c r="F110" s="12"/>
      <c r="G110" s="12" t="str">
        <f>_xlfn.XLOOKUP(Tabla3[[#This Row],[ID]],Tabla2[ID],Tabla2[Corregimiento],"NA")</f>
        <v>NA</v>
      </c>
      <c r="H110" s="12">
        <v>1</v>
      </c>
      <c r="I110" s="14"/>
      <c r="J110" s="12">
        <v>1</v>
      </c>
      <c r="K110" s="15">
        <v>30000</v>
      </c>
      <c r="L110" s="16">
        <v>1486900</v>
      </c>
      <c r="M110" s="15">
        <f>Tabla3[[#This Row],[VLR. TOTAL FACT.]]-Tabla3[[#This Row],[VLR. TRANSPORTE]]</f>
        <v>1456900</v>
      </c>
      <c r="N110" s="12">
        <v>0</v>
      </c>
      <c r="O110" s="12" t="s">
        <v>270</v>
      </c>
    </row>
    <row r="111" spans="1:15" ht="27.6" hidden="1" thickBot="1" x14ac:dyDescent="0.35">
      <c r="A111" s="3">
        <v>30532</v>
      </c>
      <c r="B111" s="4">
        <v>45975</v>
      </c>
      <c r="C111" s="3" t="s">
        <v>94</v>
      </c>
      <c r="D111" s="3" t="s">
        <v>300</v>
      </c>
      <c r="E111" s="3" t="s">
        <v>178</v>
      </c>
      <c r="F111" s="3">
        <v>22</v>
      </c>
      <c r="G111" s="3" t="str">
        <f>_xlfn.XLOOKUP(Tabla3[[#This Row],[ID]],Tabla2[ID],Tabla2[Corregimiento],"NA")</f>
        <v>San Bernardo</v>
      </c>
      <c r="H111" s="3" t="s">
        <v>179</v>
      </c>
      <c r="I111" s="5"/>
      <c r="J111" s="3">
        <v>1</v>
      </c>
      <c r="K111" s="15">
        <v>40000</v>
      </c>
      <c r="L111" s="15">
        <v>635000</v>
      </c>
      <c r="M111" s="15">
        <f>Tabla3[[#This Row],[VLR. TOTAL FACT.]]-Tabla3[[#This Row],[VLR. TRANSPORTE]]</f>
        <v>595000</v>
      </c>
      <c r="N111" s="3">
        <v>0</v>
      </c>
      <c r="O111" s="3" t="s">
        <v>273</v>
      </c>
    </row>
    <row r="112" spans="1:15" ht="27.6" thickBot="1" x14ac:dyDescent="0.35">
      <c r="A112" s="12">
        <v>30513</v>
      </c>
      <c r="B112" s="13">
        <v>45973</v>
      </c>
      <c r="C112" s="12" t="s">
        <v>94</v>
      </c>
      <c r="D112" s="12" t="s">
        <v>301</v>
      </c>
      <c r="E112" s="12" t="s">
        <v>302</v>
      </c>
      <c r="F112" s="12"/>
      <c r="G112" s="12" t="str">
        <f>_xlfn.XLOOKUP(Tabla3[[#This Row],[ID]],Tabla2[ID],Tabla2[Corregimiento],"NA")</f>
        <v>NA</v>
      </c>
      <c r="H112" s="12">
        <v>7</v>
      </c>
      <c r="I112" s="14"/>
      <c r="J112" s="12">
        <v>2</v>
      </c>
      <c r="K112" s="51">
        <v>160000</v>
      </c>
      <c r="L112" s="51">
        <v>1595000</v>
      </c>
      <c r="M112" s="15">
        <f>Tabla3[[#This Row],[VLR. TOTAL FACT.]]-Tabla3[[#This Row],[VLR. TRANSPORTE]]</f>
        <v>1435000</v>
      </c>
      <c r="N112" s="12">
        <v>1</v>
      </c>
      <c r="O112" s="12" t="s">
        <v>273</v>
      </c>
    </row>
    <row r="113" spans="1:15" ht="15" hidden="1" thickBot="1" x14ac:dyDescent="0.35">
      <c r="A113" s="3">
        <v>30560</v>
      </c>
      <c r="B113" s="4">
        <v>45979</v>
      </c>
      <c r="C113" s="3" t="s">
        <v>94</v>
      </c>
      <c r="D113" s="3" t="s">
        <v>122</v>
      </c>
      <c r="E113" s="3" t="s">
        <v>304</v>
      </c>
      <c r="F113" s="3">
        <v>22</v>
      </c>
      <c r="G113" s="3" t="str">
        <f>_xlfn.XLOOKUP(Tabla3[[#This Row],[ID]],Tabla2[ID],Tabla2[Corregimiento],"NA")</f>
        <v>San Bernardo</v>
      </c>
      <c r="H113" s="3" t="s">
        <v>305</v>
      </c>
      <c r="I113" s="5"/>
      <c r="J113" s="3">
        <v>1</v>
      </c>
      <c r="K113" s="15">
        <v>60000</v>
      </c>
      <c r="L113" s="15">
        <v>1479500</v>
      </c>
      <c r="M113" s="15">
        <f>Tabla3[[#This Row],[VLR. TOTAL FACT.]]-Tabla3[[#This Row],[VLR. TRANSPORTE]]</f>
        <v>1419500</v>
      </c>
      <c r="N113" s="3">
        <v>0</v>
      </c>
      <c r="O113" s="3" t="s">
        <v>273</v>
      </c>
    </row>
    <row r="114" spans="1:15" ht="27.6" thickBot="1" x14ac:dyDescent="0.35">
      <c r="A114" s="12">
        <v>58563</v>
      </c>
      <c r="B114" s="13">
        <v>45978</v>
      </c>
      <c r="C114" s="12" t="s">
        <v>94</v>
      </c>
      <c r="D114" s="12" t="s">
        <v>266</v>
      </c>
      <c r="E114" s="12" t="s">
        <v>122</v>
      </c>
      <c r="F114" s="12"/>
      <c r="G114" s="12" t="str">
        <f>_xlfn.XLOOKUP(Tabla3[[#This Row],[ID]],Tabla2[ID],Tabla2[Corregimiento],"NA")</f>
        <v>NA</v>
      </c>
      <c r="H114" s="12"/>
      <c r="I114" s="14"/>
      <c r="J114" s="12">
        <v>1</v>
      </c>
      <c r="K114" s="16">
        <v>240000</v>
      </c>
      <c r="L114" s="16">
        <v>1044500</v>
      </c>
      <c r="M114" s="15">
        <f>Tabla3[[#This Row],[VLR. TOTAL FACT.]]-Tabla3[[#This Row],[VLR. TRANSPORTE]]</f>
        <v>804500</v>
      </c>
      <c r="N114" s="12">
        <v>1</v>
      </c>
      <c r="O114" s="12" t="s">
        <v>309</v>
      </c>
    </row>
    <row r="115" spans="1:15" ht="27.6" hidden="1" thickBot="1" x14ac:dyDescent="0.35">
      <c r="A115" s="3">
        <v>30574</v>
      </c>
      <c r="B115" s="4">
        <v>45980</v>
      </c>
      <c r="C115" s="3" t="s">
        <v>94</v>
      </c>
      <c r="D115" s="3" t="s">
        <v>310</v>
      </c>
      <c r="E115" s="3" t="s">
        <v>311</v>
      </c>
      <c r="F115" s="3">
        <v>4</v>
      </c>
      <c r="G115" s="3" t="str">
        <f>_xlfn.XLOOKUP(Tabla3[[#This Row],[ID]],Tabla2[ID],Tabla2[Corregimiento],"NA")</f>
        <v>El Carmen</v>
      </c>
      <c r="H115" s="3">
        <v>5</v>
      </c>
      <c r="I115" s="5"/>
      <c r="J115" s="3">
        <v>1</v>
      </c>
      <c r="K115" s="15">
        <v>20000</v>
      </c>
      <c r="L115" s="15">
        <v>240000</v>
      </c>
      <c r="M115" s="15">
        <f>Tabla3[[#This Row],[VLR. TOTAL FACT.]]-Tabla3[[#This Row],[VLR. TRANSPORTE]]</f>
        <v>220000</v>
      </c>
      <c r="N115" s="3">
        <v>0</v>
      </c>
      <c r="O115" s="3" t="s">
        <v>273</v>
      </c>
    </row>
    <row r="116" spans="1:15" ht="27.6" thickBot="1" x14ac:dyDescent="0.35">
      <c r="A116" s="12">
        <v>30586</v>
      </c>
      <c r="B116" s="13">
        <v>45980</v>
      </c>
      <c r="C116" s="12" t="s">
        <v>94</v>
      </c>
      <c r="D116" s="12" t="s">
        <v>312</v>
      </c>
      <c r="E116" s="12" t="s">
        <v>111</v>
      </c>
      <c r="F116" s="12"/>
      <c r="G116" s="12" t="str">
        <f>_xlfn.XLOOKUP(Tabla3[[#This Row],[ID]],Tabla2[ID],Tabla2[Corregimiento],"NA")</f>
        <v>NA</v>
      </c>
      <c r="H116" s="12">
        <v>4</v>
      </c>
      <c r="I116" s="14"/>
      <c r="J116" s="12">
        <v>1</v>
      </c>
      <c r="K116" s="16">
        <v>50000</v>
      </c>
      <c r="L116" s="16">
        <v>303000</v>
      </c>
      <c r="M116" s="15">
        <f>Tabla3[[#This Row],[VLR. TOTAL FACT.]]-Tabla3[[#This Row],[VLR. TRANSPORTE]]</f>
        <v>253000</v>
      </c>
      <c r="N116" s="12">
        <v>0</v>
      </c>
      <c r="O116" s="12" t="s">
        <v>270</v>
      </c>
    </row>
    <row r="117" spans="1:15" ht="27.6" hidden="1" thickBot="1" x14ac:dyDescent="0.35">
      <c r="A117" s="3">
        <v>30495</v>
      </c>
      <c r="B117" s="4">
        <v>45981</v>
      </c>
      <c r="C117" s="3" t="s">
        <v>94</v>
      </c>
      <c r="D117" s="3" t="s">
        <v>313</v>
      </c>
      <c r="E117" s="3" t="s">
        <v>314</v>
      </c>
      <c r="F117" s="3">
        <v>2</v>
      </c>
      <c r="G117" s="3" t="str">
        <f>_xlfn.XLOOKUP(Tabla3[[#This Row],[ID]],Tabla2[ID],Tabla2[Corregimiento],"NA")</f>
        <v>Borrero Ayerbe</v>
      </c>
      <c r="H117" s="3" t="s">
        <v>315</v>
      </c>
      <c r="I117" s="5"/>
      <c r="J117" s="3">
        <v>1</v>
      </c>
      <c r="K117" s="15">
        <v>70000</v>
      </c>
      <c r="L117" s="15">
        <v>1343900</v>
      </c>
      <c r="M117" s="15">
        <f>Tabla3[[#This Row],[VLR. TOTAL FACT.]]-Tabla3[[#This Row],[VLR. TRANSPORTE]]</f>
        <v>1273900</v>
      </c>
      <c r="N117" s="3">
        <v>1</v>
      </c>
      <c r="O117" s="3" t="s">
        <v>273</v>
      </c>
    </row>
    <row r="118" spans="1:15" ht="27.6" hidden="1" thickBot="1" x14ac:dyDescent="0.35">
      <c r="A118" s="12">
        <v>30602</v>
      </c>
      <c r="B118" s="13">
        <v>45981</v>
      </c>
      <c r="C118" s="12" t="s">
        <v>94</v>
      </c>
      <c r="D118" s="12" t="s">
        <v>318</v>
      </c>
      <c r="E118" s="12" t="s">
        <v>191</v>
      </c>
      <c r="F118" s="12">
        <v>2</v>
      </c>
      <c r="G118" s="12" t="str">
        <f>_xlfn.XLOOKUP(Tabla3[[#This Row],[ID]],Tabla2[ID],Tabla2[Corregimiento],"NA")</f>
        <v>Borrero Ayerbe</v>
      </c>
      <c r="H118" s="12">
        <v>3</v>
      </c>
      <c r="I118" s="14"/>
      <c r="J118" s="12">
        <v>1</v>
      </c>
      <c r="K118" s="15">
        <v>40000</v>
      </c>
      <c r="L118" s="16">
        <v>1459500</v>
      </c>
      <c r="M118" s="15">
        <f>Tabla3[[#This Row],[VLR. TOTAL FACT.]]-Tabla3[[#This Row],[VLR. TRANSPORTE]]</f>
        <v>1419500</v>
      </c>
      <c r="N118" s="12">
        <v>0</v>
      </c>
      <c r="O118" s="12" t="s">
        <v>127</v>
      </c>
    </row>
    <row r="119" spans="1:15" ht="40.799999999999997" hidden="1" thickBot="1" x14ac:dyDescent="0.35">
      <c r="A119" s="3">
        <v>30489</v>
      </c>
      <c r="B119" s="4">
        <v>45981</v>
      </c>
      <c r="C119" s="3" t="s">
        <v>94</v>
      </c>
      <c r="D119" s="3" t="s">
        <v>321</v>
      </c>
      <c r="E119" s="3" t="s">
        <v>111</v>
      </c>
      <c r="F119" s="3">
        <v>2</v>
      </c>
      <c r="G119" s="3" t="str">
        <f>_xlfn.XLOOKUP(Tabla3[[#This Row],[ID]],Tabla2[ID],Tabla2[Corregimiento],"NA")</f>
        <v>Borrero Ayerbe</v>
      </c>
      <c r="H119" s="3">
        <v>4</v>
      </c>
      <c r="I119" s="5"/>
      <c r="J119" s="3">
        <v>1</v>
      </c>
      <c r="K119" s="15">
        <v>30000</v>
      </c>
      <c r="L119" s="15">
        <v>220000</v>
      </c>
      <c r="M119" s="15">
        <f>Tabla3[[#This Row],[VLR. TOTAL FACT.]]-Tabla3[[#This Row],[VLR. TRANSPORTE]]</f>
        <v>190000</v>
      </c>
      <c r="N119" s="3">
        <v>0</v>
      </c>
      <c r="O119" s="3" t="s">
        <v>127</v>
      </c>
    </row>
    <row r="120" spans="1:15" ht="27.6" hidden="1" thickBot="1" x14ac:dyDescent="0.35">
      <c r="A120" s="12">
        <v>58947</v>
      </c>
      <c r="B120" s="13">
        <v>45981</v>
      </c>
      <c r="C120" s="12" t="s">
        <v>94</v>
      </c>
      <c r="D120" s="12" t="s">
        <v>322</v>
      </c>
      <c r="E120" s="12" t="s">
        <v>323</v>
      </c>
      <c r="F120" s="12">
        <v>4</v>
      </c>
      <c r="G120" s="12" t="str">
        <f>_xlfn.XLOOKUP(Tabla3[[#This Row],[ID]],Tabla2[ID],Tabla2[Corregimiento],"NA")</f>
        <v>El Carmen</v>
      </c>
      <c r="H120" s="12" t="s">
        <v>324</v>
      </c>
      <c r="I120" s="14"/>
      <c r="J120" s="12">
        <v>1</v>
      </c>
      <c r="K120" s="16">
        <v>50000</v>
      </c>
      <c r="L120" s="16">
        <v>1130700</v>
      </c>
      <c r="M120" s="15">
        <f>Tabla3[[#This Row],[VLR. TOTAL FACT.]]-Tabla3[[#This Row],[VLR. TRANSPORTE]]</f>
        <v>1080700</v>
      </c>
      <c r="N120" s="12">
        <v>0</v>
      </c>
      <c r="O120" s="12" t="s">
        <v>270</v>
      </c>
    </row>
    <row r="121" spans="1:15" ht="15" thickBot="1" x14ac:dyDescent="0.35">
      <c r="A121" s="3">
        <v>30486</v>
      </c>
      <c r="B121" s="4" t="s">
        <v>122</v>
      </c>
      <c r="C121" s="3" t="s">
        <v>94</v>
      </c>
      <c r="D121" s="3" t="s">
        <v>327</v>
      </c>
      <c r="E121" s="3" t="s">
        <v>328</v>
      </c>
      <c r="F121" s="3"/>
      <c r="G121" s="3" t="str">
        <f>_xlfn.XLOOKUP(Tabla3[[#This Row],[ID]],Tabla2[ID],Tabla2[Corregimiento],"NA")</f>
        <v>NA</v>
      </c>
      <c r="H121" s="3"/>
      <c r="I121" s="5"/>
      <c r="J121" s="3">
        <v>1</v>
      </c>
      <c r="K121" s="15">
        <v>25000</v>
      </c>
      <c r="L121" s="15">
        <v>108000</v>
      </c>
      <c r="M121" s="15">
        <f>Tabla3[[#This Row],[VLR. TOTAL FACT.]]-Tabla3[[#This Row],[VLR. TRANSPORTE]]</f>
        <v>83000</v>
      </c>
      <c r="N121" s="3">
        <v>0</v>
      </c>
      <c r="O121" s="3" t="s">
        <v>270</v>
      </c>
    </row>
    <row r="122" spans="1:15" ht="27.6" thickBot="1" x14ac:dyDescent="0.35">
      <c r="A122" s="12">
        <v>58760</v>
      </c>
      <c r="B122" s="13">
        <v>45981</v>
      </c>
      <c r="C122" s="12" t="s">
        <v>94</v>
      </c>
      <c r="D122" s="12" t="s">
        <v>329</v>
      </c>
      <c r="E122" s="12" t="s">
        <v>241</v>
      </c>
      <c r="F122" s="12"/>
      <c r="G122" s="12" t="str">
        <f>_xlfn.XLOOKUP(Tabla3[[#This Row],[ID]],Tabla2[ID],Tabla2[Corregimiento],"NA")</f>
        <v>NA</v>
      </c>
      <c r="H122" s="12"/>
      <c r="I122" s="14"/>
      <c r="J122" s="12">
        <v>1</v>
      </c>
      <c r="K122" s="16">
        <v>80000</v>
      </c>
      <c r="L122" s="16">
        <v>284000</v>
      </c>
      <c r="M122" s="15">
        <f>Tabla3[[#This Row],[VLR. TOTAL FACT.]]-Tabla3[[#This Row],[VLR. TRANSPORTE]]</f>
        <v>204000</v>
      </c>
      <c r="N122" s="12">
        <v>1</v>
      </c>
      <c r="O122" s="12" t="s">
        <v>270</v>
      </c>
    </row>
    <row r="123" spans="1:15" ht="27.6" thickBot="1" x14ac:dyDescent="0.35">
      <c r="A123" s="3">
        <v>58646</v>
      </c>
      <c r="B123" s="4">
        <v>45981</v>
      </c>
      <c r="C123" s="3" t="s">
        <v>94</v>
      </c>
      <c r="D123" s="3" t="s">
        <v>330</v>
      </c>
      <c r="E123" s="3" t="s">
        <v>331</v>
      </c>
      <c r="F123" s="3"/>
      <c r="G123" s="3" t="str">
        <f>_xlfn.XLOOKUP(Tabla3[[#This Row],[ID]],Tabla2[ID],Tabla2[Corregimiento],"NA")</f>
        <v>NA</v>
      </c>
      <c r="H123" s="3" t="s">
        <v>287</v>
      </c>
      <c r="I123" s="5"/>
      <c r="J123" s="3">
        <v>1</v>
      </c>
      <c r="K123" s="15">
        <v>60000</v>
      </c>
      <c r="L123" s="15">
        <v>733000</v>
      </c>
      <c r="M123" s="15">
        <f>Tabla3[[#This Row],[VLR. TOTAL FACT.]]-Tabla3[[#This Row],[VLR. TRANSPORTE]]</f>
        <v>673000</v>
      </c>
      <c r="N123" s="3">
        <v>1</v>
      </c>
      <c r="O123" s="3" t="s">
        <v>101</v>
      </c>
    </row>
    <row r="124" spans="1:15" ht="27.6" hidden="1" thickBot="1" x14ac:dyDescent="0.35">
      <c r="A124" s="12">
        <v>58703</v>
      </c>
      <c r="B124" s="13">
        <v>45980</v>
      </c>
      <c r="C124" s="12" t="s">
        <v>94</v>
      </c>
      <c r="D124" s="12" t="s">
        <v>235</v>
      </c>
      <c r="E124" s="12" t="s">
        <v>236</v>
      </c>
      <c r="F124" s="12">
        <v>4</v>
      </c>
      <c r="G124" s="12" t="str">
        <f>_xlfn.XLOOKUP(Tabla3[[#This Row],[ID]],Tabla2[ID],Tabla2[Corregimiento],"NA")</f>
        <v>El Carmen</v>
      </c>
      <c r="H124" s="12" t="s">
        <v>109</v>
      </c>
      <c r="I124" s="14"/>
      <c r="J124" s="12">
        <v>1</v>
      </c>
      <c r="K124" s="15">
        <v>40000</v>
      </c>
      <c r="L124" s="16">
        <v>730000</v>
      </c>
      <c r="M124" s="15">
        <f>Tabla3[[#This Row],[VLR. TOTAL FACT.]]-Tabla3[[#This Row],[VLR. TRANSPORTE]]</f>
        <v>690000</v>
      </c>
      <c r="N124" s="12">
        <v>1</v>
      </c>
      <c r="O124" s="12" t="s">
        <v>101</v>
      </c>
    </row>
    <row r="125" spans="1:15" ht="15" thickBot="1" x14ac:dyDescent="0.35">
      <c r="A125" s="3">
        <v>59198</v>
      </c>
      <c r="B125" s="4">
        <v>45991</v>
      </c>
      <c r="C125" s="3" t="s">
        <v>94</v>
      </c>
      <c r="D125" s="3" t="s">
        <v>332</v>
      </c>
      <c r="E125" s="3" t="s">
        <v>272</v>
      </c>
      <c r="F125" s="3"/>
      <c r="G125" s="3" t="str">
        <f>_xlfn.XLOOKUP(Tabla3[[#This Row],[ID]],Tabla2[ID],Tabla2[Corregimiento],"NA")</f>
        <v>NA</v>
      </c>
      <c r="H125" s="3">
        <v>7</v>
      </c>
      <c r="I125" s="5"/>
      <c r="J125" s="3">
        <v>1</v>
      </c>
      <c r="K125" s="15">
        <v>40000</v>
      </c>
      <c r="L125" s="15">
        <v>380000</v>
      </c>
      <c r="M125" s="15">
        <f>Tabla3[[#This Row],[VLR. TOTAL FACT.]]-Tabla3[[#This Row],[VLR. TRANSPORTE]]</f>
        <v>340000</v>
      </c>
      <c r="N125" s="3">
        <v>0</v>
      </c>
      <c r="O125" s="3" t="s">
        <v>101</v>
      </c>
    </row>
    <row r="126" spans="1:15" ht="27.6" thickBot="1" x14ac:dyDescent="0.35">
      <c r="A126" s="12">
        <v>59273</v>
      </c>
      <c r="B126" s="13">
        <v>45991</v>
      </c>
      <c r="C126" s="12" t="s">
        <v>94</v>
      </c>
      <c r="D126" s="12" t="s">
        <v>333</v>
      </c>
      <c r="E126" s="12" t="s">
        <v>334</v>
      </c>
      <c r="F126" s="12"/>
      <c r="G126" s="12" t="str">
        <f>_xlfn.XLOOKUP(Tabla3[[#This Row],[ID]],Tabla2[ID],Tabla2[Corregimiento],"NA")</f>
        <v>NA</v>
      </c>
      <c r="H126" s="12">
        <v>4</v>
      </c>
      <c r="I126" s="14"/>
      <c r="J126" s="12">
        <v>1</v>
      </c>
      <c r="K126" s="15">
        <v>30000</v>
      </c>
      <c r="L126" s="16">
        <v>190000</v>
      </c>
      <c r="M126" s="15">
        <f>Tabla3[[#This Row],[VLR. TOTAL FACT.]]-Tabla3[[#This Row],[VLR. TRANSPORTE]]</f>
        <v>160000</v>
      </c>
      <c r="N126" s="12">
        <v>0</v>
      </c>
      <c r="O126" s="12" t="s">
        <v>101</v>
      </c>
    </row>
    <row r="127" spans="1:15" ht="27.6" thickBot="1" x14ac:dyDescent="0.35">
      <c r="A127" s="3">
        <v>30764</v>
      </c>
      <c r="B127" s="4">
        <v>45984</v>
      </c>
      <c r="C127" s="3" t="s">
        <v>94</v>
      </c>
      <c r="D127" s="3" t="s">
        <v>335</v>
      </c>
      <c r="E127" s="3" t="s">
        <v>328</v>
      </c>
      <c r="F127" s="3"/>
      <c r="G127" s="3" t="str">
        <f>_xlfn.XLOOKUP(Tabla3[[#This Row],[ID]],Tabla2[ID],Tabla2[Corregimiento],"NA")</f>
        <v>NA</v>
      </c>
      <c r="H127" s="3"/>
      <c r="I127" s="5"/>
      <c r="J127" s="3">
        <v>1</v>
      </c>
      <c r="K127" s="15">
        <v>40000</v>
      </c>
      <c r="L127" s="15">
        <v>1480000</v>
      </c>
      <c r="M127" s="15">
        <f>Tabla3[[#This Row],[VLR. TOTAL FACT.]]-Tabla3[[#This Row],[VLR. TRANSPORTE]]</f>
        <v>1440000</v>
      </c>
      <c r="N127" s="3">
        <v>0</v>
      </c>
      <c r="O127" s="3" t="s">
        <v>270</v>
      </c>
    </row>
    <row r="128" spans="1:15" ht="27.6" thickBot="1" x14ac:dyDescent="0.35">
      <c r="A128" s="12">
        <v>59254</v>
      </c>
      <c r="B128" s="13">
        <v>45990</v>
      </c>
      <c r="C128" s="12" t="s">
        <v>94</v>
      </c>
      <c r="D128" s="12" t="s">
        <v>338</v>
      </c>
      <c r="E128" s="12" t="s">
        <v>302</v>
      </c>
      <c r="F128" s="12"/>
      <c r="G128" s="12" t="str">
        <f>_xlfn.XLOOKUP(Tabla3[[#This Row],[ID]],Tabla2[ID],Tabla2[Corregimiento],"NA")</f>
        <v>NA</v>
      </c>
      <c r="H128" s="12">
        <v>7</v>
      </c>
      <c r="I128" s="14"/>
      <c r="J128" s="12">
        <v>1</v>
      </c>
      <c r="K128" s="16">
        <v>80000</v>
      </c>
      <c r="L128" s="16">
        <v>932000</v>
      </c>
      <c r="M128" s="15">
        <f>Tabla3[[#This Row],[VLR. TOTAL FACT.]]-Tabla3[[#This Row],[VLR. TRANSPORTE]]</f>
        <v>852000</v>
      </c>
      <c r="N128" s="12">
        <v>0</v>
      </c>
      <c r="O128" s="12" t="s">
        <v>101</v>
      </c>
    </row>
    <row r="129" spans="1:15" ht="15" thickBot="1" x14ac:dyDescent="0.35">
      <c r="A129" s="3">
        <v>30747</v>
      </c>
      <c r="B129" s="4">
        <v>45990</v>
      </c>
      <c r="C129" s="3" t="s">
        <v>94</v>
      </c>
      <c r="D129" s="3" t="s">
        <v>122</v>
      </c>
      <c r="E129" s="3" t="s">
        <v>331</v>
      </c>
      <c r="F129" s="3"/>
      <c r="G129" s="3" t="str">
        <f>_xlfn.XLOOKUP(Tabla3[[#This Row],[ID]],Tabla2[ID],Tabla2[Corregimiento],"NA")</f>
        <v>NA</v>
      </c>
      <c r="H129" s="3" t="s">
        <v>287</v>
      </c>
      <c r="I129" s="5"/>
      <c r="J129" s="3">
        <v>1</v>
      </c>
      <c r="K129" s="15">
        <v>30000</v>
      </c>
      <c r="L129" s="15">
        <v>232000</v>
      </c>
      <c r="M129" s="15">
        <f>Tabla3[[#This Row],[VLR. TOTAL FACT.]]-Tabla3[[#This Row],[VLR. TRANSPORTE]]</f>
        <v>202000</v>
      </c>
      <c r="N129" s="3">
        <v>0</v>
      </c>
      <c r="O129" s="3" t="s">
        <v>270</v>
      </c>
    </row>
    <row r="130" spans="1:15" ht="15" thickBot="1" x14ac:dyDescent="0.35">
      <c r="A130" s="12">
        <v>59252</v>
      </c>
      <c r="B130" s="13">
        <v>45990</v>
      </c>
      <c r="C130" s="12" t="s">
        <v>94</v>
      </c>
      <c r="D130" s="12" t="s">
        <v>279</v>
      </c>
      <c r="E130" s="12" t="s">
        <v>160</v>
      </c>
      <c r="F130" s="12"/>
      <c r="G130" s="12" t="str">
        <f>_xlfn.XLOOKUP(Tabla3[[#This Row],[ID]],Tabla2[ID],Tabla2[Corregimiento],"NA")</f>
        <v>NA</v>
      </c>
      <c r="H130" s="12" t="s">
        <v>208</v>
      </c>
      <c r="I130" s="14"/>
      <c r="J130" s="12">
        <v>1</v>
      </c>
      <c r="K130" s="16">
        <v>60000</v>
      </c>
      <c r="L130" s="16">
        <v>123000</v>
      </c>
      <c r="M130" s="15">
        <f>Tabla3[[#This Row],[VLR. TOTAL FACT.]]-Tabla3[[#This Row],[VLR. TRANSPORTE]]</f>
        <v>63000</v>
      </c>
      <c r="N130" s="12">
        <v>1</v>
      </c>
      <c r="O130" s="12" t="s">
        <v>127</v>
      </c>
    </row>
    <row r="131" spans="1:15" ht="15" thickBot="1" x14ac:dyDescent="0.35">
      <c r="A131" s="3">
        <v>57102</v>
      </c>
      <c r="B131" s="4" t="s">
        <v>122</v>
      </c>
      <c r="C131" s="3" t="s">
        <v>94</v>
      </c>
      <c r="D131" s="3" t="s">
        <v>339</v>
      </c>
      <c r="E131" s="3" t="s">
        <v>122</v>
      </c>
      <c r="F131" s="3"/>
      <c r="G131" s="3" t="str">
        <f>_xlfn.XLOOKUP(Tabla3[[#This Row],[ID]],Tabla2[ID],Tabla2[Corregimiento],"NA")</f>
        <v>NA</v>
      </c>
      <c r="H131" s="3"/>
      <c r="I131" s="5"/>
      <c r="J131" s="3">
        <v>1</v>
      </c>
      <c r="K131" s="15">
        <v>60000</v>
      </c>
      <c r="L131" s="15">
        <v>1186000</v>
      </c>
      <c r="M131" s="15">
        <f>Tabla3[[#This Row],[VLR. TOTAL FACT.]]-Tabla3[[#This Row],[VLR. TRANSPORTE]]</f>
        <v>1126000</v>
      </c>
      <c r="N131" s="3">
        <v>0</v>
      </c>
      <c r="O131" s="3" t="s">
        <v>101</v>
      </c>
    </row>
    <row r="132" spans="1:15" ht="15" thickBot="1" x14ac:dyDescent="0.35">
      <c r="A132" s="12">
        <v>59184</v>
      </c>
      <c r="B132" s="13" t="s">
        <v>122</v>
      </c>
      <c r="C132" s="12" t="s">
        <v>94</v>
      </c>
      <c r="D132" s="12" t="s">
        <v>342</v>
      </c>
      <c r="E132" s="12" t="s">
        <v>343</v>
      </c>
      <c r="F132" s="12"/>
      <c r="G132" s="12" t="str">
        <f>_xlfn.XLOOKUP(Tabla3[[#This Row],[ID]],Tabla2[ID],Tabla2[Corregimiento],"NA")</f>
        <v>NA</v>
      </c>
      <c r="H132" s="12"/>
      <c r="I132" s="14"/>
      <c r="J132" s="12">
        <v>1</v>
      </c>
      <c r="K132" s="16">
        <v>40000</v>
      </c>
      <c r="L132" s="16">
        <v>1699000</v>
      </c>
      <c r="M132" s="15">
        <f>Tabla3[[#This Row],[VLR. TOTAL FACT.]]-Tabla3[[#This Row],[VLR. TRANSPORTE]]</f>
        <v>1659000</v>
      </c>
      <c r="N132" s="12">
        <v>0</v>
      </c>
      <c r="O132" s="12" t="s">
        <v>101</v>
      </c>
    </row>
    <row r="133" spans="1:15" ht="27.6" hidden="1" thickBot="1" x14ac:dyDescent="0.35">
      <c r="A133" s="3">
        <v>59175</v>
      </c>
      <c r="B133" s="4">
        <v>45969</v>
      </c>
      <c r="C133" s="3" t="s">
        <v>94</v>
      </c>
      <c r="D133" s="3" t="s">
        <v>346</v>
      </c>
      <c r="E133" s="3" t="s">
        <v>174</v>
      </c>
      <c r="F133" s="3">
        <v>2</v>
      </c>
      <c r="G133" s="3" t="str">
        <f>_xlfn.XLOOKUP(Tabla3[[#This Row],[ID]],Tabla2[ID],Tabla2[Corregimiento],"NA")</f>
        <v>Borrero Ayerbe</v>
      </c>
      <c r="H133" s="3">
        <v>3</v>
      </c>
      <c r="I133" s="5"/>
      <c r="J133" s="3">
        <v>1</v>
      </c>
      <c r="K133" s="15">
        <v>40000</v>
      </c>
      <c r="L133" s="15">
        <v>280000</v>
      </c>
      <c r="M133" s="15">
        <f>Tabla3[[#This Row],[VLR. TOTAL FACT.]]-Tabla3[[#This Row],[VLR. TRANSPORTE]]</f>
        <v>240000</v>
      </c>
      <c r="N133" s="3">
        <v>0</v>
      </c>
      <c r="O133" s="3" t="s">
        <v>101</v>
      </c>
    </row>
    <row r="134" spans="1:15" ht="27.6" hidden="1" thickBot="1" x14ac:dyDescent="0.35">
      <c r="A134" s="12">
        <v>58924</v>
      </c>
      <c r="B134" s="13">
        <v>45980</v>
      </c>
      <c r="C134" s="12" t="s">
        <v>94</v>
      </c>
      <c r="D134" s="12" t="s">
        <v>347</v>
      </c>
      <c r="E134" s="12" t="s">
        <v>151</v>
      </c>
      <c r="F134" s="12">
        <v>4</v>
      </c>
      <c r="G134" s="12" t="str">
        <f>_xlfn.XLOOKUP(Tabla3[[#This Row],[ID]],Tabla2[ID],Tabla2[Corregimiento],"NA")</f>
        <v>El Carmen</v>
      </c>
      <c r="H134" s="12" t="s">
        <v>152</v>
      </c>
      <c r="I134" s="14"/>
      <c r="J134" s="12">
        <v>1</v>
      </c>
      <c r="K134" s="16">
        <v>50000</v>
      </c>
      <c r="L134" s="16">
        <v>242000</v>
      </c>
      <c r="M134" s="15">
        <f>Tabla3[[#This Row],[VLR. TOTAL FACT.]]-Tabla3[[#This Row],[VLR. TRANSPORTE]]</f>
        <v>192000</v>
      </c>
      <c r="N134" s="12">
        <v>0</v>
      </c>
      <c r="O134" s="12" t="s">
        <v>101</v>
      </c>
    </row>
    <row r="135" spans="1:15" ht="27.6" hidden="1" thickBot="1" x14ac:dyDescent="0.35">
      <c r="A135" s="3">
        <v>59047</v>
      </c>
      <c r="B135" s="4" t="s">
        <v>122</v>
      </c>
      <c r="C135" s="3" t="s">
        <v>94</v>
      </c>
      <c r="D135" s="3" t="s">
        <v>347</v>
      </c>
      <c r="E135" s="3" t="s">
        <v>151</v>
      </c>
      <c r="F135" s="3">
        <v>4</v>
      </c>
      <c r="G135" s="3" t="str">
        <f>_xlfn.XLOOKUP(Tabla3[[#This Row],[ID]],Tabla2[ID],Tabla2[Corregimiento],"NA")</f>
        <v>El Carmen</v>
      </c>
      <c r="H135" s="3" t="s">
        <v>152</v>
      </c>
      <c r="I135" s="5"/>
      <c r="J135" s="3">
        <v>1</v>
      </c>
      <c r="K135" s="15">
        <v>160000</v>
      </c>
      <c r="L135" s="15">
        <v>1704900</v>
      </c>
      <c r="M135" s="15">
        <f>Tabla3[[#This Row],[VLR. TOTAL FACT.]]-Tabla3[[#This Row],[VLR. TRANSPORTE]]</f>
        <v>1544900</v>
      </c>
      <c r="N135" s="3">
        <v>1</v>
      </c>
      <c r="O135" s="3" t="s">
        <v>101</v>
      </c>
    </row>
    <row r="136" spans="1:15" ht="27.6" hidden="1" thickBot="1" x14ac:dyDescent="0.35">
      <c r="A136" s="12">
        <v>58326</v>
      </c>
      <c r="B136" s="13">
        <v>45986</v>
      </c>
      <c r="C136" s="12" t="s">
        <v>94</v>
      </c>
      <c r="D136" s="12" t="s">
        <v>350</v>
      </c>
      <c r="E136" s="12" t="s">
        <v>351</v>
      </c>
      <c r="F136" s="12">
        <v>4</v>
      </c>
      <c r="G136" s="12" t="str">
        <f>_xlfn.XLOOKUP(Tabla3[[#This Row],[ID]],Tabla2[ID],Tabla2[Corregimiento],"NA")</f>
        <v>El Carmen</v>
      </c>
      <c r="H136" s="12"/>
      <c r="I136" s="14"/>
      <c r="J136" s="12">
        <v>1</v>
      </c>
      <c r="K136" s="16">
        <v>40000</v>
      </c>
      <c r="L136" s="16">
        <v>436000</v>
      </c>
      <c r="M136" s="15">
        <f>Tabla3[[#This Row],[VLR. TOTAL FACT.]]-Tabla3[[#This Row],[VLR. TRANSPORTE]]</f>
        <v>396000</v>
      </c>
      <c r="N136" s="12">
        <v>1</v>
      </c>
      <c r="O136" s="12" t="s">
        <v>101</v>
      </c>
    </row>
    <row r="137" spans="1:15" ht="27.6" hidden="1" thickBot="1" x14ac:dyDescent="0.35">
      <c r="A137" s="3">
        <v>59071</v>
      </c>
      <c r="B137" s="4">
        <v>45987</v>
      </c>
      <c r="C137" s="3" t="s">
        <v>94</v>
      </c>
      <c r="D137" s="3" t="s">
        <v>310</v>
      </c>
      <c r="E137" s="3" t="s">
        <v>144</v>
      </c>
      <c r="F137" s="3">
        <v>4</v>
      </c>
      <c r="G137" s="3" t="str">
        <f>_xlfn.XLOOKUP(Tabla3[[#This Row],[ID]],Tabla2[ID],Tabla2[Corregimiento],"NA")</f>
        <v>El Carmen</v>
      </c>
      <c r="H137" s="3">
        <v>5</v>
      </c>
      <c r="I137" s="5"/>
      <c r="J137" s="3">
        <v>1</v>
      </c>
      <c r="K137" s="15">
        <v>50000</v>
      </c>
      <c r="L137" s="15">
        <v>660000</v>
      </c>
      <c r="M137" s="15">
        <f>Tabla3[[#This Row],[VLR. TOTAL FACT.]]-Tabla3[[#This Row],[VLR. TRANSPORTE]]</f>
        <v>610000</v>
      </c>
      <c r="N137" s="3">
        <v>0</v>
      </c>
      <c r="O137" s="3" t="s">
        <v>270</v>
      </c>
    </row>
    <row r="138" spans="1:15" ht="15" hidden="1" thickBot="1" x14ac:dyDescent="0.35">
      <c r="A138" s="12">
        <v>59128</v>
      </c>
      <c r="B138" s="13">
        <v>45988</v>
      </c>
      <c r="C138" s="12" t="s">
        <v>94</v>
      </c>
      <c r="D138" s="12" t="s">
        <v>122</v>
      </c>
      <c r="E138" s="12" t="s">
        <v>352</v>
      </c>
      <c r="F138" s="12">
        <v>8</v>
      </c>
      <c r="G138" s="12" t="str">
        <f>_xlfn.XLOOKUP(Tabla3[[#This Row],[ID]],Tabla2[ID],Tabla2[Corregimiento],"NA")</f>
        <v>El Palmar</v>
      </c>
      <c r="H138" s="12">
        <v>3</v>
      </c>
      <c r="I138" s="14"/>
      <c r="J138" s="12">
        <v>1</v>
      </c>
      <c r="K138" s="16">
        <v>40000</v>
      </c>
      <c r="L138" s="16">
        <v>665000</v>
      </c>
      <c r="M138" s="15">
        <f>Tabla3[[#This Row],[VLR. TOTAL FACT.]]-Tabla3[[#This Row],[VLR. TRANSPORTE]]</f>
        <v>625000</v>
      </c>
      <c r="N138" s="12">
        <v>0</v>
      </c>
      <c r="O138" s="12" t="s">
        <v>270</v>
      </c>
    </row>
    <row r="139" spans="1:15" ht="15" thickBot="1" x14ac:dyDescent="0.35">
      <c r="A139" s="3">
        <v>59040</v>
      </c>
      <c r="B139" s="4">
        <v>45987</v>
      </c>
      <c r="C139" s="3" t="s">
        <v>94</v>
      </c>
      <c r="D139" s="3" t="s">
        <v>122</v>
      </c>
      <c r="E139" s="3" t="s">
        <v>122</v>
      </c>
      <c r="F139" s="3"/>
      <c r="G139" s="3" t="str">
        <f>_xlfn.XLOOKUP(Tabla3[[#This Row],[ID]],Tabla2[ID],Tabla2[Corregimiento],"NA")</f>
        <v>NA</v>
      </c>
      <c r="H139" s="3"/>
      <c r="I139" s="5"/>
      <c r="J139" s="3">
        <v>1</v>
      </c>
      <c r="K139" s="15">
        <v>10000</v>
      </c>
      <c r="L139" s="15">
        <v>207000</v>
      </c>
      <c r="M139" s="15">
        <f>Tabla3[[#This Row],[VLR. TOTAL FACT.]]-Tabla3[[#This Row],[VLR. TRANSPORTE]]</f>
        <v>197000</v>
      </c>
      <c r="N139" s="3">
        <v>0</v>
      </c>
      <c r="O139" s="3" t="s">
        <v>270</v>
      </c>
    </row>
    <row r="140" spans="1:15" ht="27.6" hidden="1" thickBot="1" x14ac:dyDescent="0.35">
      <c r="A140" s="12">
        <v>58345</v>
      </c>
      <c r="B140" s="13">
        <v>45987</v>
      </c>
      <c r="C140" s="12" t="s">
        <v>94</v>
      </c>
      <c r="D140" s="12" t="s">
        <v>353</v>
      </c>
      <c r="E140" s="12" t="s">
        <v>323</v>
      </c>
      <c r="F140" s="12">
        <v>4</v>
      </c>
      <c r="G140" s="12" t="str">
        <f>_xlfn.XLOOKUP(Tabla3[[#This Row],[ID]],Tabla2[ID],Tabla2[Corregimiento],"NA")</f>
        <v>El Carmen</v>
      </c>
      <c r="H140" s="12" t="s">
        <v>324</v>
      </c>
      <c r="I140" s="14"/>
      <c r="J140" s="12">
        <v>1</v>
      </c>
      <c r="K140" s="16">
        <v>50000</v>
      </c>
      <c r="L140" s="16">
        <v>694000</v>
      </c>
      <c r="M140" s="15">
        <f>Tabla3[[#This Row],[VLR. TOTAL FACT.]]-Tabla3[[#This Row],[VLR. TRANSPORTE]]</f>
        <v>644000</v>
      </c>
      <c r="N140" s="12">
        <v>0</v>
      </c>
      <c r="O140" s="12" t="s">
        <v>127</v>
      </c>
    </row>
    <row r="141" spans="1:15" ht="27.6" hidden="1" thickBot="1" x14ac:dyDescent="0.35">
      <c r="A141" s="3">
        <v>58352</v>
      </c>
      <c r="B141" s="4">
        <v>45987</v>
      </c>
      <c r="C141" s="3" t="s">
        <v>94</v>
      </c>
      <c r="D141" s="3" t="s">
        <v>318</v>
      </c>
      <c r="E141" s="3" t="s">
        <v>352</v>
      </c>
      <c r="F141" s="3">
        <v>8</v>
      </c>
      <c r="G141" s="3" t="str">
        <f>_xlfn.XLOOKUP(Tabla3[[#This Row],[ID]],Tabla2[ID],Tabla2[Corregimiento],"NA")</f>
        <v>El Palmar</v>
      </c>
      <c r="H141" s="3">
        <v>3</v>
      </c>
      <c r="I141" s="5"/>
      <c r="J141" s="3">
        <v>1</v>
      </c>
      <c r="K141" s="15">
        <v>40000</v>
      </c>
      <c r="L141" s="15">
        <v>533000</v>
      </c>
      <c r="M141" s="15">
        <f>Tabla3[[#This Row],[VLR. TOTAL FACT.]]-Tabla3[[#This Row],[VLR. TRANSPORTE]]</f>
        <v>493000</v>
      </c>
      <c r="N141" s="3">
        <v>1</v>
      </c>
      <c r="O141" s="3" t="s">
        <v>270</v>
      </c>
    </row>
    <row r="142" spans="1:15" ht="15" hidden="1" thickBot="1" x14ac:dyDescent="0.35">
      <c r="A142" s="12">
        <v>47578</v>
      </c>
      <c r="B142" s="13">
        <v>45972</v>
      </c>
      <c r="C142" s="12" t="s">
        <v>94</v>
      </c>
      <c r="D142" s="12" t="s">
        <v>354</v>
      </c>
      <c r="E142" s="12" t="s">
        <v>267</v>
      </c>
      <c r="F142" s="12">
        <v>2</v>
      </c>
      <c r="G142" s="12" t="str">
        <f>_xlfn.XLOOKUP(Tabla3[[#This Row],[ID]],Tabla2[ID],Tabla2[Corregimiento],"NA")</f>
        <v>Borrero Ayerbe</v>
      </c>
      <c r="H142" s="12" t="s">
        <v>231</v>
      </c>
      <c r="I142" s="14"/>
      <c r="J142" s="12">
        <v>1</v>
      </c>
      <c r="K142" s="16">
        <v>25000</v>
      </c>
      <c r="L142" s="16">
        <v>510000</v>
      </c>
      <c r="M142" s="15">
        <f>Tabla3[[#This Row],[VLR. TOTAL FACT.]]-Tabla3[[#This Row],[VLR. TRANSPORTE]]</f>
        <v>485000</v>
      </c>
      <c r="N142" s="12">
        <v>0</v>
      </c>
      <c r="O142" s="12" t="s">
        <v>270</v>
      </c>
    </row>
  </sheetData>
  <dataValidations count="1">
    <dataValidation type="whole" allowBlank="1" showInputMessage="1" showErrorMessage="1" sqref="F2 F54:F142" xr:uid="{98B3158B-F174-46E4-9607-C6DEB26DE4E1}">
      <formula1>1</formula1>
      <formula2>27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8336-7EBB-44FC-A4B3-CF404A41DB7C}">
  <dimension ref="A1:O90"/>
  <sheetViews>
    <sheetView workbookViewId="0">
      <selection activeCell="E44" sqref="E44"/>
    </sheetView>
  </sheetViews>
  <sheetFormatPr baseColWidth="10" defaultRowHeight="14.4" x14ac:dyDescent="0.3"/>
  <cols>
    <col min="3" max="3" width="12.88671875" customWidth="1"/>
    <col min="5" max="5" width="12.44140625" customWidth="1"/>
    <col min="6" max="8" width="13.88671875" customWidth="1"/>
    <col min="9" max="9" width="12.5546875" customWidth="1"/>
    <col min="10" max="10" width="11.88671875" customWidth="1"/>
    <col min="11" max="11" width="10.5546875" customWidth="1"/>
    <col min="12" max="13" width="14.77734375" customWidth="1"/>
    <col min="14" max="14" width="11.109375" customWidth="1"/>
    <col min="15" max="15" width="12.5546875" customWidth="1"/>
  </cols>
  <sheetData>
    <row r="1" spans="1:15" ht="45" customHeight="1" thickBot="1" x14ac:dyDescent="0.35">
      <c r="A1" s="30" t="s">
        <v>81</v>
      </c>
      <c r="B1" s="31" t="s">
        <v>82</v>
      </c>
      <c r="C1" s="31" t="s">
        <v>83</v>
      </c>
      <c r="D1" s="31" t="s">
        <v>84</v>
      </c>
      <c r="E1" s="31" t="s">
        <v>85</v>
      </c>
      <c r="F1" s="31" t="s">
        <v>3</v>
      </c>
      <c r="G1" s="31" t="s">
        <v>4</v>
      </c>
      <c r="H1" s="31" t="s">
        <v>355</v>
      </c>
      <c r="I1" s="31" t="s">
        <v>87</v>
      </c>
      <c r="J1" s="31" t="s">
        <v>88</v>
      </c>
      <c r="K1" s="31" t="s">
        <v>183</v>
      </c>
      <c r="L1" s="31" t="s">
        <v>90</v>
      </c>
      <c r="M1" s="31" t="s">
        <v>91</v>
      </c>
      <c r="N1" s="31" t="s">
        <v>92</v>
      </c>
      <c r="O1" s="32" t="s">
        <v>93</v>
      </c>
    </row>
    <row r="2" spans="1:15" ht="27" thickBot="1" x14ac:dyDescent="0.35">
      <c r="A2" s="26" t="s">
        <v>122</v>
      </c>
      <c r="B2" s="18">
        <v>45962</v>
      </c>
      <c r="C2" s="19" t="s">
        <v>94</v>
      </c>
      <c r="D2" s="19" t="s">
        <v>184</v>
      </c>
      <c r="E2" s="19" t="s">
        <v>185</v>
      </c>
      <c r="F2" s="20">
        <v>2</v>
      </c>
      <c r="G2" s="39" t="str">
        <f>_xlfn.XLOOKUP(Diego[[#This Row],[ID]],Tabla2[ID],Tabla2[Corregimiento],"NA")</f>
        <v>Borrero Ayerbe</v>
      </c>
      <c r="H2" s="20"/>
      <c r="I2" s="20"/>
      <c r="J2" s="41">
        <v>1</v>
      </c>
      <c r="K2" s="21">
        <v>40</v>
      </c>
      <c r="L2" s="21">
        <v>369</v>
      </c>
      <c r="M2" s="21">
        <v>329</v>
      </c>
      <c r="N2" s="19">
        <v>0</v>
      </c>
      <c r="O2" s="28" t="s">
        <v>101</v>
      </c>
    </row>
    <row r="3" spans="1:15" ht="15" thickBot="1" x14ac:dyDescent="0.35">
      <c r="A3" s="27">
        <v>46418</v>
      </c>
      <c r="B3" s="22">
        <v>45962</v>
      </c>
      <c r="C3" s="23" t="s">
        <v>94</v>
      </c>
      <c r="D3" s="23" t="s">
        <v>186</v>
      </c>
      <c r="E3" s="23" t="s">
        <v>187</v>
      </c>
      <c r="F3" s="24"/>
      <c r="G3" s="40" t="str">
        <f>_xlfn.XLOOKUP(Diego[[#This Row],[ID]],Tabla2[ID],Tabla2[Corregimiento],"NA")</f>
        <v>NA</v>
      </c>
      <c r="H3" s="24"/>
      <c r="I3" s="24"/>
      <c r="J3" s="42">
        <v>1</v>
      </c>
      <c r="K3" s="25">
        <v>40</v>
      </c>
      <c r="L3" s="25">
        <v>233</v>
      </c>
      <c r="M3" s="25">
        <v>193</v>
      </c>
      <c r="N3" s="23">
        <v>0</v>
      </c>
      <c r="O3" s="29" t="s">
        <v>97</v>
      </c>
    </row>
    <row r="4" spans="1:15" ht="15" thickBot="1" x14ac:dyDescent="0.35">
      <c r="A4" s="26">
        <v>46430</v>
      </c>
      <c r="B4" s="18">
        <v>45962</v>
      </c>
      <c r="C4" s="19" t="s">
        <v>94</v>
      </c>
      <c r="D4" s="19" t="s">
        <v>188</v>
      </c>
      <c r="E4" s="19" t="s">
        <v>189</v>
      </c>
      <c r="F4" s="19">
        <v>2</v>
      </c>
      <c r="G4" s="19" t="str">
        <f>_xlfn.XLOOKUP(Diego[[#This Row],[ID]],Tabla2[ID],Tabla2[Corregimiento],"NA")</f>
        <v>Borrero Ayerbe</v>
      </c>
      <c r="H4" s="19">
        <v>1</v>
      </c>
      <c r="I4" s="20"/>
      <c r="J4" s="41">
        <v>1</v>
      </c>
      <c r="K4" s="21">
        <v>30</v>
      </c>
      <c r="L4" s="21">
        <v>768</v>
      </c>
      <c r="M4" s="21">
        <v>738</v>
      </c>
      <c r="N4" s="19">
        <v>0</v>
      </c>
      <c r="O4" s="28" t="s">
        <v>97</v>
      </c>
    </row>
    <row r="5" spans="1:15" ht="27" thickBot="1" x14ac:dyDescent="0.35">
      <c r="A5" s="27">
        <v>52000</v>
      </c>
      <c r="B5" s="22">
        <v>45962</v>
      </c>
      <c r="C5" s="23" t="s">
        <v>94</v>
      </c>
      <c r="D5" s="23" t="s">
        <v>190</v>
      </c>
      <c r="E5" s="23" t="s">
        <v>191</v>
      </c>
      <c r="F5" s="23">
        <v>2</v>
      </c>
      <c r="G5" s="23" t="str">
        <f>_xlfn.XLOOKUP(Diego[[#This Row],[ID]],Tabla2[ID],Tabla2[Corregimiento],"NA")</f>
        <v>Borrero Ayerbe</v>
      </c>
      <c r="H5" s="23" t="s">
        <v>192</v>
      </c>
      <c r="I5" s="24"/>
      <c r="J5" s="42">
        <v>3</v>
      </c>
      <c r="K5" s="25">
        <v>120</v>
      </c>
      <c r="L5" s="23" t="s">
        <v>193</v>
      </c>
      <c r="M5" s="23" t="s">
        <v>194</v>
      </c>
      <c r="N5" s="23">
        <v>1</v>
      </c>
      <c r="O5" s="29" t="s">
        <v>97</v>
      </c>
    </row>
    <row r="6" spans="1:15" ht="15" thickBot="1" x14ac:dyDescent="0.35">
      <c r="A6" s="26">
        <v>46458</v>
      </c>
      <c r="B6" s="18">
        <v>45962</v>
      </c>
      <c r="C6" s="19" t="s">
        <v>94</v>
      </c>
      <c r="D6" s="19" t="s">
        <v>195</v>
      </c>
      <c r="E6" s="19" t="s">
        <v>196</v>
      </c>
      <c r="F6" s="19">
        <v>4</v>
      </c>
      <c r="G6" s="19" t="str">
        <f>_xlfn.XLOOKUP(Diego[[#This Row],[ID]],Tabla2[ID],Tabla2[Corregimiento],"NA")</f>
        <v>El Carmen</v>
      </c>
      <c r="H6" s="19">
        <v>5</v>
      </c>
      <c r="I6" s="20"/>
      <c r="J6" s="41">
        <v>1</v>
      </c>
      <c r="K6" s="21">
        <v>30</v>
      </c>
      <c r="L6" s="21">
        <v>994</v>
      </c>
      <c r="M6" s="21">
        <v>964</v>
      </c>
      <c r="N6" s="19">
        <v>0</v>
      </c>
      <c r="O6" s="28" t="s">
        <v>127</v>
      </c>
    </row>
    <row r="7" spans="1:15" ht="27" thickBot="1" x14ac:dyDescent="0.35">
      <c r="A7" s="27">
        <v>57636</v>
      </c>
      <c r="B7" s="22">
        <v>45962</v>
      </c>
      <c r="C7" s="23" t="s">
        <v>102</v>
      </c>
      <c r="D7" s="23" t="s">
        <v>197</v>
      </c>
      <c r="E7" s="23" t="s">
        <v>198</v>
      </c>
      <c r="F7" s="24"/>
      <c r="G7" s="40" t="str">
        <f>_xlfn.XLOOKUP(Diego[[#This Row],[ID]],Tabla2[ID],Tabla2[Corregimiento],"NA")</f>
        <v>NA</v>
      </c>
      <c r="H7" s="24"/>
      <c r="I7" s="24"/>
      <c r="J7" s="42">
        <v>1</v>
      </c>
      <c r="K7" s="25">
        <v>15</v>
      </c>
      <c r="L7" s="25">
        <v>526</v>
      </c>
      <c r="M7" s="25">
        <v>511</v>
      </c>
      <c r="N7" s="23">
        <v>0</v>
      </c>
      <c r="O7" s="29" t="s">
        <v>101</v>
      </c>
    </row>
    <row r="8" spans="1:15" ht="27" thickBot="1" x14ac:dyDescent="0.35">
      <c r="A8" s="26">
        <v>46903</v>
      </c>
      <c r="B8" s="18">
        <v>45967</v>
      </c>
      <c r="C8" s="19" t="s">
        <v>94</v>
      </c>
      <c r="D8" s="19" t="s">
        <v>199</v>
      </c>
      <c r="E8" s="19" t="s">
        <v>200</v>
      </c>
      <c r="F8" s="19">
        <v>4</v>
      </c>
      <c r="G8" s="19" t="str">
        <f>_xlfn.XLOOKUP(Diego[[#This Row],[ID]],Tabla2[ID],Tabla2[Corregimiento],"NA")</f>
        <v>El Carmen</v>
      </c>
      <c r="H8" s="19" t="s">
        <v>201</v>
      </c>
      <c r="I8" s="20"/>
      <c r="J8" s="41">
        <v>1</v>
      </c>
      <c r="K8" s="21">
        <v>50</v>
      </c>
      <c r="L8" s="21">
        <v>428</v>
      </c>
      <c r="M8" s="21">
        <v>378</v>
      </c>
      <c r="N8" s="19">
        <v>0</v>
      </c>
      <c r="O8" s="28" t="s">
        <v>97</v>
      </c>
    </row>
    <row r="9" spans="1:15" ht="15" thickBot="1" x14ac:dyDescent="0.35">
      <c r="A9" s="27">
        <v>46851</v>
      </c>
      <c r="B9" s="22">
        <v>45967</v>
      </c>
      <c r="C9" s="23" t="s">
        <v>94</v>
      </c>
      <c r="D9" s="23" t="s">
        <v>202</v>
      </c>
      <c r="E9" s="23" t="s">
        <v>165</v>
      </c>
      <c r="F9" s="23">
        <v>6</v>
      </c>
      <c r="G9" s="23" t="str">
        <f>_xlfn.XLOOKUP(Diego[[#This Row],[ID]],Tabla2[ID],Tabla2[Corregimiento],"NA")</f>
        <v>El Limonar</v>
      </c>
      <c r="H9" s="23" t="s">
        <v>166</v>
      </c>
      <c r="I9" s="24"/>
      <c r="J9" s="42">
        <v>1</v>
      </c>
      <c r="K9" s="25">
        <v>150</v>
      </c>
      <c r="L9" s="25">
        <v>562</v>
      </c>
      <c r="M9" s="25">
        <v>412</v>
      </c>
      <c r="N9" s="23">
        <v>1</v>
      </c>
      <c r="O9" s="29" t="s">
        <v>97</v>
      </c>
    </row>
    <row r="10" spans="1:15" ht="27" thickBot="1" x14ac:dyDescent="0.35">
      <c r="A10" s="26">
        <v>46906</v>
      </c>
      <c r="B10" s="18">
        <v>45966</v>
      </c>
      <c r="C10" s="19" t="s">
        <v>94</v>
      </c>
      <c r="D10" s="19" t="s">
        <v>203</v>
      </c>
      <c r="E10" s="19" t="s">
        <v>151</v>
      </c>
      <c r="F10" s="19">
        <v>4</v>
      </c>
      <c r="G10" s="19" t="str">
        <f>_xlfn.XLOOKUP(Diego[[#This Row],[ID]],Tabla2[ID],Tabla2[Corregimiento],"NA")</f>
        <v>El Carmen</v>
      </c>
      <c r="H10" s="19" t="s">
        <v>152</v>
      </c>
      <c r="I10" s="20"/>
      <c r="J10" s="41">
        <v>2</v>
      </c>
      <c r="K10" s="21">
        <v>160</v>
      </c>
      <c r="L10" s="19" t="s">
        <v>204</v>
      </c>
      <c r="M10" s="19" t="s">
        <v>205</v>
      </c>
      <c r="N10" s="19">
        <v>1</v>
      </c>
      <c r="O10" s="28" t="s">
        <v>97</v>
      </c>
    </row>
    <row r="11" spans="1:15" ht="27" thickBot="1" x14ac:dyDescent="0.35">
      <c r="A11" s="27">
        <v>46874</v>
      </c>
      <c r="B11" s="22">
        <v>45967</v>
      </c>
      <c r="C11" s="23" t="s">
        <v>94</v>
      </c>
      <c r="D11" s="23" t="s">
        <v>206</v>
      </c>
      <c r="E11" s="23" t="s">
        <v>207</v>
      </c>
      <c r="F11" s="23">
        <v>4</v>
      </c>
      <c r="G11" s="23" t="str">
        <f>_xlfn.XLOOKUP(Diego[[#This Row],[ID]],Tabla2[ID],Tabla2[Corregimiento],"NA")</f>
        <v>El Carmen</v>
      </c>
      <c r="H11" s="23" t="s">
        <v>208</v>
      </c>
      <c r="I11" s="24"/>
      <c r="J11" s="42">
        <v>1</v>
      </c>
      <c r="K11" s="25">
        <v>50</v>
      </c>
      <c r="L11" s="25">
        <v>119.3</v>
      </c>
      <c r="M11" s="25">
        <v>69.3</v>
      </c>
      <c r="N11" s="23">
        <v>1</v>
      </c>
      <c r="O11" s="29" t="s">
        <v>101</v>
      </c>
    </row>
    <row r="12" spans="1:15" ht="27" thickBot="1" x14ac:dyDescent="0.35">
      <c r="A12" s="26">
        <v>46527</v>
      </c>
      <c r="B12" s="18">
        <v>45967</v>
      </c>
      <c r="C12" s="19" t="s">
        <v>94</v>
      </c>
      <c r="D12" s="19" t="s">
        <v>209</v>
      </c>
      <c r="E12" s="19" t="s">
        <v>210</v>
      </c>
      <c r="F12" s="19"/>
      <c r="G12" s="19" t="str">
        <f>_xlfn.XLOOKUP(Diego[[#This Row],[ID]],Tabla2[ID],Tabla2[Corregimiento],"NA")</f>
        <v>NA</v>
      </c>
      <c r="H12" s="19">
        <v>7</v>
      </c>
      <c r="I12" s="20"/>
      <c r="J12" s="41">
        <v>2</v>
      </c>
      <c r="K12" s="21">
        <v>140</v>
      </c>
      <c r="L12" s="19" t="s">
        <v>211</v>
      </c>
      <c r="M12" s="19" t="s">
        <v>212</v>
      </c>
      <c r="N12" s="19">
        <v>0</v>
      </c>
      <c r="O12" s="28" t="s">
        <v>127</v>
      </c>
    </row>
    <row r="13" spans="1:15" ht="15" thickBot="1" x14ac:dyDescent="0.35">
      <c r="A13" s="27">
        <v>46592</v>
      </c>
      <c r="B13" s="22">
        <v>45964</v>
      </c>
      <c r="C13" s="23" t="s">
        <v>94</v>
      </c>
      <c r="D13" s="23" t="s">
        <v>213</v>
      </c>
      <c r="E13" s="23" t="s">
        <v>176</v>
      </c>
      <c r="F13" s="23"/>
      <c r="G13" s="23" t="str">
        <f>_xlfn.XLOOKUP(Diego[[#This Row],[ID]],Tabla2[ID],Tabla2[Corregimiento],"NA")</f>
        <v>NA</v>
      </c>
      <c r="H13" s="23">
        <v>6</v>
      </c>
      <c r="I13" s="24"/>
      <c r="J13" s="42">
        <v>1</v>
      </c>
      <c r="K13" s="25">
        <v>60</v>
      </c>
      <c r="L13" s="25">
        <v>846</v>
      </c>
      <c r="M13" s="25">
        <v>786</v>
      </c>
      <c r="N13" s="23">
        <v>1</v>
      </c>
      <c r="O13" s="29" t="s">
        <v>97</v>
      </c>
    </row>
    <row r="14" spans="1:15" ht="27" thickBot="1" x14ac:dyDescent="0.35">
      <c r="A14" s="26">
        <v>58024</v>
      </c>
      <c r="B14" s="18">
        <v>45964</v>
      </c>
      <c r="C14" s="19" t="s">
        <v>102</v>
      </c>
      <c r="D14" s="19" t="s">
        <v>214</v>
      </c>
      <c r="E14" s="19" t="s">
        <v>108</v>
      </c>
      <c r="F14" s="20">
        <v>4</v>
      </c>
      <c r="G14" s="39" t="str">
        <f>_xlfn.XLOOKUP(Diego[[#This Row],[ID]],Tabla2[ID],Tabla2[Corregimiento],"NA")</f>
        <v>El Carmen</v>
      </c>
      <c r="H14" s="20"/>
      <c r="I14" s="20"/>
      <c r="J14" s="41">
        <v>1</v>
      </c>
      <c r="K14" s="21">
        <v>60</v>
      </c>
      <c r="L14" s="21">
        <v>301.5</v>
      </c>
      <c r="M14" s="21">
        <v>241.5</v>
      </c>
      <c r="N14" s="19">
        <v>1</v>
      </c>
      <c r="O14" s="28" t="s">
        <v>101</v>
      </c>
    </row>
    <row r="15" spans="1:15" ht="27" thickBot="1" x14ac:dyDescent="0.35">
      <c r="A15" s="27">
        <v>46662</v>
      </c>
      <c r="B15" s="22">
        <v>45967</v>
      </c>
      <c r="C15" s="23" t="s">
        <v>94</v>
      </c>
      <c r="D15" s="23" t="s">
        <v>215</v>
      </c>
      <c r="E15" s="23" t="s">
        <v>216</v>
      </c>
      <c r="F15" s="23">
        <v>4</v>
      </c>
      <c r="G15" s="23" t="str">
        <f>_xlfn.XLOOKUP(Diego[[#This Row],[ID]],Tabla2[ID],Tabla2[Corregimiento],"NA")</f>
        <v>El Carmen</v>
      </c>
      <c r="H15" s="23" t="s">
        <v>217</v>
      </c>
      <c r="I15" s="24"/>
      <c r="J15" s="42">
        <v>1</v>
      </c>
      <c r="K15" s="25">
        <v>40</v>
      </c>
      <c r="L15" s="25">
        <v>169</v>
      </c>
      <c r="M15" s="25">
        <v>129</v>
      </c>
      <c r="N15" s="23">
        <v>1</v>
      </c>
      <c r="O15" s="29" t="s">
        <v>127</v>
      </c>
    </row>
    <row r="16" spans="1:15" ht="15" thickBot="1" x14ac:dyDescent="0.35">
      <c r="A16" s="26">
        <v>46693</v>
      </c>
      <c r="B16" s="18">
        <v>45967</v>
      </c>
      <c r="C16" s="19" t="s">
        <v>94</v>
      </c>
      <c r="D16" s="19" t="s">
        <v>218</v>
      </c>
      <c r="E16" s="19">
        <v>40</v>
      </c>
      <c r="F16" s="19"/>
      <c r="G16" s="19" t="str">
        <f>_xlfn.XLOOKUP(Diego[[#This Row],[ID]],Tabla2[ID],Tabla2[Corregimiento],"NA")</f>
        <v>NA</v>
      </c>
      <c r="H16" s="19">
        <v>10</v>
      </c>
      <c r="I16" s="20"/>
      <c r="J16" s="41">
        <v>1</v>
      </c>
      <c r="K16" s="21">
        <v>30</v>
      </c>
      <c r="L16" s="19" t="s">
        <v>219</v>
      </c>
      <c r="M16" s="19" t="s">
        <v>220</v>
      </c>
      <c r="N16" s="19">
        <v>0</v>
      </c>
      <c r="O16" s="28" t="s">
        <v>127</v>
      </c>
    </row>
    <row r="17" spans="1:15" ht="15" thickBot="1" x14ac:dyDescent="0.35">
      <c r="A17" s="27">
        <v>57685</v>
      </c>
      <c r="B17" s="22">
        <v>45962</v>
      </c>
      <c r="C17" s="23" t="s">
        <v>102</v>
      </c>
      <c r="D17" s="23" t="s">
        <v>221</v>
      </c>
      <c r="E17" s="23" t="s">
        <v>222</v>
      </c>
      <c r="F17" s="24"/>
      <c r="G17" s="40" t="str">
        <f>_xlfn.XLOOKUP(Diego[[#This Row],[ID]],Tabla2[ID],Tabla2[Corregimiento],"NA")</f>
        <v>NA</v>
      </c>
      <c r="H17" s="24"/>
      <c r="I17" s="24"/>
      <c r="J17" s="42">
        <v>1</v>
      </c>
      <c r="K17" s="25">
        <v>80</v>
      </c>
      <c r="L17" s="25">
        <v>415</v>
      </c>
      <c r="M17" s="25">
        <v>335</v>
      </c>
      <c r="N17" s="23">
        <v>0</v>
      </c>
      <c r="O17" s="29" t="s">
        <v>101</v>
      </c>
    </row>
    <row r="18" spans="1:15" ht="15" thickBot="1" x14ac:dyDescent="0.35">
      <c r="A18" s="26">
        <v>46700</v>
      </c>
      <c r="B18" s="18">
        <v>45965</v>
      </c>
      <c r="C18" s="19" t="s">
        <v>94</v>
      </c>
      <c r="D18" s="19" t="s">
        <v>223</v>
      </c>
      <c r="E18" s="19" t="s">
        <v>224</v>
      </c>
      <c r="F18" s="19"/>
      <c r="G18" s="19" t="str">
        <f>_xlfn.XLOOKUP(Diego[[#This Row],[ID]],Tabla2[ID],Tabla2[Corregimiento],"NA")</f>
        <v>NA</v>
      </c>
      <c r="H18" s="19" t="s">
        <v>120</v>
      </c>
      <c r="I18" s="20"/>
      <c r="J18" s="41">
        <v>1</v>
      </c>
      <c r="K18" s="21">
        <v>50</v>
      </c>
      <c r="L18" s="21">
        <v>138.5</v>
      </c>
      <c r="M18" s="21">
        <v>88.5</v>
      </c>
      <c r="N18" s="19">
        <v>0</v>
      </c>
      <c r="O18" s="28" t="s">
        <v>97</v>
      </c>
    </row>
    <row r="19" spans="1:15" ht="15" thickBot="1" x14ac:dyDescent="0.35">
      <c r="A19" s="27">
        <v>46605</v>
      </c>
      <c r="B19" s="22">
        <v>45963</v>
      </c>
      <c r="C19" s="23" t="s">
        <v>94</v>
      </c>
      <c r="D19" s="23" t="s">
        <v>225</v>
      </c>
      <c r="E19" s="23" t="s">
        <v>160</v>
      </c>
      <c r="F19" s="23">
        <v>20</v>
      </c>
      <c r="G19" s="23" t="str">
        <f>_xlfn.XLOOKUP(Diego[[#This Row],[ID]],Tabla2[ID],Tabla2[Corregimiento],"NA")</f>
        <v>Los Cristales</v>
      </c>
      <c r="H19" s="23" t="s">
        <v>208</v>
      </c>
      <c r="I19" s="24"/>
      <c r="J19" s="42">
        <v>1</v>
      </c>
      <c r="K19" s="25">
        <v>60</v>
      </c>
      <c r="L19" s="25">
        <v>419.5</v>
      </c>
      <c r="M19" s="25">
        <v>359.5</v>
      </c>
      <c r="N19" s="23">
        <v>1</v>
      </c>
      <c r="O19" s="29" t="s">
        <v>97</v>
      </c>
    </row>
    <row r="20" spans="1:15" ht="27" thickBot="1" x14ac:dyDescent="0.35">
      <c r="A20" s="26">
        <v>511</v>
      </c>
      <c r="B20" s="18">
        <v>45966</v>
      </c>
      <c r="C20" s="19" t="s">
        <v>94</v>
      </c>
      <c r="D20" s="19" t="s">
        <v>226</v>
      </c>
      <c r="E20" s="19" t="s">
        <v>174</v>
      </c>
      <c r="F20" s="19">
        <v>4</v>
      </c>
      <c r="G20" s="19" t="str">
        <f>_xlfn.XLOOKUP(Diego[[#This Row],[ID]],Tabla2[ID],Tabla2[Corregimiento],"NA")</f>
        <v>El Carmen</v>
      </c>
      <c r="H20" s="19">
        <v>3</v>
      </c>
      <c r="I20" s="20"/>
      <c r="J20" s="41">
        <v>1</v>
      </c>
      <c r="K20" s="21">
        <v>15</v>
      </c>
      <c r="L20" s="21">
        <v>189</v>
      </c>
      <c r="M20" s="21">
        <v>174</v>
      </c>
      <c r="N20" s="19">
        <v>0</v>
      </c>
      <c r="O20" s="28" t="s">
        <v>97</v>
      </c>
    </row>
    <row r="21" spans="1:15" ht="27" thickBot="1" x14ac:dyDescent="0.35">
      <c r="A21" s="27">
        <v>58104</v>
      </c>
      <c r="B21" s="22">
        <v>45966</v>
      </c>
      <c r="C21" s="23" t="s">
        <v>94</v>
      </c>
      <c r="D21" s="23" t="s">
        <v>227</v>
      </c>
      <c r="E21" s="23" t="s">
        <v>228</v>
      </c>
      <c r="F21" s="23">
        <v>4</v>
      </c>
      <c r="G21" s="23" t="str">
        <f>_xlfn.XLOOKUP(Diego[[#This Row],[ID]],Tabla2[ID],Tabla2[Corregimiento],"NA")</f>
        <v>El Carmen</v>
      </c>
      <c r="H21" s="23" t="s">
        <v>208</v>
      </c>
      <c r="I21" s="24"/>
      <c r="J21" s="42">
        <v>1</v>
      </c>
      <c r="K21" s="25">
        <v>70</v>
      </c>
      <c r="L21" s="25">
        <v>376</v>
      </c>
      <c r="M21" s="25">
        <v>306</v>
      </c>
      <c r="N21" s="23">
        <v>1</v>
      </c>
      <c r="O21" s="29" t="s">
        <v>101</v>
      </c>
    </row>
    <row r="22" spans="1:15" ht="27" thickBot="1" x14ac:dyDescent="0.35">
      <c r="A22" s="26">
        <v>57737</v>
      </c>
      <c r="B22" s="18">
        <v>45966</v>
      </c>
      <c r="C22" s="19" t="s">
        <v>94</v>
      </c>
      <c r="D22" s="19" t="s">
        <v>229</v>
      </c>
      <c r="E22" s="19" t="s">
        <v>230</v>
      </c>
      <c r="F22" s="19">
        <v>4</v>
      </c>
      <c r="G22" s="19" t="str">
        <f>_xlfn.XLOOKUP(Diego[[#This Row],[ID]],Tabla2[ID],Tabla2[Corregimiento],"NA")</f>
        <v>El Carmen</v>
      </c>
      <c r="H22" s="19" t="s">
        <v>231</v>
      </c>
      <c r="I22" s="20"/>
      <c r="J22" s="41">
        <v>1</v>
      </c>
      <c r="K22" s="21">
        <v>50</v>
      </c>
      <c r="L22" s="21">
        <v>304.5</v>
      </c>
      <c r="M22" s="21">
        <v>254.5</v>
      </c>
      <c r="N22" s="19">
        <v>1</v>
      </c>
      <c r="O22" s="28" t="s">
        <v>101</v>
      </c>
    </row>
    <row r="23" spans="1:15" ht="27" thickBot="1" x14ac:dyDescent="0.35">
      <c r="A23" s="27">
        <v>46751</v>
      </c>
      <c r="B23" s="22">
        <v>45966</v>
      </c>
      <c r="C23" s="23" t="s">
        <v>94</v>
      </c>
      <c r="D23" s="23" t="s">
        <v>232</v>
      </c>
      <c r="E23" s="23" t="s">
        <v>228</v>
      </c>
      <c r="F23" s="23">
        <v>4</v>
      </c>
      <c r="G23" s="23" t="str">
        <f>_xlfn.XLOOKUP(Diego[[#This Row],[ID]],Tabla2[ID],Tabla2[Corregimiento],"NA")</f>
        <v>El Carmen</v>
      </c>
      <c r="H23" s="23" t="s">
        <v>208</v>
      </c>
      <c r="I23" s="24"/>
      <c r="J23" s="42">
        <v>1</v>
      </c>
      <c r="K23" s="25">
        <v>60</v>
      </c>
      <c r="L23" s="25">
        <v>194.2</v>
      </c>
      <c r="M23" s="25">
        <v>134.19999999999999</v>
      </c>
      <c r="N23" s="23">
        <v>1</v>
      </c>
      <c r="O23" s="29" t="s">
        <v>97</v>
      </c>
    </row>
    <row r="24" spans="1:15" ht="27" thickBot="1" x14ac:dyDescent="0.35">
      <c r="A24" s="26">
        <v>30518</v>
      </c>
      <c r="B24" s="18">
        <v>45974</v>
      </c>
      <c r="C24" s="19" t="s">
        <v>102</v>
      </c>
      <c r="D24" s="19" t="s">
        <v>203</v>
      </c>
      <c r="E24" s="19" t="s">
        <v>233</v>
      </c>
      <c r="F24" s="19">
        <v>4</v>
      </c>
      <c r="G24" s="19" t="str">
        <f>_xlfn.XLOOKUP(Diego[[#This Row],[ID]],Tabla2[ID],Tabla2[Corregimiento],"NA")</f>
        <v>El Carmen</v>
      </c>
      <c r="H24" s="19" t="s">
        <v>234</v>
      </c>
      <c r="I24" s="20"/>
      <c r="J24" s="41">
        <v>1</v>
      </c>
      <c r="K24" s="21">
        <v>40</v>
      </c>
      <c r="L24" s="21">
        <v>192</v>
      </c>
      <c r="M24" s="21">
        <v>152</v>
      </c>
      <c r="N24" s="19">
        <v>0</v>
      </c>
      <c r="O24" s="28" t="s">
        <v>101</v>
      </c>
    </row>
    <row r="25" spans="1:15" ht="27" thickBot="1" x14ac:dyDescent="0.35">
      <c r="A25" s="27">
        <v>58449</v>
      </c>
      <c r="B25" s="22">
        <v>45975</v>
      </c>
      <c r="C25" s="23" t="s">
        <v>102</v>
      </c>
      <c r="D25" s="23" t="s">
        <v>235</v>
      </c>
      <c r="E25" s="23" t="s">
        <v>236</v>
      </c>
      <c r="F25" s="23">
        <v>4</v>
      </c>
      <c r="G25" s="23" t="str">
        <f>_xlfn.XLOOKUP(Diego[[#This Row],[ID]],Tabla2[ID],Tabla2[Corregimiento],"NA")</f>
        <v>El Carmen</v>
      </c>
      <c r="H25" s="23" t="s">
        <v>109</v>
      </c>
      <c r="I25" s="24"/>
      <c r="J25" s="42">
        <v>1</v>
      </c>
      <c r="K25" s="25">
        <v>60</v>
      </c>
      <c r="L25" s="25">
        <v>213</v>
      </c>
      <c r="M25" s="25">
        <v>153</v>
      </c>
      <c r="N25" s="23">
        <v>1</v>
      </c>
      <c r="O25" s="29" t="s">
        <v>101</v>
      </c>
    </row>
    <row r="26" spans="1:15" ht="15" thickBot="1" x14ac:dyDescent="0.35">
      <c r="A26" s="26">
        <v>47704</v>
      </c>
      <c r="B26" s="18">
        <v>45975</v>
      </c>
      <c r="C26" s="19" t="s">
        <v>94</v>
      </c>
      <c r="D26" s="19" t="s">
        <v>237</v>
      </c>
      <c r="E26" s="19" t="s">
        <v>238</v>
      </c>
      <c r="F26" s="19"/>
      <c r="G26" s="19" t="str">
        <f>_xlfn.XLOOKUP(Diego[[#This Row],[ID]],Tabla2[ID],Tabla2[Corregimiento],"NA")</f>
        <v>NA</v>
      </c>
      <c r="H26" s="19" t="s">
        <v>239</v>
      </c>
      <c r="I26" s="20"/>
      <c r="J26" s="41">
        <v>1</v>
      </c>
      <c r="K26" s="21">
        <v>35</v>
      </c>
      <c r="L26" s="21">
        <v>440.9</v>
      </c>
      <c r="M26" s="21">
        <v>405.9</v>
      </c>
      <c r="N26" s="19">
        <v>0</v>
      </c>
      <c r="O26" s="28" t="s">
        <v>97</v>
      </c>
    </row>
    <row r="27" spans="1:15" ht="15" thickBot="1" x14ac:dyDescent="0.35">
      <c r="A27" s="27">
        <v>47665</v>
      </c>
      <c r="B27" s="22">
        <v>45975</v>
      </c>
      <c r="C27" s="23" t="s">
        <v>94</v>
      </c>
      <c r="D27" s="23" t="s">
        <v>240</v>
      </c>
      <c r="E27" s="23" t="s">
        <v>241</v>
      </c>
      <c r="F27" s="24"/>
      <c r="G27" s="40" t="str">
        <f>_xlfn.XLOOKUP(Diego[[#This Row],[ID]],Tabla2[ID],Tabla2[Corregimiento],"NA")</f>
        <v>NA</v>
      </c>
      <c r="H27" s="24"/>
      <c r="I27" s="24"/>
      <c r="J27" s="42">
        <v>1</v>
      </c>
      <c r="K27" s="25">
        <v>30</v>
      </c>
      <c r="L27" s="25">
        <v>202</v>
      </c>
      <c r="M27" s="25">
        <v>172</v>
      </c>
      <c r="N27" s="23">
        <v>0</v>
      </c>
      <c r="O27" s="29" t="s">
        <v>97</v>
      </c>
    </row>
    <row r="28" spans="1:15" s="60" customFormat="1" ht="15" thickBot="1" x14ac:dyDescent="0.35">
      <c r="A28" s="52">
        <v>58524</v>
      </c>
      <c r="B28" s="53">
        <v>45976</v>
      </c>
      <c r="C28" s="54" t="s">
        <v>102</v>
      </c>
      <c r="D28" s="54" t="s">
        <v>242</v>
      </c>
      <c r="E28" s="54" t="s">
        <v>202</v>
      </c>
      <c r="F28" s="55"/>
      <c r="G28" s="56" t="str">
        <f>_xlfn.XLOOKUP(Diego[[#This Row],[ID]],Tabla2[ID],Tabla2[Corregimiento],"NA")</f>
        <v>NA</v>
      </c>
      <c r="H28" s="55"/>
      <c r="I28" s="55"/>
      <c r="J28" s="57">
        <v>1</v>
      </c>
      <c r="K28" s="58">
        <v>40</v>
      </c>
      <c r="L28" s="58">
        <v>288</v>
      </c>
      <c r="M28" s="58">
        <v>248</v>
      </c>
      <c r="N28" s="54">
        <v>0</v>
      </c>
      <c r="O28" s="59" t="s">
        <v>101</v>
      </c>
    </row>
    <row r="29" spans="1:15" ht="27" thickBot="1" x14ac:dyDescent="0.35">
      <c r="A29" s="27">
        <v>58517</v>
      </c>
      <c r="B29" s="22">
        <v>45976</v>
      </c>
      <c r="C29" s="23" t="s">
        <v>94</v>
      </c>
      <c r="D29" s="23" t="s">
        <v>243</v>
      </c>
      <c r="E29" s="23" t="s">
        <v>244</v>
      </c>
      <c r="F29" s="23">
        <v>4</v>
      </c>
      <c r="G29" s="23" t="str">
        <f>_xlfn.XLOOKUP(Diego[[#This Row],[ID]],Tabla2[ID],Tabla2[Corregimiento],"NA")</f>
        <v>El Carmen</v>
      </c>
      <c r="H29" s="23">
        <v>4</v>
      </c>
      <c r="I29" s="24"/>
      <c r="J29" s="42">
        <v>1</v>
      </c>
      <c r="K29" s="25">
        <v>30</v>
      </c>
      <c r="L29" s="25">
        <v>408.5</v>
      </c>
      <c r="M29" s="25">
        <v>378.5</v>
      </c>
      <c r="N29" s="23">
        <v>0</v>
      </c>
      <c r="O29" s="29" t="s">
        <v>97</v>
      </c>
    </row>
    <row r="30" spans="1:15" ht="15" thickBot="1" x14ac:dyDescent="0.35">
      <c r="A30" s="26">
        <v>47735</v>
      </c>
      <c r="B30" s="18">
        <v>45976</v>
      </c>
      <c r="C30" s="19" t="s">
        <v>94</v>
      </c>
      <c r="D30" s="19" t="s">
        <v>240</v>
      </c>
      <c r="E30" s="19" t="s">
        <v>241</v>
      </c>
      <c r="F30" s="20"/>
      <c r="G30" s="39" t="str">
        <f>_xlfn.XLOOKUP(Diego[[#This Row],[ID]],Tabla2[ID],Tabla2[Corregimiento],"NA")</f>
        <v>NA</v>
      </c>
      <c r="H30" s="20"/>
      <c r="I30" s="20"/>
      <c r="J30" s="41">
        <v>2</v>
      </c>
      <c r="K30" s="21">
        <v>80</v>
      </c>
      <c r="L30" s="21">
        <v>300</v>
      </c>
      <c r="M30" s="21">
        <v>140</v>
      </c>
      <c r="N30" s="19">
        <v>0</v>
      </c>
      <c r="O30" s="28" t="s">
        <v>97</v>
      </c>
    </row>
    <row r="31" spans="1:15" s="60" customFormat="1" ht="27" thickBot="1" x14ac:dyDescent="0.35">
      <c r="A31" s="61">
        <v>47727</v>
      </c>
      <c r="B31" s="62">
        <v>45975</v>
      </c>
      <c r="C31" s="63" t="s">
        <v>94</v>
      </c>
      <c r="D31" s="63" t="s">
        <v>245</v>
      </c>
      <c r="E31" s="63" t="s">
        <v>202</v>
      </c>
      <c r="F31" s="64"/>
      <c r="G31" s="65" t="str">
        <f>_xlfn.XLOOKUP(Diego[[#This Row],[ID]],Tabla2[ID],Tabla2[Corregimiento],"NA")</f>
        <v>NA</v>
      </c>
      <c r="H31" s="64"/>
      <c r="I31" s="64"/>
      <c r="J31" s="66">
        <v>1</v>
      </c>
      <c r="K31" s="67">
        <v>12</v>
      </c>
      <c r="L31" s="67">
        <v>39.6</v>
      </c>
      <c r="M31" s="67">
        <v>27.6</v>
      </c>
      <c r="N31" s="63">
        <v>0</v>
      </c>
      <c r="O31" s="59" t="s">
        <v>97</v>
      </c>
    </row>
    <row r="32" spans="1:15" ht="27" thickBot="1" x14ac:dyDescent="0.35">
      <c r="A32" s="26">
        <v>47566</v>
      </c>
      <c r="B32" s="18">
        <v>45974</v>
      </c>
      <c r="C32" s="19" t="s">
        <v>94</v>
      </c>
      <c r="D32" s="19" t="s">
        <v>246</v>
      </c>
      <c r="E32" s="19">
        <v>40</v>
      </c>
      <c r="F32" s="19"/>
      <c r="G32" s="19" t="str">
        <f>_xlfn.XLOOKUP(Diego[[#This Row],[ID]],Tabla2[ID],Tabla2[Corregimiento],"NA")</f>
        <v>NA</v>
      </c>
      <c r="H32" s="19">
        <v>10</v>
      </c>
      <c r="I32" s="20"/>
      <c r="J32" s="41">
        <v>1</v>
      </c>
      <c r="K32" s="21">
        <v>30</v>
      </c>
      <c r="L32" s="21">
        <v>372</v>
      </c>
      <c r="M32" s="21">
        <v>342</v>
      </c>
      <c r="N32" s="19">
        <v>0</v>
      </c>
      <c r="O32" s="28" t="s">
        <v>127</v>
      </c>
    </row>
    <row r="33" spans="1:15" ht="15" thickBot="1" x14ac:dyDescent="0.35">
      <c r="A33" s="27">
        <v>47609</v>
      </c>
      <c r="B33" s="22">
        <v>45974</v>
      </c>
      <c r="C33" s="23" t="s">
        <v>94</v>
      </c>
      <c r="D33" s="23" t="s">
        <v>247</v>
      </c>
      <c r="E33" s="23" t="s">
        <v>248</v>
      </c>
      <c r="F33" s="23"/>
      <c r="G33" s="23" t="str">
        <f>_xlfn.XLOOKUP(Diego[[#This Row],[ID]],Tabla2[ID],Tabla2[Corregimiento],"NA")</f>
        <v>NA</v>
      </c>
      <c r="H33" s="23" t="s">
        <v>249</v>
      </c>
      <c r="I33" s="24"/>
      <c r="J33" s="42">
        <v>1</v>
      </c>
      <c r="K33" s="25">
        <v>15</v>
      </c>
      <c r="L33" s="25">
        <v>300</v>
      </c>
      <c r="M33" s="25">
        <v>285</v>
      </c>
      <c r="N33" s="23">
        <v>0</v>
      </c>
      <c r="O33" s="29" t="s">
        <v>127</v>
      </c>
    </row>
    <row r="34" spans="1:15" ht="27" thickBot="1" x14ac:dyDescent="0.35">
      <c r="A34" s="26">
        <v>58466</v>
      </c>
      <c r="B34" s="18">
        <v>45974</v>
      </c>
      <c r="C34" s="19" t="s">
        <v>102</v>
      </c>
      <c r="D34" s="19" t="s">
        <v>188</v>
      </c>
      <c r="E34" s="19" t="s">
        <v>250</v>
      </c>
      <c r="F34" s="19">
        <v>2</v>
      </c>
      <c r="G34" s="19" t="str">
        <f>_xlfn.XLOOKUP(Diego[[#This Row],[ID]],Tabla2[ID],Tabla2[Corregimiento],"NA")</f>
        <v>Borrero Ayerbe</v>
      </c>
      <c r="H34" s="19" t="s">
        <v>251</v>
      </c>
      <c r="I34" s="20"/>
      <c r="J34" s="41">
        <v>1</v>
      </c>
      <c r="K34" s="21">
        <v>15</v>
      </c>
      <c r="L34" s="21">
        <v>246</v>
      </c>
      <c r="M34" s="21">
        <v>231</v>
      </c>
      <c r="N34" s="19">
        <v>0</v>
      </c>
      <c r="O34" s="28" t="s">
        <v>101</v>
      </c>
    </row>
    <row r="35" spans="1:15" ht="27" thickBot="1" x14ac:dyDescent="0.35">
      <c r="A35" s="27">
        <v>58457</v>
      </c>
      <c r="B35" s="22">
        <v>45974</v>
      </c>
      <c r="C35" s="23" t="s">
        <v>102</v>
      </c>
      <c r="D35" s="23" t="s">
        <v>252</v>
      </c>
      <c r="E35" s="23" t="s">
        <v>250</v>
      </c>
      <c r="F35" s="23">
        <v>2</v>
      </c>
      <c r="G35" s="23" t="str">
        <f>_xlfn.XLOOKUP(Diego[[#This Row],[ID]],Tabla2[ID],Tabla2[Corregimiento],"NA")</f>
        <v>Borrero Ayerbe</v>
      </c>
      <c r="H35" s="23">
        <v>1</v>
      </c>
      <c r="I35" s="24"/>
      <c r="J35" s="42">
        <v>1</v>
      </c>
      <c r="K35" s="25">
        <v>30</v>
      </c>
      <c r="L35" s="25">
        <v>210</v>
      </c>
      <c r="M35" s="25">
        <v>180</v>
      </c>
      <c r="N35" s="23">
        <v>1</v>
      </c>
      <c r="O35" s="29" t="s">
        <v>101</v>
      </c>
    </row>
    <row r="36" spans="1:15" ht="27" thickBot="1" x14ac:dyDescent="0.35">
      <c r="A36" s="26">
        <v>57979</v>
      </c>
      <c r="B36" s="18">
        <v>45974</v>
      </c>
      <c r="C36" s="19" t="s">
        <v>102</v>
      </c>
      <c r="D36" s="19" t="s">
        <v>253</v>
      </c>
      <c r="E36" s="19" t="s">
        <v>254</v>
      </c>
      <c r="F36" s="19"/>
      <c r="G36" s="19" t="str">
        <f>_xlfn.XLOOKUP(Diego[[#This Row],[ID]],Tabla2[ID],Tabla2[Corregimiento],"NA")</f>
        <v>NA</v>
      </c>
      <c r="H36" s="19" t="s">
        <v>116</v>
      </c>
      <c r="I36" s="20"/>
      <c r="J36" s="41">
        <v>1</v>
      </c>
      <c r="K36" s="21">
        <v>15</v>
      </c>
      <c r="L36" s="21">
        <v>377.8</v>
      </c>
      <c r="M36" s="21">
        <v>362.8</v>
      </c>
      <c r="N36" s="19">
        <v>0</v>
      </c>
      <c r="O36" s="28" t="s">
        <v>101</v>
      </c>
    </row>
    <row r="37" spans="1:15" ht="15" thickBot="1" x14ac:dyDescent="0.35">
      <c r="A37" s="27">
        <v>47595</v>
      </c>
      <c r="B37" s="22">
        <v>45974</v>
      </c>
      <c r="C37" s="23" t="s">
        <v>94</v>
      </c>
      <c r="D37" s="23" t="s">
        <v>202</v>
      </c>
      <c r="E37" s="23" t="s">
        <v>236</v>
      </c>
      <c r="F37" s="23">
        <v>4</v>
      </c>
      <c r="G37" s="23" t="str">
        <f>_xlfn.XLOOKUP(Diego[[#This Row],[ID]],Tabla2[ID],Tabla2[Corregimiento],"NA")</f>
        <v>El Carmen</v>
      </c>
      <c r="H37" s="23" t="s">
        <v>255</v>
      </c>
      <c r="I37" s="24"/>
      <c r="J37" s="42">
        <v>1</v>
      </c>
      <c r="K37" s="25">
        <v>30</v>
      </c>
      <c r="L37" s="23" t="s">
        <v>256</v>
      </c>
      <c r="M37" s="23" t="s">
        <v>257</v>
      </c>
      <c r="N37" s="23">
        <v>0</v>
      </c>
      <c r="O37" s="29" t="s">
        <v>97</v>
      </c>
    </row>
    <row r="38" spans="1:15" ht="15" thickBot="1" x14ac:dyDescent="0.35">
      <c r="A38" s="26">
        <v>47598</v>
      </c>
      <c r="B38" s="18">
        <v>45974</v>
      </c>
      <c r="C38" s="19" t="s">
        <v>94</v>
      </c>
      <c r="D38" s="19" t="s">
        <v>258</v>
      </c>
      <c r="E38" s="19" t="s">
        <v>202</v>
      </c>
      <c r="F38" s="20"/>
      <c r="G38" s="39" t="str">
        <f>_xlfn.XLOOKUP(Diego[[#This Row],[ID]],Tabla2[ID],Tabla2[Corregimiento],"NA")</f>
        <v>NA</v>
      </c>
      <c r="H38" s="20"/>
      <c r="I38" s="20"/>
      <c r="J38" s="41">
        <v>1</v>
      </c>
      <c r="K38" s="21">
        <v>50</v>
      </c>
      <c r="L38" s="21">
        <v>404.4</v>
      </c>
      <c r="M38" s="21">
        <v>354.4</v>
      </c>
      <c r="N38" s="19">
        <v>0</v>
      </c>
      <c r="O38" s="28" t="s">
        <v>97</v>
      </c>
    </row>
    <row r="39" spans="1:15" ht="15" thickBot="1" x14ac:dyDescent="0.35">
      <c r="A39" s="27">
        <v>47595</v>
      </c>
      <c r="B39" s="22">
        <v>45974</v>
      </c>
      <c r="C39" s="23" t="s">
        <v>94</v>
      </c>
      <c r="D39" s="23" t="s">
        <v>259</v>
      </c>
      <c r="E39" s="23" t="s">
        <v>236</v>
      </c>
      <c r="F39" s="23">
        <v>4</v>
      </c>
      <c r="G39" s="23" t="str">
        <f>_xlfn.XLOOKUP(Diego[[#This Row],[ID]],Tabla2[ID],Tabla2[Corregimiento],"NA")</f>
        <v>El Carmen</v>
      </c>
      <c r="H39" s="23" t="s">
        <v>109</v>
      </c>
      <c r="I39" s="24"/>
      <c r="J39" s="42">
        <v>1</v>
      </c>
      <c r="K39" s="25">
        <v>40</v>
      </c>
      <c r="L39" s="25">
        <v>880.5</v>
      </c>
      <c r="M39" s="25">
        <v>840.5</v>
      </c>
      <c r="N39" s="23">
        <v>0</v>
      </c>
      <c r="O39" s="29" t="s">
        <v>97</v>
      </c>
    </row>
    <row r="40" spans="1:15" ht="15" thickBot="1" x14ac:dyDescent="0.35">
      <c r="A40" s="26">
        <v>47501</v>
      </c>
      <c r="B40" s="18">
        <v>45974</v>
      </c>
      <c r="C40" s="19" t="s">
        <v>94</v>
      </c>
      <c r="D40" s="19" t="s">
        <v>260</v>
      </c>
      <c r="E40" s="19" t="s">
        <v>176</v>
      </c>
      <c r="F40" s="19"/>
      <c r="G40" s="19" t="str">
        <f>_xlfn.XLOOKUP(Diego[[#This Row],[ID]],Tabla2[ID],Tabla2[Corregimiento],"NA")</f>
        <v>NA</v>
      </c>
      <c r="H40" s="19">
        <v>6</v>
      </c>
      <c r="I40" s="20"/>
      <c r="J40" s="41">
        <v>1</v>
      </c>
      <c r="K40" s="21">
        <v>30</v>
      </c>
      <c r="L40" s="21">
        <v>74</v>
      </c>
      <c r="M40" s="21">
        <v>44</v>
      </c>
      <c r="N40" s="19">
        <v>0</v>
      </c>
      <c r="O40" s="28" t="s">
        <v>97</v>
      </c>
    </row>
    <row r="41" spans="1:15" ht="27" thickBot="1" x14ac:dyDescent="0.35">
      <c r="A41" s="27">
        <v>47572</v>
      </c>
      <c r="B41" s="22">
        <v>45974</v>
      </c>
      <c r="C41" s="23" t="s">
        <v>94</v>
      </c>
      <c r="D41" s="23" t="s">
        <v>261</v>
      </c>
      <c r="E41" s="23" t="s">
        <v>111</v>
      </c>
      <c r="F41" s="23"/>
      <c r="G41" s="23" t="str">
        <f>_xlfn.XLOOKUP(Diego[[#This Row],[ID]],Tabla2[ID],Tabla2[Corregimiento],"NA")</f>
        <v>NA</v>
      </c>
      <c r="H41" s="23">
        <v>4</v>
      </c>
      <c r="I41" s="24"/>
      <c r="J41" s="42">
        <v>1</v>
      </c>
      <c r="K41" s="25">
        <v>30</v>
      </c>
      <c r="L41" s="25">
        <v>164</v>
      </c>
      <c r="M41" s="25">
        <v>134</v>
      </c>
      <c r="N41" s="23">
        <v>0</v>
      </c>
      <c r="O41" s="29" t="s">
        <v>97</v>
      </c>
    </row>
    <row r="42" spans="1:15" ht="40.200000000000003" thickBot="1" x14ac:dyDescent="0.35">
      <c r="A42" s="26">
        <v>57923</v>
      </c>
      <c r="B42" s="18">
        <v>45962</v>
      </c>
      <c r="C42" s="19" t="s">
        <v>102</v>
      </c>
      <c r="D42" s="19" t="s">
        <v>262</v>
      </c>
      <c r="E42" s="19" t="s">
        <v>263</v>
      </c>
      <c r="F42" s="19"/>
      <c r="G42" s="19" t="str">
        <f>_xlfn.XLOOKUP(Diego[[#This Row],[ID]],Tabla2[ID],Tabla2[Corregimiento],"NA")</f>
        <v>NA</v>
      </c>
      <c r="H42" s="19" t="s">
        <v>192</v>
      </c>
      <c r="I42" s="20"/>
      <c r="J42" s="41">
        <v>1</v>
      </c>
      <c r="K42" s="21">
        <v>40</v>
      </c>
      <c r="L42" s="21">
        <v>341</v>
      </c>
      <c r="M42" s="21">
        <v>341</v>
      </c>
      <c r="N42" s="19">
        <v>1</v>
      </c>
      <c r="O42" s="28" t="s">
        <v>101</v>
      </c>
    </row>
    <row r="43" spans="1:15" ht="40.200000000000003" thickBot="1" x14ac:dyDescent="0.35">
      <c r="A43" s="27">
        <v>47439</v>
      </c>
      <c r="B43" s="22">
        <v>45972</v>
      </c>
      <c r="C43" s="23" t="s">
        <v>94</v>
      </c>
      <c r="D43" s="23" t="s">
        <v>264</v>
      </c>
      <c r="E43" s="23" t="s">
        <v>265</v>
      </c>
      <c r="F43" s="23">
        <v>4</v>
      </c>
      <c r="G43" s="23" t="str">
        <f>_xlfn.XLOOKUP(Diego[[#This Row],[ID]],Tabla2[ID],Tabla2[Corregimiento],"NA")</f>
        <v>El Carmen</v>
      </c>
      <c r="H43" s="23" t="s">
        <v>152</v>
      </c>
      <c r="I43" s="24"/>
      <c r="J43" s="42">
        <v>1</v>
      </c>
      <c r="K43" s="25">
        <v>70</v>
      </c>
      <c r="L43" s="25">
        <v>420.4</v>
      </c>
      <c r="M43" s="25">
        <v>350.4</v>
      </c>
      <c r="N43" s="23">
        <v>1</v>
      </c>
      <c r="O43" s="29" t="s">
        <v>127</v>
      </c>
    </row>
    <row r="44" spans="1:15" ht="27" thickBot="1" x14ac:dyDescent="0.35">
      <c r="A44" s="26">
        <v>47495</v>
      </c>
      <c r="B44" s="18">
        <v>45971</v>
      </c>
      <c r="C44" s="19" t="s">
        <v>94</v>
      </c>
      <c r="D44" s="19" t="s">
        <v>266</v>
      </c>
      <c r="E44" s="19" t="s">
        <v>267</v>
      </c>
      <c r="F44" s="19"/>
      <c r="G44" s="19" t="str">
        <f>_xlfn.XLOOKUP(Diego[[#This Row],[ID]],Tabla2[ID],Tabla2[Corregimiento],"NA")</f>
        <v>NA</v>
      </c>
      <c r="H44" s="19" t="s">
        <v>231</v>
      </c>
      <c r="I44" s="20"/>
      <c r="J44" s="41">
        <v>2</v>
      </c>
      <c r="K44" s="21">
        <v>100</v>
      </c>
      <c r="L44" s="19" t="s">
        <v>268</v>
      </c>
      <c r="M44" s="19" t="s">
        <v>269</v>
      </c>
      <c r="N44" s="19">
        <v>0</v>
      </c>
      <c r="O44" s="28" t="s">
        <v>270</v>
      </c>
    </row>
    <row r="45" spans="1:15" ht="27" thickBot="1" x14ac:dyDescent="0.35">
      <c r="A45" s="27">
        <v>30506</v>
      </c>
      <c r="B45" s="22">
        <v>45973</v>
      </c>
      <c r="C45" s="23" t="s">
        <v>94</v>
      </c>
      <c r="D45" s="23" t="s">
        <v>271</v>
      </c>
      <c r="E45" s="23" t="s">
        <v>272</v>
      </c>
      <c r="F45" s="23">
        <v>2</v>
      </c>
      <c r="G45" s="23" t="str">
        <f>_xlfn.XLOOKUP(Diego[[#This Row],[ID]],Tabla2[ID],Tabla2[Corregimiento],"NA")</f>
        <v>Borrero Ayerbe</v>
      </c>
      <c r="H45" s="23">
        <v>7</v>
      </c>
      <c r="I45" s="24"/>
      <c r="J45" s="42">
        <v>1</v>
      </c>
      <c r="K45" s="25">
        <v>60</v>
      </c>
      <c r="L45" s="25">
        <v>524</v>
      </c>
      <c r="M45" s="25">
        <v>464</v>
      </c>
      <c r="N45" s="23">
        <v>0</v>
      </c>
      <c r="O45" s="29" t="s">
        <v>273</v>
      </c>
    </row>
    <row r="46" spans="1:15" ht="27" thickBot="1" x14ac:dyDescent="0.35">
      <c r="A46" s="26">
        <v>30503</v>
      </c>
      <c r="B46" s="18">
        <v>45973</v>
      </c>
      <c r="C46" s="19" t="s">
        <v>94</v>
      </c>
      <c r="D46" s="19" t="s">
        <v>274</v>
      </c>
      <c r="E46" s="19" t="s">
        <v>122</v>
      </c>
      <c r="F46" s="20"/>
      <c r="G46" s="39" t="str">
        <f>_xlfn.XLOOKUP(Diego[[#This Row],[ID]],Tabla2[ID],Tabla2[Corregimiento],"NA")</f>
        <v>NA</v>
      </c>
      <c r="H46" s="20"/>
      <c r="I46" s="20"/>
      <c r="J46" s="41">
        <v>1</v>
      </c>
      <c r="K46" s="21">
        <v>60</v>
      </c>
      <c r="L46" s="21">
        <v>750</v>
      </c>
      <c r="M46" s="21">
        <v>690</v>
      </c>
      <c r="N46" s="19">
        <v>0</v>
      </c>
      <c r="O46" s="28" t="s">
        <v>270</v>
      </c>
    </row>
    <row r="47" spans="1:15" ht="27" thickBot="1" x14ac:dyDescent="0.35">
      <c r="A47" s="27">
        <v>57099</v>
      </c>
      <c r="B47" s="22">
        <v>45943</v>
      </c>
      <c r="C47" s="23" t="s">
        <v>94</v>
      </c>
      <c r="D47" s="23" t="s">
        <v>275</v>
      </c>
      <c r="E47" s="23" t="s">
        <v>122</v>
      </c>
      <c r="F47" s="24"/>
      <c r="G47" s="40" t="str">
        <f>_xlfn.XLOOKUP(Diego[[#This Row],[ID]],Tabla2[ID],Tabla2[Corregimiento],"NA")</f>
        <v>NA</v>
      </c>
      <c r="H47" s="24"/>
      <c r="I47" s="24"/>
      <c r="J47" s="42">
        <v>2</v>
      </c>
      <c r="K47" s="25">
        <v>120</v>
      </c>
      <c r="L47" s="23" t="s">
        <v>276</v>
      </c>
      <c r="M47" s="23" t="s">
        <v>277</v>
      </c>
      <c r="N47" s="23">
        <v>0</v>
      </c>
      <c r="O47" s="29" t="s">
        <v>270</v>
      </c>
    </row>
    <row r="48" spans="1:15" ht="27" thickBot="1" x14ac:dyDescent="0.35">
      <c r="A48" s="26">
        <v>30441</v>
      </c>
      <c r="B48" s="18">
        <v>45971</v>
      </c>
      <c r="C48" s="19" t="s">
        <v>94</v>
      </c>
      <c r="D48" s="19" t="s">
        <v>278</v>
      </c>
      <c r="E48" s="19" t="s">
        <v>160</v>
      </c>
      <c r="F48" s="19"/>
      <c r="G48" s="19" t="str">
        <f>_xlfn.XLOOKUP(Diego[[#This Row],[ID]],Tabla2[ID],Tabla2[Corregimiento],"NA")</f>
        <v>NA</v>
      </c>
      <c r="H48" s="19" t="s">
        <v>208</v>
      </c>
      <c r="I48" s="20"/>
      <c r="J48" s="41">
        <v>1</v>
      </c>
      <c r="K48" s="21">
        <v>60</v>
      </c>
      <c r="L48" s="21">
        <v>258</v>
      </c>
      <c r="M48" s="21">
        <v>198</v>
      </c>
      <c r="N48" s="19">
        <v>1</v>
      </c>
      <c r="O48" s="28" t="s">
        <v>270</v>
      </c>
    </row>
    <row r="49" spans="1:15" ht="15" thickBot="1" x14ac:dyDescent="0.35">
      <c r="A49" s="27">
        <v>57849</v>
      </c>
      <c r="B49" s="22">
        <v>45972</v>
      </c>
      <c r="C49" s="23" t="s">
        <v>94</v>
      </c>
      <c r="D49" s="23" t="s">
        <v>279</v>
      </c>
      <c r="E49" s="23" t="s">
        <v>160</v>
      </c>
      <c r="F49" s="23"/>
      <c r="G49" s="23" t="str">
        <f>_xlfn.XLOOKUP(Diego[[#This Row],[ID]],Tabla2[ID],Tabla2[Corregimiento],"NA")</f>
        <v>NA</v>
      </c>
      <c r="H49" s="23" t="s">
        <v>208</v>
      </c>
      <c r="I49" s="24"/>
      <c r="J49" s="42">
        <v>1</v>
      </c>
      <c r="K49" s="25">
        <v>60</v>
      </c>
      <c r="L49" s="25">
        <v>400</v>
      </c>
      <c r="M49" s="25">
        <v>340</v>
      </c>
      <c r="N49" s="23">
        <v>1</v>
      </c>
      <c r="O49" s="29" t="s">
        <v>273</v>
      </c>
    </row>
    <row r="50" spans="1:15" ht="27" thickBot="1" x14ac:dyDescent="0.35">
      <c r="A50" s="26">
        <v>58313</v>
      </c>
      <c r="B50" s="18">
        <v>45972</v>
      </c>
      <c r="C50" s="19" t="s">
        <v>94</v>
      </c>
      <c r="D50" s="19" t="s">
        <v>280</v>
      </c>
      <c r="E50" s="19" t="s">
        <v>111</v>
      </c>
      <c r="F50" s="19"/>
      <c r="G50" s="19" t="str">
        <f>_xlfn.XLOOKUP(Diego[[#This Row],[ID]],Tabla2[ID],Tabla2[Corregimiento],"NA")</f>
        <v>NA</v>
      </c>
      <c r="H50" s="19" t="s">
        <v>152</v>
      </c>
      <c r="I50" s="20"/>
      <c r="J50" s="41">
        <v>1</v>
      </c>
      <c r="K50" s="21">
        <v>60</v>
      </c>
      <c r="L50" s="19" t="s">
        <v>281</v>
      </c>
      <c r="M50" s="19" t="s">
        <v>282</v>
      </c>
      <c r="N50" s="19">
        <v>1</v>
      </c>
      <c r="O50" s="28" t="s">
        <v>101</v>
      </c>
    </row>
    <row r="51" spans="1:15" ht="27" thickBot="1" x14ac:dyDescent="0.35">
      <c r="A51" s="27">
        <v>58549</v>
      </c>
      <c r="B51" s="22">
        <v>45978</v>
      </c>
      <c r="C51" s="23" t="s">
        <v>94</v>
      </c>
      <c r="D51" s="23" t="s">
        <v>283</v>
      </c>
      <c r="E51" s="23" t="s">
        <v>284</v>
      </c>
      <c r="F51" s="23">
        <v>4</v>
      </c>
      <c r="G51" s="23" t="str">
        <f>_xlfn.XLOOKUP(Diego[[#This Row],[ID]],Tabla2[ID],Tabla2[Corregimiento],"NA")</f>
        <v>El Carmen</v>
      </c>
      <c r="H51" s="23">
        <v>4</v>
      </c>
      <c r="I51" s="24"/>
      <c r="J51" s="42">
        <v>1</v>
      </c>
      <c r="K51" s="25">
        <v>50</v>
      </c>
      <c r="L51" s="23" t="s">
        <v>285</v>
      </c>
      <c r="M51" s="23" t="s">
        <v>286</v>
      </c>
      <c r="N51" s="23">
        <v>1</v>
      </c>
      <c r="O51" s="29" t="s">
        <v>127</v>
      </c>
    </row>
    <row r="52" spans="1:15" ht="40.200000000000003" thickBot="1" x14ac:dyDescent="0.35">
      <c r="A52" s="26">
        <v>58539</v>
      </c>
      <c r="B52" s="18">
        <v>45978</v>
      </c>
      <c r="C52" s="19" t="s">
        <v>94</v>
      </c>
      <c r="D52" s="19" t="s">
        <v>262</v>
      </c>
      <c r="E52" s="19" t="s">
        <v>263</v>
      </c>
      <c r="F52" s="19"/>
      <c r="G52" s="19" t="str">
        <f>_xlfn.XLOOKUP(Diego[[#This Row],[ID]],Tabla2[ID],Tabla2[Corregimiento],"NA")</f>
        <v>NA</v>
      </c>
      <c r="H52" s="19" t="s">
        <v>287</v>
      </c>
      <c r="I52" s="20"/>
      <c r="J52" s="41">
        <v>1</v>
      </c>
      <c r="K52" s="21">
        <v>40</v>
      </c>
      <c r="L52" s="21">
        <v>162</v>
      </c>
      <c r="M52" s="21">
        <v>122</v>
      </c>
      <c r="N52" s="19">
        <v>1</v>
      </c>
      <c r="O52" s="28" t="s">
        <v>101</v>
      </c>
    </row>
    <row r="53" spans="1:15" ht="15" thickBot="1" x14ac:dyDescent="0.35">
      <c r="A53" s="27">
        <v>30562</v>
      </c>
      <c r="B53" s="23" t="s">
        <v>122</v>
      </c>
      <c r="C53" s="23" t="s">
        <v>94</v>
      </c>
      <c r="D53" s="23" t="s">
        <v>122</v>
      </c>
      <c r="E53" s="23" t="s">
        <v>288</v>
      </c>
      <c r="F53" s="23">
        <v>10</v>
      </c>
      <c r="G53" s="23" t="str">
        <f>_xlfn.XLOOKUP(Diego[[#This Row],[ID]],Tabla2[ID],Tabla2[Corregimiento],"NA")</f>
        <v>El Queremal</v>
      </c>
      <c r="H53" s="23" t="s">
        <v>289</v>
      </c>
      <c r="I53" s="24"/>
      <c r="J53" s="42">
        <v>1</v>
      </c>
      <c r="K53" s="25">
        <v>80</v>
      </c>
      <c r="L53" s="23" t="s">
        <v>290</v>
      </c>
      <c r="M53" s="23" t="s">
        <v>291</v>
      </c>
      <c r="N53" s="23">
        <v>0</v>
      </c>
      <c r="O53" s="29" t="s">
        <v>127</v>
      </c>
    </row>
    <row r="54" spans="1:15" ht="15" thickBot="1" x14ac:dyDescent="0.35">
      <c r="A54" s="26">
        <v>58415</v>
      </c>
      <c r="B54" s="18">
        <v>45974</v>
      </c>
      <c r="C54" s="19" t="s">
        <v>94</v>
      </c>
      <c r="D54" s="19" t="s">
        <v>292</v>
      </c>
      <c r="E54" s="19" t="s">
        <v>265</v>
      </c>
      <c r="F54" s="19">
        <v>4</v>
      </c>
      <c r="G54" s="19" t="str">
        <f>_xlfn.XLOOKUP(Diego[[#This Row],[ID]],Tabla2[ID],Tabla2[Corregimiento],"NA")</f>
        <v>El Carmen</v>
      </c>
      <c r="H54" s="19" t="s">
        <v>152</v>
      </c>
      <c r="I54" s="20"/>
      <c r="J54" s="41">
        <v>1</v>
      </c>
      <c r="K54" s="21">
        <v>60</v>
      </c>
      <c r="L54" s="21">
        <v>955.8</v>
      </c>
      <c r="M54" s="21">
        <v>895.8</v>
      </c>
      <c r="N54" s="19">
        <v>1</v>
      </c>
      <c r="O54" s="28" t="s">
        <v>101</v>
      </c>
    </row>
    <row r="55" spans="1:15" ht="27" thickBot="1" x14ac:dyDescent="0.35">
      <c r="A55" s="27">
        <v>58584</v>
      </c>
      <c r="B55" s="22">
        <v>45979</v>
      </c>
      <c r="C55" s="23" t="s">
        <v>94</v>
      </c>
      <c r="D55" s="23" t="s">
        <v>293</v>
      </c>
      <c r="E55" s="23" t="s">
        <v>294</v>
      </c>
      <c r="F55" s="24"/>
      <c r="G55" s="40" t="str">
        <f>_xlfn.XLOOKUP(Diego[[#This Row],[ID]],Tabla2[ID],Tabla2[Corregimiento],"NA")</f>
        <v>NA</v>
      </c>
      <c r="H55" s="24"/>
      <c r="I55" s="24"/>
      <c r="J55" s="42">
        <v>1</v>
      </c>
      <c r="K55" s="25">
        <v>40</v>
      </c>
      <c r="L55" s="25">
        <v>396</v>
      </c>
      <c r="M55" s="25">
        <v>356</v>
      </c>
      <c r="N55" s="23">
        <v>0</v>
      </c>
      <c r="O55" s="29" t="s">
        <v>127</v>
      </c>
    </row>
    <row r="56" spans="1:15" ht="15" thickBot="1" x14ac:dyDescent="0.35">
      <c r="A56" s="26">
        <v>58574</v>
      </c>
      <c r="B56" s="18">
        <v>45979</v>
      </c>
      <c r="C56" s="19" t="s">
        <v>94</v>
      </c>
      <c r="D56" s="19" t="s">
        <v>293</v>
      </c>
      <c r="E56" s="19" t="s">
        <v>267</v>
      </c>
      <c r="F56" s="19"/>
      <c r="G56" s="19" t="str">
        <f>_xlfn.XLOOKUP(Diego[[#This Row],[ID]],Tabla2[ID],Tabla2[Corregimiento],"NA")</f>
        <v>NA</v>
      </c>
      <c r="H56" s="19" t="s">
        <v>231</v>
      </c>
      <c r="I56" s="20"/>
      <c r="J56" s="41">
        <v>1</v>
      </c>
      <c r="K56" s="21">
        <v>40</v>
      </c>
      <c r="L56" s="21">
        <v>482.4</v>
      </c>
      <c r="M56" s="21">
        <v>442.4</v>
      </c>
      <c r="N56" s="19">
        <v>0</v>
      </c>
      <c r="O56" s="28" t="s">
        <v>273</v>
      </c>
    </row>
    <row r="57" spans="1:15" ht="15" thickBot="1" x14ac:dyDescent="0.35">
      <c r="A57" s="27">
        <v>58571</v>
      </c>
      <c r="B57" s="23" t="s">
        <v>122</v>
      </c>
      <c r="C57" s="23" t="s">
        <v>94</v>
      </c>
      <c r="D57" s="23" t="s">
        <v>295</v>
      </c>
      <c r="E57" s="23" t="s">
        <v>151</v>
      </c>
      <c r="F57" s="23">
        <v>4</v>
      </c>
      <c r="G57" s="23" t="str">
        <f>_xlfn.XLOOKUP(Diego[[#This Row],[ID]],Tabla2[ID],Tabla2[Corregimiento],"NA")</f>
        <v>El Carmen</v>
      </c>
      <c r="H57" s="23" t="s">
        <v>152</v>
      </c>
      <c r="I57" s="24"/>
      <c r="J57" s="42">
        <v>1</v>
      </c>
      <c r="K57" s="25">
        <v>60</v>
      </c>
      <c r="L57" s="23" t="s">
        <v>296</v>
      </c>
      <c r="M57" s="25">
        <v>985</v>
      </c>
      <c r="N57" s="23">
        <v>1</v>
      </c>
      <c r="O57" s="29" t="s">
        <v>270</v>
      </c>
    </row>
    <row r="58" spans="1:15" ht="15" thickBot="1" x14ac:dyDescent="0.35">
      <c r="A58" s="26">
        <v>30535</v>
      </c>
      <c r="B58" s="19" t="s">
        <v>122</v>
      </c>
      <c r="C58" s="19" t="s">
        <v>94</v>
      </c>
      <c r="D58" s="19" t="s">
        <v>122</v>
      </c>
      <c r="E58" s="19" t="s">
        <v>297</v>
      </c>
      <c r="F58" s="19"/>
      <c r="G58" s="19" t="str">
        <f>_xlfn.XLOOKUP(Diego[[#This Row],[ID]],Tabla2[ID],Tabla2[Corregimiento],"NA")</f>
        <v>NA</v>
      </c>
      <c r="H58" s="19">
        <v>1</v>
      </c>
      <c r="I58" s="20"/>
      <c r="J58" s="41">
        <v>1</v>
      </c>
      <c r="K58" s="21">
        <v>30</v>
      </c>
      <c r="L58" s="19" t="s">
        <v>298</v>
      </c>
      <c r="M58" s="19" t="s">
        <v>299</v>
      </c>
      <c r="N58" s="19">
        <v>0</v>
      </c>
      <c r="O58" s="28" t="s">
        <v>270</v>
      </c>
    </row>
    <row r="59" spans="1:15" ht="27" thickBot="1" x14ac:dyDescent="0.35">
      <c r="A59" s="27">
        <v>30532</v>
      </c>
      <c r="B59" s="22">
        <v>45975</v>
      </c>
      <c r="C59" s="23" t="s">
        <v>94</v>
      </c>
      <c r="D59" s="23" t="s">
        <v>300</v>
      </c>
      <c r="E59" s="23" t="s">
        <v>178</v>
      </c>
      <c r="F59" s="23"/>
      <c r="G59" s="23" t="str">
        <f>_xlfn.XLOOKUP(Diego[[#This Row],[ID]],Tabla2[ID],Tabla2[Corregimiento],"NA")</f>
        <v>NA</v>
      </c>
      <c r="H59" s="23" t="s">
        <v>179</v>
      </c>
      <c r="I59" s="24"/>
      <c r="J59" s="42">
        <v>1</v>
      </c>
      <c r="K59" s="25">
        <v>40</v>
      </c>
      <c r="L59" s="25">
        <v>634.9</v>
      </c>
      <c r="M59" s="25">
        <v>594.9</v>
      </c>
      <c r="N59" s="23">
        <v>0</v>
      </c>
      <c r="O59" s="29" t="s">
        <v>273</v>
      </c>
    </row>
    <row r="60" spans="1:15" ht="27" thickBot="1" x14ac:dyDescent="0.35">
      <c r="A60" s="26">
        <v>30513</v>
      </c>
      <c r="B60" s="18">
        <v>45973</v>
      </c>
      <c r="C60" s="19" t="s">
        <v>94</v>
      </c>
      <c r="D60" s="19" t="s">
        <v>301</v>
      </c>
      <c r="E60" s="19" t="s">
        <v>302</v>
      </c>
      <c r="F60" s="19"/>
      <c r="G60" s="19" t="str">
        <f>_xlfn.XLOOKUP(Diego[[#This Row],[ID]],Tabla2[ID],Tabla2[Corregimiento],"NA")</f>
        <v>NA</v>
      </c>
      <c r="H60" s="19">
        <v>7</v>
      </c>
      <c r="I60" s="20"/>
      <c r="J60" s="41">
        <v>2</v>
      </c>
      <c r="K60" s="21">
        <v>160</v>
      </c>
      <c r="L60" s="19" t="s">
        <v>205</v>
      </c>
      <c r="M60" s="19" t="s">
        <v>303</v>
      </c>
      <c r="N60" s="19">
        <v>1</v>
      </c>
      <c r="O60" s="28" t="s">
        <v>273</v>
      </c>
    </row>
    <row r="61" spans="1:15" ht="15" thickBot="1" x14ac:dyDescent="0.35">
      <c r="A61" s="27">
        <v>30560</v>
      </c>
      <c r="B61" s="22">
        <v>45979</v>
      </c>
      <c r="C61" s="23" t="s">
        <v>94</v>
      </c>
      <c r="D61" s="23" t="s">
        <v>122</v>
      </c>
      <c r="E61" s="23" t="s">
        <v>304</v>
      </c>
      <c r="F61" s="23">
        <v>4</v>
      </c>
      <c r="G61" s="23" t="str">
        <f>_xlfn.XLOOKUP(Diego[[#This Row],[ID]],Tabla2[ID],Tabla2[Corregimiento],"NA")</f>
        <v>El Carmen</v>
      </c>
      <c r="H61" s="23" t="s">
        <v>305</v>
      </c>
      <c r="I61" s="24"/>
      <c r="J61" s="42">
        <v>1</v>
      </c>
      <c r="K61" s="25">
        <v>60</v>
      </c>
      <c r="L61" s="23" t="s">
        <v>306</v>
      </c>
      <c r="M61" s="23" t="s">
        <v>307</v>
      </c>
      <c r="N61" s="23">
        <v>0</v>
      </c>
      <c r="O61" s="29" t="s">
        <v>273</v>
      </c>
    </row>
    <row r="62" spans="1:15" ht="27" thickBot="1" x14ac:dyDescent="0.35">
      <c r="A62" s="26">
        <v>58563</v>
      </c>
      <c r="B62" s="18">
        <v>45978</v>
      </c>
      <c r="C62" s="19" t="s">
        <v>94</v>
      </c>
      <c r="D62" s="19" t="s">
        <v>266</v>
      </c>
      <c r="E62" s="19" t="s">
        <v>122</v>
      </c>
      <c r="F62" s="20"/>
      <c r="G62" s="39" t="str">
        <f>_xlfn.XLOOKUP(Diego[[#This Row],[ID]],Tabla2[ID],Tabla2[Corregimiento],"NA")</f>
        <v>NA</v>
      </c>
      <c r="H62" s="20"/>
      <c r="I62" s="20"/>
      <c r="J62" s="41">
        <v>1</v>
      </c>
      <c r="K62" s="21">
        <v>240</v>
      </c>
      <c r="L62" s="19" t="s">
        <v>308</v>
      </c>
      <c r="M62" s="21">
        <v>804.5</v>
      </c>
      <c r="N62" s="19">
        <v>1</v>
      </c>
      <c r="O62" s="28" t="s">
        <v>309</v>
      </c>
    </row>
    <row r="63" spans="1:15" ht="27" thickBot="1" x14ac:dyDescent="0.35">
      <c r="A63" s="27">
        <v>30574</v>
      </c>
      <c r="B63" s="22">
        <v>45980</v>
      </c>
      <c r="C63" s="23" t="s">
        <v>94</v>
      </c>
      <c r="D63" s="23" t="s">
        <v>310</v>
      </c>
      <c r="E63" s="23" t="s">
        <v>311</v>
      </c>
      <c r="F63" s="23">
        <v>4</v>
      </c>
      <c r="G63" s="23" t="str">
        <f>_xlfn.XLOOKUP(Diego[[#This Row],[ID]],Tabla2[ID],Tabla2[Corregimiento],"NA")</f>
        <v>El Carmen</v>
      </c>
      <c r="H63" s="23">
        <v>5</v>
      </c>
      <c r="I63" s="24"/>
      <c r="J63" s="42">
        <v>1</v>
      </c>
      <c r="K63" s="25">
        <v>20</v>
      </c>
      <c r="L63" s="25">
        <v>240</v>
      </c>
      <c r="M63" s="25">
        <v>220</v>
      </c>
      <c r="N63" s="23">
        <v>0</v>
      </c>
      <c r="O63" s="29" t="s">
        <v>273</v>
      </c>
    </row>
    <row r="64" spans="1:15" ht="27" thickBot="1" x14ac:dyDescent="0.35">
      <c r="A64" s="26">
        <v>30586</v>
      </c>
      <c r="B64" s="18">
        <v>45980</v>
      </c>
      <c r="C64" s="19" t="s">
        <v>94</v>
      </c>
      <c r="D64" s="19" t="s">
        <v>312</v>
      </c>
      <c r="E64" s="19" t="s">
        <v>111</v>
      </c>
      <c r="F64" s="19"/>
      <c r="G64" s="19" t="str">
        <f>_xlfn.XLOOKUP(Diego[[#This Row],[ID]],Tabla2[ID],Tabla2[Corregimiento],"NA")</f>
        <v>NA</v>
      </c>
      <c r="H64" s="19">
        <v>4</v>
      </c>
      <c r="I64" s="20"/>
      <c r="J64" s="41">
        <v>1</v>
      </c>
      <c r="K64" s="21">
        <v>50</v>
      </c>
      <c r="L64" s="21">
        <v>303</v>
      </c>
      <c r="M64" s="21">
        <v>253</v>
      </c>
      <c r="N64" s="19">
        <v>0</v>
      </c>
      <c r="O64" s="28" t="s">
        <v>270</v>
      </c>
    </row>
    <row r="65" spans="1:15" ht="27" thickBot="1" x14ac:dyDescent="0.35">
      <c r="A65" s="27">
        <v>30495</v>
      </c>
      <c r="B65" s="22">
        <v>45981</v>
      </c>
      <c r="C65" s="23" t="s">
        <v>94</v>
      </c>
      <c r="D65" s="23" t="s">
        <v>313</v>
      </c>
      <c r="E65" s="23" t="s">
        <v>314</v>
      </c>
      <c r="F65" s="23"/>
      <c r="G65" s="23" t="str">
        <f>_xlfn.XLOOKUP(Diego[[#This Row],[ID]],Tabla2[ID],Tabla2[Corregimiento],"NA")</f>
        <v>NA</v>
      </c>
      <c r="H65" s="23" t="s">
        <v>315</v>
      </c>
      <c r="I65" s="24"/>
      <c r="J65" s="42">
        <v>1</v>
      </c>
      <c r="K65" s="25">
        <v>70</v>
      </c>
      <c r="L65" s="23" t="s">
        <v>316</v>
      </c>
      <c r="M65" s="23" t="s">
        <v>317</v>
      </c>
      <c r="N65" s="23">
        <v>1</v>
      </c>
      <c r="O65" s="29" t="s">
        <v>273</v>
      </c>
    </row>
    <row r="66" spans="1:15" ht="27" thickBot="1" x14ac:dyDescent="0.35">
      <c r="A66" s="26">
        <v>30602</v>
      </c>
      <c r="B66" s="18">
        <v>45981</v>
      </c>
      <c r="C66" s="19" t="s">
        <v>94</v>
      </c>
      <c r="D66" s="19" t="s">
        <v>318</v>
      </c>
      <c r="E66" s="19" t="s">
        <v>191</v>
      </c>
      <c r="F66" s="19">
        <v>2</v>
      </c>
      <c r="G66" s="19" t="str">
        <f>_xlfn.XLOOKUP(Diego[[#This Row],[ID]],Tabla2[ID],Tabla2[Corregimiento],"NA")</f>
        <v>Borrero Ayerbe</v>
      </c>
      <c r="H66" s="19">
        <v>3</v>
      </c>
      <c r="I66" s="20"/>
      <c r="J66" s="41">
        <v>1</v>
      </c>
      <c r="K66" s="21">
        <v>40</v>
      </c>
      <c r="L66" s="19" t="s">
        <v>319</v>
      </c>
      <c r="M66" s="19" t="s">
        <v>320</v>
      </c>
      <c r="N66" s="19">
        <v>0</v>
      </c>
      <c r="O66" s="28" t="s">
        <v>127</v>
      </c>
    </row>
    <row r="67" spans="1:15" ht="40.200000000000003" thickBot="1" x14ac:dyDescent="0.35">
      <c r="A67" s="27">
        <v>30489</v>
      </c>
      <c r="B67" s="22">
        <v>45981</v>
      </c>
      <c r="C67" s="23" t="s">
        <v>94</v>
      </c>
      <c r="D67" s="23" t="s">
        <v>321</v>
      </c>
      <c r="E67" s="23" t="s">
        <v>111</v>
      </c>
      <c r="F67" s="23"/>
      <c r="G67" s="23" t="str">
        <f>_xlfn.XLOOKUP(Diego[[#This Row],[ID]],Tabla2[ID],Tabla2[Corregimiento],"NA")</f>
        <v>NA</v>
      </c>
      <c r="H67" s="23">
        <v>4</v>
      </c>
      <c r="I67" s="24"/>
      <c r="J67" s="42">
        <v>1</v>
      </c>
      <c r="K67" s="25">
        <v>30</v>
      </c>
      <c r="L67" s="25">
        <v>220.3</v>
      </c>
      <c r="M67" s="25">
        <v>190.3</v>
      </c>
      <c r="N67" s="23">
        <v>0</v>
      </c>
      <c r="O67" s="29" t="s">
        <v>127</v>
      </c>
    </row>
    <row r="68" spans="1:15" ht="27" thickBot="1" x14ac:dyDescent="0.35">
      <c r="A68" s="26">
        <v>58947</v>
      </c>
      <c r="B68" s="18">
        <v>45981</v>
      </c>
      <c r="C68" s="19" t="s">
        <v>94</v>
      </c>
      <c r="D68" s="19" t="s">
        <v>322</v>
      </c>
      <c r="E68" s="19" t="s">
        <v>323</v>
      </c>
      <c r="F68" s="19">
        <v>4</v>
      </c>
      <c r="G68" s="19" t="str">
        <f>_xlfn.XLOOKUP(Diego[[#This Row],[ID]],Tabla2[ID],Tabla2[Corregimiento],"NA")</f>
        <v>El Carmen</v>
      </c>
      <c r="H68" s="19" t="s">
        <v>324</v>
      </c>
      <c r="I68" s="20"/>
      <c r="J68" s="41">
        <v>1</v>
      </c>
      <c r="K68" s="21">
        <v>50</v>
      </c>
      <c r="L68" s="19" t="s">
        <v>325</v>
      </c>
      <c r="M68" s="19" t="s">
        <v>326</v>
      </c>
      <c r="N68" s="19">
        <v>0</v>
      </c>
      <c r="O68" s="28" t="s">
        <v>270</v>
      </c>
    </row>
    <row r="69" spans="1:15" ht="15" thickBot="1" x14ac:dyDescent="0.35">
      <c r="A69" s="27">
        <v>30486</v>
      </c>
      <c r="B69" s="23" t="s">
        <v>122</v>
      </c>
      <c r="C69" s="23" t="s">
        <v>94</v>
      </c>
      <c r="D69" s="23" t="s">
        <v>327</v>
      </c>
      <c r="E69" s="23" t="s">
        <v>328</v>
      </c>
      <c r="F69" s="24"/>
      <c r="G69" s="40" t="str">
        <f>_xlfn.XLOOKUP(Diego[[#This Row],[ID]],Tabla2[ID],Tabla2[Corregimiento],"NA")</f>
        <v>NA</v>
      </c>
      <c r="H69" s="24"/>
      <c r="I69" s="24"/>
      <c r="J69" s="42">
        <v>1</v>
      </c>
      <c r="K69" s="25">
        <v>25</v>
      </c>
      <c r="L69" s="25">
        <v>108.1</v>
      </c>
      <c r="M69" s="25">
        <v>83.1</v>
      </c>
      <c r="N69" s="23">
        <v>0</v>
      </c>
      <c r="O69" s="29" t="s">
        <v>270</v>
      </c>
    </row>
    <row r="70" spans="1:15" ht="27" thickBot="1" x14ac:dyDescent="0.35">
      <c r="A70" s="26">
        <v>58760</v>
      </c>
      <c r="B70" s="18">
        <v>45981</v>
      </c>
      <c r="C70" s="19" t="s">
        <v>94</v>
      </c>
      <c r="D70" s="19" t="s">
        <v>329</v>
      </c>
      <c r="E70" s="19" t="s">
        <v>241</v>
      </c>
      <c r="F70" s="20"/>
      <c r="G70" s="39" t="str">
        <f>_xlfn.XLOOKUP(Diego[[#This Row],[ID]],Tabla2[ID],Tabla2[Corregimiento],"NA")</f>
        <v>NA</v>
      </c>
      <c r="H70" s="20"/>
      <c r="I70" s="20"/>
      <c r="J70" s="41">
        <v>1</v>
      </c>
      <c r="K70" s="21">
        <v>80</v>
      </c>
      <c r="L70" s="21">
        <v>284</v>
      </c>
      <c r="M70" s="21">
        <v>204</v>
      </c>
      <c r="N70" s="19">
        <v>1</v>
      </c>
      <c r="O70" s="28" t="s">
        <v>270</v>
      </c>
    </row>
    <row r="71" spans="1:15" ht="27" thickBot="1" x14ac:dyDescent="0.35">
      <c r="A71" s="27">
        <v>58646</v>
      </c>
      <c r="B71" s="22">
        <v>45981</v>
      </c>
      <c r="C71" s="23" t="s">
        <v>94</v>
      </c>
      <c r="D71" s="23" t="s">
        <v>330</v>
      </c>
      <c r="E71" s="23" t="s">
        <v>331</v>
      </c>
      <c r="F71" s="23"/>
      <c r="G71" s="23" t="str">
        <f>_xlfn.XLOOKUP(Diego[[#This Row],[ID]],Tabla2[ID],Tabla2[Corregimiento],"NA")</f>
        <v>NA</v>
      </c>
      <c r="H71" s="23" t="s">
        <v>287</v>
      </c>
      <c r="I71" s="24"/>
      <c r="J71" s="42">
        <v>1</v>
      </c>
      <c r="K71" s="25">
        <v>60</v>
      </c>
      <c r="L71" s="25">
        <v>733</v>
      </c>
      <c r="M71" s="25">
        <v>673</v>
      </c>
      <c r="N71" s="23">
        <v>1</v>
      </c>
      <c r="O71" s="29" t="s">
        <v>101</v>
      </c>
    </row>
    <row r="72" spans="1:15" ht="27" thickBot="1" x14ac:dyDescent="0.35">
      <c r="A72" s="26">
        <v>58703</v>
      </c>
      <c r="B72" s="18">
        <v>45980</v>
      </c>
      <c r="C72" s="19" t="s">
        <v>94</v>
      </c>
      <c r="D72" s="19" t="s">
        <v>235</v>
      </c>
      <c r="E72" s="19" t="s">
        <v>236</v>
      </c>
      <c r="F72" s="19">
        <v>4</v>
      </c>
      <c r="G72" s="19" t="str">
        <f>_xlfn.XLOOKUP(Diego[[#This Row],[ID]],Tabla2[ID],Tabla2[Corregimiento],"NA")</f>
        <v>El Carmen</v>
      </c>
      <c r="H72" s="19" t="s">
        <v>109</v>
      </c>
      <c r="I72" s="20"/>
      <c r="J72" s="41">
        <v>1</v>
      </c>
      <c r="K72" s="21">
        <v>40</v>
      </c>
      <c r="L72" s="21">
        <v>729.9</v>
      </c>
      <c r="M72" s="21">
        <v>689.9</v>
      </c>
      <c r="N72" s="19">
        <v>1</v>
      </c>
      <c r="O72" s="28" t="s">
        <v>101</v>
      </c>
    </row>
    <row r="73" spans="1:15" ht="15" thickBot="1" x14ac:dyDescent="0.35">
      <c r="A73" s="27">
        <v>59198</v>
      </c>
      <c r="B73" s="22">
        <v>45991</v>
      </c>
      <c r="C73" s="23" t="s">
        <v>94</v>
      </c>
      <c r="D73" s="23" t="s">
        <v>332</v>
      </c>
      <c r="E73" s="23" t="s">
        <v>272</v>
      </c>
      <c r="F73" s="23"/>
      <c r="G73" s="23" t="str">
        <f>_xlfn.XLOOKUP(Diego[[#This Row],[ID]],Tabla2[ID],Tabla2[Corregimiento],"NA")</f>
        <v>NA</v>
      </c>
      <c r="H73" s="23">
        <v>7</v>
      </c>
      <c r="I73" s="24"/>
      <c r="J73" s="42">
        <v>1</v>
      </c>
      <c r="K73" s="25">
        <v>40</v>
      </c>
      <c r="L73" s="25">
        <v>380</v>
      </c>
      <c r="M73" s="25">
        <v>340</v>
      </c>
      <c r="N73" s="23">
        <v>0</v>
      </c>
      <c r="O73" s="29" t="s">
        <v>101</v>
      </c>
    </row>
    <row r="74" spans="1:15" ht="27" thickBot="1" x14ac:dyDescent="0.35">
      <c r="A74" s="26">
        <v>59273</v>
      </c>
      <c r="B74" s="18">
        <v>45991</v>
      </c>
      <c r="C74" s="19" t="s">
        <v>94</v>
      </c>
      <c r="D74" s="19" t="s">
        <v>333</v>
      </c>
      <c r="E74" s="19" t="s">
        <v>334</v>
      </c>
      <c r="F74" s="19"/>
      <c r="G74" s="19" t="str">
        <f>_xlfn.XLOOKUP(Diego[[#This Row],[ID]],Tabla2[ID],Tabla2[Corregimiento],"NA")</f>
        <v>NA</v>
      </c>
      <c r="H74" s="19">
        <v>4</v>
      </c>
      <c r="I74" s="20"/>
      <c r="J74" s="41">
        <v>1</v>
      </c>
      <c r="K74" s="21">
        <v>30</v>
      </c>
      <c r="L74" s="21">
        <v>190</v>
      </c>
      <c r="M74" s="21">
        <v>160</v>
      </c>
      <c r="N74" s="19">
        <v>0</v>
      </c>
      <c r="O74" s="28" t="s">
        <v>101</v>
      </c>
    </row>
    <row r="75" spans="1:15" ht="27" thickBot="1" x14ac:dyDescent="0.35">
      <c r="A75" s="27">
        <v>30764</v>
      </c>
      <c r="B75" s="22">
        <v>45984</v>
      </c>
      <c r="C75" s="23" t="s">
        <v>94</v>
      </c>
      <c r="D75" s="23" t="s">
        <v>335</v>
      </c>
      <c r="E75" s="23" t="s">
        <v>328</v>
      </c>
      <c r="F75" s="24"/>
      <c r="G75" s="40" t="str">
        <f>_xlfn.XLOOKUP(Diego[[#This Row],[ID]],Tabla2[ID],Tabla2[Corregimiento],"NA")</f>
        <v>NA</v>
      </c>
      <c r="H75" s="24"/>
      <c r="I75" s="24"/>
      <c r="J75" s="42">
        <v>1</v>
      </c>
      <c r="K75" s="25">
        <v>40</v>
      </c>
      <c r="L75" s="23" t="s">
        <v>336</v>
      </c>
      <c r="M75" s="23" t="s">
        <v>337</v>
      </c>
      <c r="N75" s="23">
        <v>0</v>
      </c>
      <c r="O75" s="29" t="s">
        <v>270</v>
      </c>
    </row>
    <row r="76" spans="1:15" ht="27" thickBot="1" x14ac:dyDescent="0.35">
      <c r="A76" s="26">
        <v>59254</v>
      </c>
      <c r="B76" s="18">
        <v>45990</v>
      </c>
      <c r="C76" s="19" t="s">
        <v>94</v>
      </c>
      <c r="D76" s="19" t="s">
        <v>338</v>
      </c>
      <c r="E76" s="19" t="s">
        <v>302</v>
      </c>
      <c r="F76" s="19"/>
      <c r="G76" s="19" t="str">
        <f>_xlfn.XLOOKUP(Diego[[#This Row],[ID]],Tabla2[ID],Tabla2[Corregimiento],"NA")</f>
        <v>NA</v>
      </c>
      <c r="H76" s="19">
        <v>7</v>
      </c>
      <c r="I76" s="20"/>
      <c r="J76" s="41">
        <v>1</v>
      </c>
      <c r="K76" s="21">
        <v>80</v>
      </c>
      <c r="L76" s="21">
        <v>932.2</v>
      </c>
      <c r="M76" s="21">
        <v>852.2</v>
      </c>
      <c r="N76" s="19">
        <v>0</v>
      </c>
      <c r="O76" s="28" t="s">
        <v>101</v>
      </c>
    </row>
    <row r="77" spans="1:15" ht="15" thickBot="1" x14ac:dyDescent="0.35">
      <c r="A77" s="27">
        <v>30747</v>
      </c>
      <c r="B77" s="22">
        <v>45990</v>
      </c>
      <c r="C77" s="23" t="s">
        <v>94</v>
      </c>
      <c r="D77" s="23" t="s">
        <v>122</v>
      </c>
      <c r="E77" s="23" t="s">
        <v>331</v>
      </c>
      <c r="F77" s="23"/>
      <c r="G77" s="23" t="str">
        <f>_xlfn.XLOOKUP(Diego[[#This Row],[ID]],Tabla2[ID],Tabla2[Corregimiento],"NA")</f>
        <v>NA</v>
      </c>
      <c r="H77" s="23" t="s">
        <v>287</v>
      </c>
      <c r="I77" s="24"/>
      <c r="J77" s="42">
        <v>1</v>
      </c>
      <c r="K77" s="25">
        <v>30</v>
      </c>
      <c r="L77" s="25">
        <v>231.7</v>
      </c>
      <c r="M77" s="25">
        <v>201.7</v>
      </c>
      <c r="N77" s="23">
        <v>0</v>
      </c>
      <c r="O77" s="29" t="s">
        <v>270</v>
      </c>
    </row>
    <row r="78" spans="1:15" ht="15" thickBot="1" x14ac:dyDescent="0.35">
      <c r="A78" s="26">
        <v>59252</v>
      </c>
      <c r="B78" s="18">
        <v>45990</v>
      </c>
      <c r="C78" s="19" t="s">
        <v>94</v>
      </c>
      <c r="D78" s="19" t="s">
        <v>279</v>
      </c>
      <c r="E78" s="19" t="s">
        <v>160</v>
      </c>
      <c r="F78" s="19"/>
      <c r="G78" s="19" t="str">
        <f>_xlfn.XLOOKUP(Diego[[#This Row],[ID]],Tabla2[ID],Tabla2[Corregimiento],"NA")</f>
        <v>NA</v>
      </c>
      <c r="H78" s="19" t="s">
        <v>208</v>
      </c>
      <c r="I78" s="20"/>
      <c r="J78" s="41">
        <v>1</v>
      </c>
      <c r="K78" s="21">
        <v>60</v>
      </c>
      <c r="L78" s="21">
        <v>122.5</v>
      </c>
      <c r="M78" s="21">
        <v>62.5</v>
      </c>
      <c r="N78" s="19">
        <v>1</v>
      </c>
      <c r="O78" s="28" t="s">
        <v>127</v>
      </c>
    </row>
    <row r="79" spans="1:15" ht="15" thickBot="1" x14ac:dyDescent="0.35">
      <c r="A79" s="27">
        <v>57102</v>
      </c>
      <c r="B79" s="23" t="s">
        <v>122</v>
      </c>
      <c r="C79" s="23" t="s">
        <v>94</v>
      </c>
      <c r="D79" s="23" t="s">
        <v>339</v>
      </c>
      <c r="E79" s="23" t="s">
        <v>122</v>
      </c>
      <c r="F79" s="24"/>
      <c r="G79" s="40" t="str">
        <f>_xlfn.XLOOKUP(Diego[[#This Row],[ID]],Tabla2[ID],Tabla2[Corregimiento],"NA")</f>
        <v>NA</v>
      </c>
      <c r="H79" s="24"/>
      <c r="I79" s="24"/>
      <c r="J79" s="42">
        <v>1</v>
      </c>
      <c r="K79" s="25">
        <v>60</v>
      </c>
      <c r="L79" s="23" t="s">
        <v>340</v>
      </c>
      <c r="M79" s="23" t="s">
        <v>341</v>
      </c>
      <c r="N79" s="23">
        <v>0</v>
      </c>
      <c r="O79" s="29" t="s">
        <v>101</v>
      </c>
    </row>
    <row r="80" spans="1:15" ht="27" thickBot="1" x14ac:dyDescent="0.35">
      <c r="A80" s="26">
        <v>59184</v>
      </c>
      <c r="B80" s="19" t="s">
        <v>122</v>
      </c>
      <c r="C80" s="19" t="s">
        <v>94</v>
      </c>
      <c r="D80" s="19" t="s">
        <v>342</v>
      </c>
      <c r="E80" s="19" t="s">
        <v>343</v>
      </c>
      <c r="F80" s="20"/>
      <c r="G80" s="39" t="str">
        <f>_xlfn.XLOOKUP(Diego[[#This Row],[ID]],Tabla2[ID],Tabla2[Corregimiento],"NA")</f>
        <v>NA</v>
      </c>
      <c r="H80" s="20"/>
      <c r="I80" s="20"/>
      <c r="J80" s="41">
        <v>1</v>
      </c>
      <c r="K80" s="21">
        <v>40</v>
      </c>
      <c r="L80" s="19" t="s">
        <v>344</v>
      </c>
      <c r="M80" s="19" t="s">
        <v>345</v>
      </c>
      <c r="N80" s="19">
        <v>0</v>
      </c>
      <c r="O80" s="28" t="s">
        <v>101</v>
      </c>
    </row>
    <row r="81" spans="1:15" ht="27" thickBot="1" x14ac:dyDescent="0.35">
      <c r="A81" s="27">
        <v>59175</v>
      </c>
      <c r="B81" s="22">
        <v>45969</v>
      </c>
      <c r="C81" s="23" t="s">
        <v>94</v>
      </c>
      <c r="D81" s="23" t="s">
        <v>346</v>
      </c>
      <c r="E81" s="23" t="s">
        <v>174</v>
      </c>
      <c r="F81" s="23"/>
      <c r="G81" s="23" t="str">
        <f>_xlfn.XLOOKUP(Diego[[#This Row],[ID]],Tabla2[ID],Tabla2[Corregimiento],"NA")</f>
        <v>NA</v>
      </c>
      <c r="H81" s="23">
        <v>3</v>
      </c>
      <c r="I81" s="24"/>
      <c r="J81" s="42">
        <v>1</v>
      </c>
      <c r="K81" s="25">
        <v>40</v>
      </c>
      <c r="L81" s="25">
        <v>280</v>
      </c>
      <c r="M81" s="25">
        <v>240</v>
      </c>
      <c r="N81" s="23">
        <v>0</v>
      </c>
      <c r="O81" s="29" t="s">
        <v>101</v>
      </c>
    </row>
    <row r="82" spans="1:15" ht="27" thickBot="1" x14ac:dyDescent="0.35">
      <c r="A82" s="26">
        <v>58924</v>
      </c>
      <c r="B82" s="18">
        <v>45980</v>
      </c>
      <c r="C82" s="19" t="s">
        <v>94</v>
      </c>
      <c r="D82" s="19" t="s">
        <v>347</v>
      </c>
      <c r="E82" s="19" t="s">
        <v>151</v>
      </c>
      <c r="F82" s="19"/>
      <c r="G82" s="19" t="str">
        <f>_xlfn.XLOOKUP(Diego[[#This Row],[ID]],Tabla2[ID],Tabla2[Corregimiento],"NA")</f>
        <v>NA</v>
      </c>
      <c r="H82" s="19" t="s">
        <v>152</v>
      </c>
      <c r="I82" s="20"/>
      <c r="J82" s="41">
        <v>1</v>
      </c>
      <c r="K82" s="21">
        <v>50</v>
      </c>
      <c r="L82" s="21">
        <v>242</v>
      </c>
      <c r="M82" s="21">
        <v>192</v>
      </c>
      <c r="N82" s="19">
        <v>0</v>
      </c>
      <c r="O82" s="28" t="s">
        <v>101</v>
      </c>
    </row>
    <row r="83" spans="1:15" ht="27" thickBot="1" x14ac:dyDescent="0.35">
      <c r="A83" s="27">
        <v>59047</v>
      </c>
      <c r="B83" s="23" t="s">
        <v>122</v>
      </c>
      <c r="C83" s="23" t="s">
        <v>94</v>
      </c>
      <c r="D83" s="23" t="s">
        <v>347</v>
      </c>
      <c r="E83" s="23" t="s">
        <v>151</v>
      </c>
      <c r="F83" s="23"/>
      <c r="G83" s="23" t="str">
        <f>_xlfn.XLOOKUP(Diego[[#This Row],[ID]],Tabla2[ID],Tabla2[Corregimiento],"NA")</f>
        <v>NA</v>
      </c>
      <c r="H83" s="23" t="s">
        <v>152</v>
      </c>
      <c r="I83" s="24"/>
      <c r="J83" s="42">
        <v>1</v>
      </c>
      <c r="K83" s="25">
        <v>160</v>
      </c>
      <c r="L83" s="23" t="s">
        <v>348</v>
      </c>
      <c r="M83" s="23" t="s">
        <v>349</v>
      </c>
      <c r="N83" s="23">
        <v>1</v>
      </c>
      <c r="O83" s="29" t="s">
        <v>101</v>
      </c>
    </row>
    <row r="84" spans="1:15" ht="27" thickBot="1" x14ac:dyDescent="0.35">
      <c r="A84" s="26">
        <v>58326</v>
      </c>
      <c r="B84" s="18">
        <v>45986</v>
      </c>
      <c r="C84" s="19" t="s">
        <v>94</v>
      </c>
      <c r="D84" s="19" t="s">
        <v>350</v>
      </c>
      <c r="E84" s="19" t="s">
        <v>351</v>
      </c>
      <c r="F84" s="20"/>
      <c r="G84" s="39" t="str">
        <f>_xlfn.XLOOKUP(Diego[[#This Row],[ID]],Tabla2[ID],Tabla2[Corregimiento],"NA")</f>
        <v>NA</v>
      </c>
      <c r="H84" s="20"/>
      <c r="I84" s="20"/>
      <c r="J84" s="41">
        <v>1</v>
      </c>
      <c r="K84" s="21">
        <v>40</v>
      </c>
      <c r="L84" s="21">
        <v>436</v>
      </c>
      <c r="M84" s="21">
        <v>396</v>
      </c>
      <c r="N84" s="19">
        <v>1</v>
      </c>
      <c r="O84" s="28" t="s">
        <v>101</v>
      </c>
    </row>
    <row r="85" spans="1:15" ht="27" thickBot="1" x14ac:dyDescent="0.35">
      <c r="A85" s="27">
        <v>59071</v>
      </c>
      <c r="B85" s="22">
        <v>45987</v>
      </c>
      <c r="C85" s="23" t="s">
        <v>94</v>
      </c>
      <c r="D85" s="23" t="s">
        <v>310</v>
      </c>
      <c r="E85" s="23" t="s">
        <v>144</v>
      </c>
      <c r="F85" s="23">
        <v>4</v>
      </c>
      <c r="G85" s="23" t="str">
        <f>_xlfn.XLOOKUP(Diego[[#This Row],[ID]],Tabla2[ID],Tabla2[Corregimiento],"NA")</f>
        <v>El Carmen</v>
      </c>
      <c r="H85" s="23">
        <v>5</v>
      </c>
      <c r="I85" s="24"/>
      <c r="J85" s="42">
        <v>1</v>
      </c>
      <c r="K85" s="25">
        <v>50</v>
      </c>
      <c r="L85" s="25">
        <v>666</v>
      </c>
      <c r="M85" s="25">
        <v>616</v>
      </c>
      <c r="N85" s="23">
        <v>0</v>
      </c>
      <c r="O85" s="29" t="s">
        <v>270</v>
      </c>
    </row>
    <row r="86" spans="1:15" ht="15" thickBot="1" x14ac:dyDescent="0.35">
      <c r="A86" s="26">
        <v>59128</v>
      </c>
      <c r="B86" s="18">
        <v>45988</v>
      </c>
      <c r="C86" s="19" t="s">
        <v>94</v>
      </c>
      <c r="D86" s="19" t="s">
        <v>122</v>
      </c>
      <c r="E86" s="19" t="s">
        <v>352</v>
      </c>
      <c r="F86" s="19"/>
      <c r="G86" s="19" t="str">
        <f>_xlfn.XLOOKUP(Diego[[#This Row],[ID]],Tabla2[ID],Tabla2[Corregimiento],"NA")</f>
        <v>NA</v>
      </c>
      <c r="H86" s="19">
        <v>3</v>
      </c>
      <c r="I86" s="20"/>
      <c r="J86" s="41">
        <v>1</v>
      </c>
      <c r="K86" s="21">
        <v>40</v>
      </c>
      <c r="L86" s="21">
        <v>665</v>
      </c>
      <c r="M86" s="21">
        <v>625</v>
      </c>
      <c r="N86" s="19">
        <v>0</v>
      </c>
      <c r="O86" s="28" t="s">
        <v>270</v>
      </c>
    </row>
    <row r="87" spans="1:15" ht="15" thickBot="1" x14ac:dyDescent="0.35">
      <c r="A87" s="27">
        <v>59040</v>
      </c>
      <c r="B87" s="22">
        <v>45987</v>
      </c>
      <c r="C87" s="23" t="s">
        <v>94</v>
      </c>
      <c r="D87" s="23" t="s">
        <v>122</v>
      </c>
      <c r="E87" s="23" t="s">
        <v>122</v>
      </c>
      <c r="F87" s="24"/>
      <c r="G87" s="40" t="str">
        <f>_xlfn.XLOOKUP(Diego[[#This Row],[ID]],Tabla2[ID],Tabla2[Corregimiento],"NA")</f>
        <v>NA</v>
      </c>
      <c r="H87" s="24"/>
      <c r="I87" s="24"/>
      <c r="J87" s="42">
        <v>1</v>
      </c>
      <c r="K87" s="25">
        <v>10</v>
      </c>
      <c r="L87" s="25">
        <v>207</v>
      </c>
      <c r="M87" s="25">
        <v>197</v>
      </c>
      <c r="N87" s="23">
        <v>0</v>
      </c>
      <c r="O87" s="29" t="s">
        <v>270</v>
      </c>
    </row>
    <row r="88" spans="1:15" ht="27" thickBot="1" x14ac:dyDescent="0.35">
      <c r="A88" s="26">
        <v>58345</v>
      </c>
      <c r="B88" s="18">
        <v>45987</v>
      </c>
      <c r="C88" s="19" t="s">
        <v>94</v>
      </c>
      <c r="D88" s="19" t="s">
        <v>353</v>
      </c>
      <c r="E88" s="19" t="s">
        <v>323</v>
      </c>
      <c r="F88" s="19">
        <v>4</v>
      </c>
      <c r="G88" s="19" t="str">
        <f>_xlfn.XLOOKUP(Diego[[#This Row],[ID]],Tabla2[ID],Tabla2[Corregimiento],"NA")</f>
        <v>El Carmen</v>
      </c>
      <c r="H88" s="19" t="s">
        <v>324</v>
      </c>
      <c r="I88" s="20"/>
      <c r="J88" s="41">
        <v>1</v>
      </c>
      <c r="K88" s="21">
        <v>50</v>
      </c>
      <c r="L88" s="21">
        <v>694</v>
      </c>
      <c r="M88" s="21">
        <v>644</v>
      </c>
      <c r="N88" s="19">
        <v>0</v>
      </c>
      <c r="O88" s="28" t="s">
        <v>127</v>
      </c>
    </row>
    <row r="89" spans="1:15" ht="27" thickBot="1" x14ac:dyDescent="0.35">
      <c r="A89" s="27">
        <v>58352</v>
      </c>
      <c r="B89" s="22">
        <v>45987</v>
      </c>
      <c r="C89" s="23" t="s">
        <v>94</v>
      </c>
      <c r="D89" s="23" t="s">
        <v>318</v>
      </c>
      <c r="E89" s="23" t="s">
        <v>352</v>
      </c>
      <c r="F89" s="23"/>
      <c r="G89" s="23" t="str">
        <f>_xlfn.XLOOKUP(Diego[[#This Row],[ID]],Tabla2[ID],Tabla2[Corregimiento],"NA")</f>
        <v>NA</v>
      </c>
      <c r="H89" s="23">
        <v>3</v>
      </c>
      <c r="I89" s="24"/>
      <c r="J89" s="42">
        <v>1</v>
      </c>
      <c r="K89" s="25">
        <v>40</v>
      </c>
      <c r="L89" s="25">
        <v>532.79999999999995</v>
      </c>
      <c r="M89" s="25">
        <v>492.8</v>
      </c>
      <c r="N89" s="23">
        <v>1</v>
      </c>
      <c r="O89" s="29" t="s">
        <v>270</v>
      </c>
    </row>
    <row r="90" spans="1:15" x14ac:dyDescent="0.3">
      <c r="A90" s="33">
        <v>47578</v>
      </c>
      <c r="B90" s="34">
        <v>45972</v>
      </c>
      <c r="C90" s="35" t="s">
        <v>94</v>
      </c>
      <c r="D90" s="35" t="s">
        <v>354</v>
      </c>
      <c r="E90" s="35" t="s">
        <v>267</v>
      </c>
      <c r="F90" s="35"/>
      <c r="G90" s="35" t="str">
        <f>_xlfn.XLOOKUP(Diego[[#This Row],[ID]],Tabla2[ID],Tabla2[Corregimiento],"NA")</f>
        <v>NA</v>
      </c>
      <c r="H90" s="35" t="s">
        <v>231</v>
      </c>
      <c r="I90" s="36"/>
      <c r="J90" s="43">
        <v>1</v>
      </c>
      <c r="K90" s="37">
        <v>25</v>
      </c>
      <c r="L90" s="37">
        <v>510.3</v>
      </c>
      <c r="M90" s="37">
        <v>485.3</v>
      </c>
      <c r="N90" s="35">
        <v>0</v>
      </c>
      <c r="O90" s="38" t="s">
        <v>270</v>
      </c>
    </row>
  </sheetData>
  <dataValidations count="1">
    <dataValidation type="whole" allowBlank="1" showInputMessage="1" showErrorMessage="1" sqref="F2:F90" xr:uid="{A27E05DD-D556-4DC4-BFCA-36D1DC7DAEB5}">
      <formula1>1</formula1>
      <formula2>27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9D28B-7AE5-4C2A-A469-7414E9533BC7}">
  <dimension ref="A1:J184"/>
  <sheetViews>
    <sheetView topLeftCell="A2" zoomScale="133" workbookViewId="0">
      <selection activeCell="A16" sqref="A16"/>
    </sheetView>
  </sheetViews>
  <sheetFormatPr baseColWidth="10" defaultRowHeight="14.4" x14ac:dyDescent="0.3"/>
  <cols>
    <col min="4" max="4" width="10.88671875" customWidth="1"/>
    <col min="5" max="5" width="22.5546875" bestFit="1" customWidth="1"/>
    <col min="6" max="6" width="12.44140625" bestFit="1" customWidth="1"/>
    <col min="8" max="8" width="14" bestFit="1" customWidth="1"/>
  </cols>
  <sheetData>
    <row r="1" spans="1:8" ht="30.6" customHeight="1" x14ac:dyDescent="0.3">
      <c r="A1" s="44" t="s">
        <v>81</v>
      </c>
      <c r="B1" s="44" t="s">
        <v>82</v>
      </c>
      <c r="C1" s="47" t="s">
        <v>377</v>
      </c>
      <c r="D1" s="44" t="s">
        <v>361</v>
      </c>
      <c r="E1" s="48" t="s">
        <v>356</v>
      </c>
      <c r="F1" s="49" t="s">
        <v>358</v>
      </c>
      <c r="G1" s="49" t="s">
        <v>359</v>
      </c>
      <c r="H1" s="49" t="s">
        <v>360</v>
      </c>
    </row>
    <row r="2" spans="1:8" x14ac:dyDescent="0.3">
      <c r="A2">
        <v>57376</v>
      </c>
      <c r="B2" s="17">
        <v>45950</v>
      </c>
      <c r="C2" s="17" t="str">
        <f>_xlfn.XLOOKUP(Tabla5[[#This Row],[N° FACTURA]],Tabla3[N° FACTURA],Tabla3[Corregimiento],"NA")</f>
        <v>NA</v>
      </c>
      <c r="D2" s="17"/>
      <c r="E2" t="s">
        <v>357</v>
      </c>
      <c r="F2" s="45">
        <v>600</v>
      </c>
      <c r="G2">
        <v>25</v>
      </c>
      <c r="H2" s="45">
        <f t="shared" ref="H2:H47" si="0">F2*G2</f>
        <v>15000</v>
      </c>
    </row>
    <row r="3" spans="1:8" x14ac:dyDescent="0.3">
      <c r="A3">
        <v>57376</v>
      </c>
      <c r="B3" s="17">
        <v>45950</v>
      </c>
      <c r="C3" s="17" t="str">
        <f>_xlfn.XLOOKUP(Tabla5[[#This Row],[N° FACTURA]],Tabla3[N° FACTURA],Tabla3[Corregimiento],"NA")</f>
        <v>NA</v>
      </c>
      <c r="D3" s="17"/>
      <c r="E3" t="s">
        <v>362</v>
      </c>
      <c r="F3" s="45">
        <v>800</v>
      </c>
      <c r="G3">
        <v>10</v>
      </c>
      <c r="H3" s="45">
        <f t="shared" si="0"/>
        <v>8000</v>
      </c>
    </row>
    <row r="4" spans="1:8" x14ac:dyDescent="0.3">
      <c r="A4">
        <v>57376</v>
      </c>
      <c r="B4" s="17">
        <v>45950</v>
      </c>
      <c r="C4" s="17" t="str">
        <f>_xlfn.XLOOKUP(Tabla5[[#This Row],[N° FACTURA]],Tabla3[N° FACTURA],Tabla3[Corregimiento],"NA")</f>
        <v>NA</v>
      </c>
      <c r="D4" s="17"/>
      <c r="E4" t="s">
        <v>363</v>
      </c>
      <c r="F4" s="45">
        <v>600</v>
      </c>
      <c r="G4">
        <v>10</v>
      </c>
      <c r="H4" s="45">
        <f t="shared" si="0"/>
        <v>6000</v>
      </c>
    </row>
    <row r="5" spans="1:8" x14ac:dyDescent="0.3">
      <c r="A5">
        <v>57376</v>
      </c>
      <c r="B5" s="17">
        <v>45950</v>
      </c>
      <c r="C5" s="17" t="str">
        <f>_xlfn.XLOOKUP(Tabla5[[#This Row],[N° FACTURA]],Tabla3[N° FACTURA],Tabla3[Corregimiento],"NA")</f>
        <v>NA</v>
      </c>
      <c r="D5" s="17"/>
      <c r="E5" t="s">
        <v>364</v>
      </c>
      <c r="F5" s="45">
        <v>800</v>
      </c>
      <c r="G5">
        <v>10</v>
      </c>
      <c r="H5" s="45">
        <f t="shared" si="0"/>
        <v>8000</v>
      </c>
    </row>
    <row r="6" spans="1:8" x14ac:dyDescent="0.3">
      <c r="A6">
        <v>57376</v>
      </c>
      <c r="B6" s="17">
        <v>45950</v>
      </c>
      <c r="C6" s="17" t="str">
        <f>_xlfn.XLOOKUP(Tabla5[[#This Row],[N° FACTURA]],Tabla3[N° FACTURA],Tabla3[Corregimiento],"NA")</f>
        <v>NA</v>
      </c>
      <c r="D6" s="17"/>
      <c r="E6" t="s">
        <v>365</v>
      </c>
      <c r="F6" s="45">
        <v>600</v>
      </c>
      <c r="G6">
        <v>15</v>
      </c>
      <c r="H6" s="45">
        <f t="shared" si="0"/>
        <v>9000</v>
      </c>
    </row>
    <row r="7" spans="1:8" x14ac:dyDescent="0.3">
      <c r="A7">
        <v>57376</v>
      </c>
      <c r="B7" s="17">
        <v>45950</v>
      </c>
      <c r="C7" s="17" t="str">
        <f>_xlfn.XLOOKUP(Tabla5[[#This Row],[N° FACTURA]],Tabla3[N° FACTURA],Tabla3[Corregimiento],"NA")</f>
        <v>NA</v>
      </c>
      <c r="D7" s="17"/>
      <c r="E7" t="s">
        <v>366</v>
      </c>
      <c r="F7" s="45">
        <v>1500</v>
      </c>
      <c r="G7">
        <v>25</v>
      </c>
      <c r="H7" s="45">
        <f t="shared" si="0"/>
        <v>37500</v>
      </c>
    </row>
    <row r="8" spans="1:8" x14ac:dyDescent="0.3">
      <c r="A8">
        <v>57376</v>
      </c>
      <c r="B8" s="17">
        <v>45950</v>
      </c>
      <c r="C8" s="17" t="str">
        <f>_xlfn.XLOOKUP(Tabla5[[#This Row],[N° FACTURA]],Tabla3[N° FACTURA],Tabla3[Corregimiento],"NA")</f>
        <v>NA</v>
      </c>
      <c r="D8" s="17"/>
      <c r="E8" t="s">
        <v>367</v>
      </c>
      <c r="F8" s="45">
        <v>2300</v>
      </c>
      <c r="G8">
        <v>10</v>
      </c>
      <c r="H8" s="45">
        <f t="shared" si="0"/>
        <v>23000</v>
      </c>
    </row>
    <row r="9" spans="1:8" x14ac:dyDescent="0.3">
      <c r="A9">
        <v>57376</v>
      </c>
      <c r="B9" s="17">
        <v>45950</v>
      </c>
      <c r="C9" s="17" t="str">
        <f>_xlfn.XLOOKUP(Tabla5[[#This Row],[N° FACTURA]],Tabla3[N° FACTURA],Tabla3[Corregimiento],"NA")</f>
        <v>NA</v>
      </c>
      <c r="D9" s="17"/>
      <c r="E9" t="s">
        <v>368</v>
      </c>
      <c r="F9" s="45">
        <v>1000</v>
      </c>
      <c r="G9">
        <v>10</v>
      </c>
      <c r="H9" s="45">
        <f t="shared" si="0"/>
        <v>10000</v>
      </c>
    </row>
    <row r="10" spans="1:8" x14ac:dyDescent="0.3">
      <c r="A10">
        <v>57376</v>
      </c>
      <c r="B10" s="17">
        <v>45950</v>
      </c>
      <c r="C10" s="17" t="str">
        <f>_xlfn.XLOOKUP(Tabla5[[#This Row],[N° FACTURA]],Tabla3[N° FACTURA],Tabla3[Corregimiento],"NA")</f>
        <v>NA</v>
      </c>
      <c r="D10" s="17"/>
      <c r="E10" t="s">
        <v>369</v>
      </c>
      <c r="F10" s="45">
        <v>1700</v>
      </c>
      <c r="G10">
        <v>10</v>
      </c>
      <c r="H10" s="45">
        <f t="shared" si="0"/>
        <v>17000</v>
      </c>
    </row>
    <row r="11" spans="1:8" x14ac:dyDescent="0.3">
      <c r="A11">
        <v>57376</v>
      </c>
      <c r="B11" s="17">
        <v>45950</v>
      </c>
      <c r="C11" s="17" t="str">
        <f>_xlfn.XLOOKUP(Tabla5[[#This Row],[N° FACTURA]],Tabla3[N° FACTURA],Tabla3[Corregimiento],"NA")</f>
        <v>NA</v>
      </c>
      <c r="D11" s="17"/>
      <c r="E11" t="s">
        <v>403</v>
      </c>
      <c r="F11" s="45">
        <v>1500</v>
      </c>
      <c r="G11">
        <v>20</v>
      </c>
      <c r="H11" s="45">
        <f t="shared" si="0"/>
        <v>30000</v>
      </c>
    </row>
    <row r="12" spans="1:8" x14ac:dyDescent="0.3">
      <c r="A12">
        <v>57376</v>
      </c>
      <c r="B12" s="17">
        <v>45950</v>
      </c>
      <c r="C12" s="17" t="str">
        <f>_xlfn.XLOOKUP(Tabla5[[#This Row],[N° FACTURA]],Tabla3[N° FACTURA],Tabla3[Corregimiento],"NA")</f>
        <v>NA</v>
      </c>
      <c r="D12" s="17"/>
      <c r="E12" t="s">
        <v>370</v>
      </c>
      <c r="F12" s="45">
        <v>19200</v>
      </c>
      <c r="G12">
        <v>20</v>
      </c>
      <c r="H12" s="45">
        <f t="shared" si="0"/>
        <v>384000</v>
      </c>
    </row>
    <row r="13" spans="1:8" x14ac:dyDescent="0.3">
      <c r="A13">
        <v>57376</v>
      </c>
      <c r="B13" s="17">
        <v>45950</v>
      </c>
      <c r="C13" s="17" t="str">
        <f>_xlfn.XLOOKUP(Tabla5[[#This Row],[N° FACTURA]],Tabla3[N° FACTURA],Tabla3[Corregimiento],"NA")</f>
        <v>NA</v>
      </c>
      <c r="D13" s="17"/>
      <c r="E13" t="s">
        <v>371</v>
      </c>
      <c r="F13" s="45">
        <v>2800</v>
      </c>
      <c r="G13">
        <v>4</v>
      </c>
      <c r="H13" s="45">
        <f t="shared" si="0"/>
        <v>11200</v>
      </c>
    </row>
    <row r="14" spans="1:8" x14ac:dyDescent="0.3">
      <c r="A14">
        <v>57376</v>
      </c>
      <c r="B14" s="17">
        <v>45950</v>
      </c>
      <c r="C14" s="17" t="str">
        <f>_xlfn.XLOOKUP(Tabla5[[#This Row],[N° FACTURA]],Tabla3[N° FACTURA],Tabla3[Corregimiento],"NA")</f>
        <v>NA</v>
      </c>
      <c r="D14" s="17"/>
      <c r="E14" t="s">
        <v>372</v>
      </c>
      <c r="F14" s="45">
        <v>800</v>
      </c>
      <c r="G14">
        <v>12</v>
      </c>
      <c r="H14" s="45">
        <f t="shared" si="0"/>
        <v>9600</v>
      </c>
    </row>
    <row r="15" spans="1:8" x14ac:dyDescent="0.3">
      <c r="A15">
        <v>57376</v>
      </c>
      <c r="B15" s="17">
        <v>45950</v>
      </c>
      <c r="C15" s="17" t="str">
        <f>_xlfn.XLOOKUP(Tabla5[[#This Row],[N° FACTURA]],Tabla3[N° FACTURA],Tabla3[Corregimiento],"NA")</f>
        <v>NA</v>
      </c>
      <c r="D15" s="17"/>
      <c r="E15" t="s">
        <v>373</v>
      </c>
      <c r="F15" s="45">
        <v>47000</v>
      </c>
      <c r="G15">
        <v>1</v>
      </c>
      <c r="H15" s="45">
        <f t="shared" si="0"/>
        <v>47000</v>
      </c>
    </row>
    <row r="16" spans="1:8" x14ac:dyDescent="0.3">
      <c r="A16">
        <v>57377</v>
      </c>
      <c r="B16" s="17">
        <v>45950</v>
      </c>
      <c r="C16" s="17" t="str">
        <f>_xlfn.XLOOKUP(Tabla5[[#This Row],[N° FACTURA]],Tabla3[N° FACTURA],Tabla3[Corregimiento],"NA")</f>
        <v>NA</v>
      </c>
      <c r="D16" s="17"/>
      <c r="E16" t="s">
        <v>374</v>
      </c>
      <c r="F16" s="45">
        <v>38500</v>
      </c>
      <c r="G16" s="46">
        <v>2</v>
      </c>
      <c r="H16" s="45">
        <f t="shared" si="0"/>
        <v>77000</v>
      </c>
    </row>
    <row r="17" spans="1:10" x14ac:dyDescent="0.3">
      <c r="A17">
        <v>57377</v>
      </c>
      <c r="B17" s="17">
        <v>45950</v>
      </c>
      <c r="C17" s="17" t="str">
        <f>_xlfn.XLOOKUP(Tabla5[[#This Row],[N° FACTURA]],Tabla3[N° FACTURA],Tabla3[Corregimiento],"NA")</f>
        <v>NA</v>
      </c>
      <c r="D17" s="17"/>
      <c r="E17" t="s">
        <v>375</v>
      </c>
      <c r="F17" s="45">
        <v>6000</v>
      </c>
      <c r="G17">
        <v>50</v>
      </c>
      <c r="H17" s="45">
        <f t="shared" si="0"/>
        <v>300000</v>
      </c>
    </row>
    <row r="18" spans="1:10" x14ac:dyDescent="0.3">
      <c r="A18">
        <v>57377</v>
      </c>
      <c r="B18" s="17">
        <v>45950</v>
      </c>
      <c r="C18" s="17" t="str">
        <f>_xlfn.XLOOKUP(Tabla5[[#This Row],[N° FACTURA]],Tabla3[N° FACTURA],Tabla3[Corregimiento],"NA")</f>
        <v>NA</v>
      </c>
      <c r="D18" s="17"/>
      <c r="E18" t="s">
        <v>376</v>
      </c>
      <c r="F18" s="45">
        <v>32000</v>
      </c>
      <c r="G18">
        <v>30</v>
      </c>
      <c r="H18" s="45">
        <f t="shared" si="0"/>
        <v>960000</v>
      </c>
    </row>
    <row r="19" spans="1:10" x14ac:dyDescent="0.3">
      <c r="A19">
        <v>57395</v>
      </c>
      <c r="B19" s="17">
        <v>45950</v>
      </c>
      <c r="C19" s="17" t="str">
        <f>_xlfn.XLOOKUP(Tabla5[[#This Row],[N° FACTURA]],Tabla3[N° FACTURA],Tabla3[Corregimiento],"NA")</f>
        <v>NA</v>
      </c>
      <c r="D19" s="17"/>
      <c r="E19" t="s">
        <v>376</v>
      </c>
      <c r="F19" s="45">
        <v>32000</v>
      </c>
      <c r="G19">
        <v>15</v>
      </c>
      <c r="H19" s="45">
        <f t="shared" si="0"/>
        <v>480000</v>
      </c>
    </row>
    <row r="20" spans="1:10" x14ac:dyDescent="0.3">
      <c r="A20">
        <v>57656</v>
      </c>
      <c r="B20" s="17">
        <v>45962</v>
      </c>
      <c r="C20" s="17" t="str">
        <f>_xlfn.XLOOKUP(Tabla5[[#This Row],[N° FACTURA]],Tabla3[N° FACTURA],Tabla3[Corregimiento],"NA")</f>
        <v>NA</v>
      </c>
      <c r="D20" s="17"/>
      <c r="E20" t="s">
        <v>379</v>
      </c>
      <c r="F20" s="45">
        <v>102000</v>
      </c>
      <c r="G20">
        <v>2</v>
      </c>
      <c r="H20" s="45">
        <f t="shared" si="0"/>
        <v>204000</v>
      </c>
      <c r="J20" s="50"/>
    </row>
    <row r="21" spans="1:10" x14ac:dyDescent="0.3">
      <c r="A21">
        <v>57907</v>
      </c>
      <c r="B21" s="17">
        <v>45961</v>
      </c>
      <c r="C21" s="17" t="str">
        <f>_xlfn.XLOOKUP(Tabla5[[#This Row],[N° FACTURA]],Tabla3[N° FACTURA],Tabla3[Corregimiento],"NA")</f>
        <v>NA</v>
      </c>
      <c r="D21" s="17"/>
      <c r="E21" t="s">
        <v>380</v>
      </c>
      <c r="F21" s="45">
        <v>6000</v>
      </c>
      <c r="G21">
        <v>6</v>
      </c>
      <c r="H21" s="45">
        <f t="shared" si="0"/>
        <v>36000</v>
      </c>
    </row>
    <row r="22" spans="1:10" x14ac:dyDescent="0.3">
      <c r="A22">
        <v>57907</v>
      </c>
      <c r="B22" s="17">
        <v>45961</v>
      </c>
      <c r="C22" s="17" t="str">
        <f>_xlfn.XLOOKUP(Tabla5[[#This Row],[N° FACTURA]],Tabla3[N° FACTURA],Tabla3[Corregimiento],"NA")</f>
        <v>NA</v>
      </c>
      <c r="D22" s="17"/>
      <c r="E22" t="s">
        <v>376</v>
      </c>
      <c r="F22" s="45">
        <v>32000</v>
      </c>
      <c r="G22">
        <v>1</v>
      </c>
      <c r="H22" s="45">
        <f t="shared" si="0"/>
        <v>32000</v>
      </c>
    </row>
    <row r="23" spans="1:10" x14ac:dyDescent="0.3">
      <c r="A23">
        <v>57907</v>
      </c>
      <c r="B23" s="17">
        <v>45961</v>
      </c>
      <c r="C23" s="17" t="str">
        <f>_xlfn.XLOOKUP(Tabla5[[#This Row],[N° FACTURA]],Tabla3[N° FACTURA],Tabla3[Corregimiento],"NA")</f>
        <v>NA</v>
      </c>
      <c r="D23" s="17"/>
      <c r="E23" t="s">
        <v>381</v>
      </c>
      <c r="F23" s="45">
        <v>4700</v>
      </c>
      <c r="G23">
        <v>2</v>
      </c>
      <c r="H23" s="45">
        <f t="shared" si="0"/>
        <v>9400</v>
      </c>
    </row>
    <row r="24" spans="1:10" x14ac:dyDescent="0.3">
      <c r="A24">
        <v>57907</v>
      </c>
      <c r="B24" s="17">
        <v>45961</v>
      </c>
      <c r="C24" s="17" t="str">
        <f>_xlfn.XLOOKUP(Tabla5[[#This Row],[N° FACTURA]],Tabla3[N° FACTURA],Tabla3[Corregimiento],"NA")</f>
        <v>NA</v>
      </c>
      <c r="D24" s="17"/>
      <c r="E24" t="s">
        <v>382</v>
      </c>
      <c r="F24" s="45">
        <v>5700</v>
      </c>
      <c r="G24">
        <v>2</v>
      </c>
      <c r="H24" s="45">
        <f t="shared" si="0"/>
        <v>11400</v>
      </c>
    </row>
    <row r="25" spans="1:10" x14ac:dyDescent="0.3">
      <c r="A25">
        <v>57907</v>
      </c>
      <c r="B25" s="17">
        <v>45961</v>
      </c>
      <c r="C25" s="17" t="str">
        <f>_xlfn.XLOOKUP(Tabla5[[#This Row],[N° FACTURA]],Tabla3[N° FACTURA],Tabla3[Corregimiento],"NA")</f>
        <v>NA</v>
      </c>
      <c r="D25" s="17"/>
      <c r="E25" t="s">
        <v>383</v>
      </c>
      <c r="F25" s="45">
        <v>14000</v>
      </c>
      <c r="G25">
        <v>2</v>
      </c>
      <c r="H25" s="45">
        <f t="shared" si="0"/>
        <v>28000</v>
      </c>
    </row>
    <row r="26" spans="1:10" x14ac:dyDescent="0.3">
      <c r="A26">
        <v>57907</v>
      </c>
      <c r="B26" s="17">
        <v>45961</v>
      </c>
      <c r="C26" s="17" t="str">
        <f>_xlfn.XLOOKUP(Tabla5[[#This Row],[N° FACTURA]],Tabla3[N° FACTURA],Tabla3[Corregimiento],"NA")</f>
        <v>NA</v>
      </c>
      <c r="D26" s="17"/>
      <c r="E26" t="s">
        <v>384</v>
      </c>
      <c r="F26" s="45">
        <v>6000</v>
      </c>
      <c r="G26">
        <v>6</v>
      </c>
      <c r="H26" s="45">
        <f t="shared" si="0"/>
        <v>36000</v>
      </c>
    </row>
    <row r="27" spans="1:10" x14ac:dyDescent="0.3">
      <c r="A27">
        <v>57907</v>
      </c>
      <c r="B27" s="17">
        <v>45961</v>
      </c>
      <c r="C27" s="17" t="str">
        <f>_xlfn.XLOOKUP(Tabla5[[#This Row],[N° FACTURA]],Tabla3[N° FACTURA],Tabla3[Corregimiento],"NA")</f>
        <v>NA</v>
      </c>
      <c r="D27" s="17"/>
      <c r="E27" t="s">
        <v>385</v>
      </c>
      <c r="F27" s="45">
        <v>600</v>
      </c>
      <c r="G27">
        <v>80</v>
      </c>
      <c r="H27" s="45">
        <f t="shared" si="0"/>
        <v>48000</v>
      </c>
    </row>
    <row r="28" spans="1:10" x14ac:dyDescent="0.3">
      <c r="A28">
        <v>58001</v>
      </c>
      <c r="B28" s="17">
        <v>45962</v>
      </c>
      <c r="C28" s="17" t="str">
        <f>_xlfn.XLOOKUP(Tabla5[[#This Row],[N° FACTURA]],Tabla3[N° FACTURA],Tabla3[Corregimiento],"NA")</f>
        <v>NA</v>
      </c>
      <c r="D28" s="17"/>
      <c r="E28" t="s">
        <v>379</v>
      </c>
      <c r="F28" s="45">
        <v>102000</v>
      </c>
      <c r="G28">
        <v>3</v>
      </c>
      <c r="H28" s="45">
        <f t="shared" si="0"/>
        <v>306000</v>
      </c>
    </row>
    <row r="29" spans="1:10" x14ac:dyDescent="0.3">
      <c r="A29">
        <v>58001</v>
      </c>
      <c r="B29" s="17">
        <v>45962</v>
      </c>
      <c r="C29" s="17" t="str">
        <f>_xlfn.XLOOKUP(Tabla5[[#This Row],[N° FACTURA]],Tabla3[N° FACTURA],Tabla3[Corregimiento],"NA")</f>
        <v>NA</v>
      </c>
      <c r="D29" s="17"/>
      <c r="E29" t="s">
        <v>376</v>
      </c>
      <c r="F29" s="45">
        <v>32000</v>
      </c>
      <c r="G29">
        <v>8</v>
      </c>
      <c r="H29" s="45">
        <f t="shared" si="0"/>
        <v>256000</v>
      </c>
    </row>
    <row r="30" spans="1:10" x14ac:dyDescent="0.3">
      <c r="A30">
        <v>58001</v>
      </c>
      <c r="B30" s="17">
        <v>45962</v>
      </c>
      <c r="C30" s="17" t="str">
        <f>_xlfn.XLOOKUP(Tabla5[[#This Row],[N° FACTURA]],Tabla3[N° FACTURA],Tabla3[Corregimiento],"NA")</f>
        <v>NA</v>
      </c>
      <c r="D30" s="17"/>
      <c r="E30" t="s">
        <v>386</v>
      </c>
      <c r="F30" s="45">
        <v>112600</v>
      </c>
      <c r="G30">
        <v>0.5</v>
      </c>
      <c r="H30" s="45">
        <f t="shared" si="0"/>
        <v>56300</v>
      </c>
    </row>
    <row r="31" spans="1:10" x14ac:dyDescent="0.3">
      <c r="A31">
        <v>58001</v>
      </c>
      <c r="B31" s="17">
        <v>45962</v>
      </c>
      <c r="C31" s="17" t="str">
        <f>_xlfn.XLOOKUP(Tabla5[[#This Row],[N° FACTURA]],Tabla3[N° FACTURA],Tabla3[Corregimiento],"NA")</f>
        <v>NA</v>
      </c>
      <c r="D31" s="17"/>
      <c r="E31" t="s">
        <v>387</v>
      </c>
      <c r="F31" s="45">
        <v>107000</v>
      </c>
      <c r="G31">
        <v>1</v>
      </c>
      <c r="H31" s="45">
        <f t="shared" si="0"/>
        <v>107000</v>
      </c>
    </row>
    <row r="32" spans="1:10" x14ac:dyDescent="0.3">
      <c r="A32">
        <v>30253</v>
      </c>
      <c r="B32" s="17">
        <v>45962</v>
      </c>
      <c r="C32" s="17" t="str">
        <f>_xlfn.XLOOKUP(Tabla5[[#This Row],[N° FACTURA]],Tabla3[N° FACTURA],Tabla3[Corregimiento],"NA")</f>
        <v>NA</v>
      </c>
      <c r="D32" s="17"/>
      <c r="E32" t="s">
        <v>388</v>
      </c>
      <c r="F32" s="45">
        <v>67000</v>
      </c>
      <c r="G32">
        <v>4</v>
      </c>
      <c r="H32" s="45">
        <f t="shared" si="0"/>
        <v>268000</v>
      </c>
    </row>
    <row r="33" spans="1:8" x14ac:dyDescent="0.3">
      <c r="A33">
        <v>30253</v>
      </c>
      <c r="B33" s="17">
        <v>45962</v>
      </c>
      <c r="C33" s="17" t="str">
        <f>_xlfn.XLOOKUP(Tabla5[[#This Row],[N° FACTURA]],Tabla3[N° FACTURA],Tabla3[Corregimiento],"NA")</f>
        <v>NA</v>
      </c>
      <c r="D33" s="17"/>
      <c r="E33" t="s">
        <v>389</v>
      </c>
      <c r="F33" s="45">
        <v>112500</v>
      </c>
      <c r="G33">
        <v>1</v>
      </c>
      <c r="H33" s="45">
        <f t="shared" si="0"/>
        <v>112500</v>
      </c>
    </row>
    <row r="34" spans="1:8" x14ac:dyDescent="0.3">
      <c r="A34">
        <v>30253</v>
      </c>
      <c r="B34" s="17">
        <v>45962</v>
      </c>
      <c r="C34" s="17" t="str">
        <f>_xlfn.XLOOKUP(Tabla5[[#This Row],[N° FACTURA]],Tabla3[N° FACTURA],Tabla3[Corregimiento],"NA")</f>
        <v>NA</v>
      </c>
      <c r="D34" s="17"/>
      <c r="E34" t="s">
        <v>390</v>
      </c>
      <c r="F34" s="45">
        <v>1750</v>
      </c>
      <c r="G34">
        <v>270</v>
      </c>
      <c r="H34" s="45">
        <f t="shared" si="0"/>
        <v>472500</v>
      </c>
    </row>
    <row r="35" spans="1:8" x14ac:dyDescent="0.3">
      <c r="A35">
        <v>30253</v>
      </c>
      <c r="B35" s="17">
        <v>45962</v>
      </c>
      <c r="C35" s="17" t="str">
        <f>_xlfn.XLOOKUP(Tabla5[[#This Row],[N° FACTURA]],Tabla3[N° FACTURA],Tabla3[Corregimiento],"NA")</f>
        <v>NA</v>
      </c>
      <c r="D35" s="17"/>
      <c r="E35" t="s">
        <v>391</v>
      </c>
      <c r="F35" s="45">
        <v>29600</v>
      </c>
      <c r="G35">
        <v>45</v>
      </c>
      <c r="H35" s="45">
        <f t="shared" si="0"/>
        <v>1332000</v>
      </c>
    </row>
    <row r="36" spans="1:8" x14ac:dyDescent="0.3">
      <c r="A36">
        <v>30253</v>
      </c>
      <c r="B36" s="17">
        <v>45962</v>
      </c>
      <c r="C36" s="17" t="str">
        <f>_xlfn.XLOOKUP(Tabla5[[#This Row],[N° FACTURA]],Tabla3[N° FACTURA],Tabla3[Corregimiento],"NA")</f>
        <v>NA</v>
      </c>
      <c r="D36" s="17"/>
      <c r="E36" t="s">
        <v>392</v>
      </c>
      <c r="F36" s="45">
        <v>21800</v>
      </c>
      <c r="G36">
        <v>1</v>
      </c>
      <c r="H36" s="45">
        <f t="shared" si="0"/>
        <v>21800</v>
      </c>
    </row>
    <row r="37" spans="1:8" x14ac:dyDescent="0.3">
      <c r="A37">
        <v>30253</v>
      </c>
      <c r="B37" s="17">
        <v>45962</v>
      </c>
      <c r="C37" s="17" t="str">
        <f>_xlfn.XLOOKUP(Tabla5[[#This Row],[N° FACTURA]],Tabla3[N° FACTURA],Tabla3[Corregimiento],"NA")</f>
        <v>NA</v>
      </c>
      <c r="D37" s="17"/>
      <c r="E37" t="s">
        <v>393</v>
      </c>
      <c r="F37" s="45">
        <v>102000</v>
      </c>
      <c r="G37">
        <v>4</v>
      </c>
      <c r="H37" s="45">
        <f t="shared" si="0"/>
        <v>408000</v>
      </c>
    </row>
    <row r="38" spans="1:8" x14ac:dyDescent="0.3">
      <c r="A38">
        <v>30253</v>
      </c>
      <c r="B38" s="17">
        <v>45962</v>
      </c>
      <c r="C38" s="17" t="str">
        <f>_xlfn.XLOOKUP(Tabla5[[#This Row],[N° FACTURA]],Tabla3[N° FACTURA],Tabla3[Corregimiento],"NA")</f>
        <v>NA</v>
      </c>
      <c r="D38" s="17"/>
      <c r="E38" t="s">
        <v>394</v>
      </c>
      <c r="F38" s="45">
        <v>31000</v>
      </c>
      <c r="G38">
        <v>30</v>
      </c>
      <c r="H38" s="45">
        <f t="shared" si="0"/>
        <v>930000</v>
      </c>
    </row>
    <row r="39" spans="1:8" x14ac:dyDescent="0.3">
      <c r="A39">
        <v>30253</v>
      </c>
      <c r="B39" s="17">
        <v>45962</v>
      </c>
      <c r="C39" s="17" t="str">
        <f>_xlfn.XLOOKUP(Tabla5[[#This Row],[N° FACTURA]],Tabla3[N° FACTURA],Tabla3[Corregimiento],"NA")</f>
        <v>NA</v>
      </c>
      <c r="D39" s="17"/>
      <c r="E39" t="s">
        <v>395</v>
      </c>
      <c r="F39" s="45">
        <v>15000</v>
      </c>
      <c r="G39">
        <v>60</v>
      </c>
      <c r="H39" s="45">
        <f t="shared" si="0"/>
        <v>900000</v>
      </c>
    </row>
    <row r="40" spans="1:8" x14ac:dyDescent="0.3">
      <c r="A40">
        <v>57971</v>
      </c>
      <c r="B40" s="17">
        <v>45962</v>
      </c>
      <c r="C40" s="17" t="str">
        <f>_xlfn.XLOOKUP(Tabla5[[#This Row],[N° FACTURA]],Tabla3[N° FACTURA],Tabla3[Corregimiento],"NA")</f>
        <v>NA</v>
      </c>
      <c r="D40" s="17"/>
      <c r="E40" t="s">
        <v>396</v>
      </c>
      <c r="F40" s="45">
        <v>22000</v>
      </c>
      <c r="G40">
        <v>21</v>
      </c>
      <c r="H40" s="45">
        <f t="shared" si="0"/>
        <v>462000</v>
      </c>
    </row>
    <row r="41" spans="1:8" x14ac:dyDescent="0.3">
      <c r="A41">
        <v>57971</v>
      </c>
      <c r="B41" s="17">
        <v>45962</v>
      </c>
      <c r="C41" s="17" t="str">
        <f>_xlfn.XLOOKUP(Tabla5[[#This Row],[N° FACTURA]],Tabla3[N° FACTURA],Tabla3[Corregimiento],"NA")</f>
        <v>NA</v>
      </c>
      <c r="D41" s="17"/>
      <c r="E41" t="s">
        <v>397</v>
      </c>
      <c r="F41" s="45">
        <v>24700</v>
      </c>
      <c r="G41">
        <v>12</v>
      </c>
      <c r="H41" s="45">
        <f t="shared" si="0"/>
        <v>296400</v>
      </c>
    </row>
    <row r="42" spans="1:8" x14ac:dyDescent="0.3">
      <c r="A42">
        <v>57971</v>
      </c>
      <c r="B42" s="17">
        <v>45962</v>
      </c>
      <c r="C42" s="17" t="str">
        <f>_xlfn.XLOOKUP(Tabla5[[#This Row],[N° FACTURA]],Tabla3[N° FACTURA],Tabla3[Corregimiento],"NA")</f>
        <v>NA</v>
      </c>
      <c r="D42" s="17"/>
      <c r="E42" t="s">
        <v>398</v>
      </c>
      <c r="F42" s="45">
        <v>51400</v>
      </c>
      <c r="G42">
        <v>4</v>
      </c>
      <c r="H42" s="45">
        <f t="shared" si="0"/>
        <v>205600</v>
      </c>
    </row>
    <row r="43" spans="1:8" x14ac:dyDescent="0.3">
      <c r="A43">
        <v>57669</v>
      </c>
      <c r="B43" s="17">
        <v>45962</v>
      </c>
      <c r="C43" s="17" t="str">
        <f>_xlfn.XLOOKUP(Tabla5[[#This Row],[N° FACTURA]],Tabla3[N° FACTURA],Tabla3[Corregimiento],"NA")</f>
        <v>NA</v>
      </c>
      <c r="D43" s="17"/>
      <c r="E43" t="s">
        <v>397</v>
      </c>
      <c r="F43" s="45">
        <v>24700</v>
      </c>
      <c r="G43">
        <v>2</v>
      </c>
      <c r="H43" s="45">
        <f t="shared" si="0"/>
        <v>49400</v>
      </c>
    </row>
    <row r="44" spans="1:8" x14ac:dyDescent="0.3">
      <c r="A44">
        <v>57669</v>
      </c>
      <c r="B44" s="17">
        <v>45962</v>
      </c>
      <c r="C44" s="17" t="str">
        <f>_xlfn.XLOOKUP(Tabla5[[#This Row],[N° FACTURA]],Tabla3[N° FACTURA],Tabla3[Corregimiento],"NA")</f>
        <v>NA</v>
      </c>
      <c r="D44" s="17"/>
      <c r="E44" t="s">
        <v>399</v>
      </c>
      <c r="F44" s="45">
        <v>230000</v>
      </c>
      <c r="G44">
        <v>1</v>
      </c>
      <c r="H44" s="45">
        <f t="shared" si="0"/>
        <v>230000</v>
      </c>
    </row>
    <row r="45" spans="1:8" x14ac:dyDescent="0.3">
      <c r="A45">
        <v>57669</v>
      </c>
      <c r="B45" s="17">
        <v>45963</v>
      </c>
      <c r="C45" s="17" t="str">
        <f>_xlfn.XLOOKUP(Tabla5[[#This Row],[N° FACTURA]],Tabla3[N° FACTURA],Tabla3[Corregimiento],"NA")</f>
        <v>NA</v>
      </c>
      <c r="D45" s="17"/>
      <c r="E45" t="s">
        <v>400</v>
      </c>
      <c r="F45" s="45">
        <v>7900</v>
      </c>
      <c r="G45">
        <v>2</v>
      </c>
      <c r="H45" s="45">
        <f t="shared" si="0"/>
        <v>15800</v>
      </c>
    </row>
    <row r="46" spans="1:8" x14ac:dyDescent="0.3">
      <c r="A46">
        <v>57669</v>
      </c>
      <c r="B46" s="17">
        <v>45964</v>
      </c>
      <c r="C46" s="17" t="str">
        <f>_xlfn.XLOOKUP(Tabla5[[#This Row],[N° FACTURA]],Tabla3[N° FACTURA],Tabla3[Corregimiento],"NA")</f>
        <v>NA</v>
      </c>
      <c r="D46" s="17"/>
      <c r="E46" t="s">
        <v>401</v>
      </c>
      <c r="F46" s="45">
        <v>155900</v>
      </c>
      <c r="G46">
        <v>1</v>
      </c>
      <c r="H46" s="45">
        <f t="shared" si="0"/>
        <v>155900</v>
      </c>
    </row>
    <row r="47" spans="1:8" x14ac:dyDescent="0.3">
      <c r="A47">
        <v>57669</v>
      </c>
      <c r="B47" s="17">
        <v>45965</v>
      </c>
      <c r="C47" s="17" t="str">
        <f>_xlfn.XLOOKUP(Tabla5[[#This Row],[N° FACTURA]],Tabla3[N° FACTURA],Tabla3[Corregimiento],"NA")</f>
        <v>NA</v>
      </c>
      <c r="D47" s="17"/>
      <c r="E47" t="s">
        <v>402</v>
      </c>
      <c r="F47" s="45">
        <v>20000</v>
      </c>
      <c r="G47">
        <v>3</v>
      </c>
      <c r="H47" s="45">
        <f t="shared" si="0"/>
        <v>60000</v>
      </c>
    </row>
    <row r="48" spans="1:8" x14ac:dyDescent="0.3">
      <c r="A48">
        <v>58124</v>
      </c>
      <c r="B48" s="17">
        <v>45967</v>
      </c>
      <c r="C48" s="17" t="str">
        <f>_xlfn.XLOOKUP(Tabla5[[#This Row],[N° FACTURA]],Tabla3[N° FACTURA],Tabla3[Corregimiento],"NA")</f>
        <v>NA</v>
      </c>
      <c r="D48" s="17"/>
      <c r="E48" t="s">
        <v>404</v>
      </c>
      <c r="F48" s="45">
        <v>31500</v>
      </c>
      <c r="G48">
        <v>12</v>
      </c>
      <c r="H48" s="45">
        <f t="shared" ref="H48:H79" si="1">F48*G48</f>
        <v>378000</v>
      </c>
    </row>
    <row r="49" spans="1:8" x14ac:dyDescent="0.3">
      <c r="A49">
        <v>30202</v>
      </c>
      <c r="B49" s="17">
        <v>45967</v>
      </c>
      <c r="C49" s="17" t="str">
        <f>_xlfn.XLOOKUP(Tabla5[[#This Row],[N° FACTURA]],Tabla3[N° FACTURA],Tabla3[Corregimiento],"NA")</f>
        <v>NA</v>
      </c>
      <c r="D49" s="17"/>
      <c r="E49" t="s">
        <v>405</v>
      </c>
      <c r="F49" s="45">
        <v>1400</v>
      </c>
      <c r="G49">
        <v>200</v>
      </c>
      <c r="H49" s="45">
        <f t="shared" si="1"/>
        <v>280000</v>
      </c>
    </row>
    <row r="50" spans="1:8" x14ac:dyDescent="0.3">
      <c r="A50">
        <v>30202</v>
      </c>
      <c r="B50" s="17">
        <v>45967</v>
      </c>
      <c r="C50" s="17" t="str">
        <f>_xlfn.XLOOKUP(Tabla5[[#This Row],[N° FACTURA]],Tabla3[N° FACTURA],Tabla3[Corregimiento],"NA")</f>
        <v>NA</v>
      </c>
      <c r="D50" s="17"/>
      <c r="E50" t="s">
        <v>376</v>
      </c>
      <c r="F50" s="45">
        <v>32000</v>
      </c>
      <c r="G50">
        <v>3</v>
      </c>
      <c r="H50" s="45">
        <f t="shared" si="1"/>
        <v>96000</v>
      </c>
    </row>
    <row r="51" spans="1:8" x14ac:dyDescent="0.3">
      <c r="A51">
        <v>30202</v>
      </c>
      <c r="B51" s="17">
        <v>45967</v>
      </c>
      <c r="C51" s="17" t="str">
        <f>_xlfn.XLOOKUP(Tabla5[[#This Row],[N° FACTURA]],Tabla3[N° FACTURA],Tabla3[Corregimiento],"NA")</f>
        <v>NA</v>
      </c>
      <c r="D51" s="17"/>
      <c r="E51" t="s">
        <v>406</v>
      </c>
      <c r="F51" s="45">
        <v>12000</v>
      </c>
      <c r="G51">
        <v>3</v>
      </c>
      <c r="H51" s="45">
        <f t="shared" si="1"/>
        <v>36000</v>
      </c>
    </row>
    <row r="52" spans="1:8" x14ac:dyDescent="0.3">
      <c r="A52">
        <v>30393</v>
      </c>
      <c r="B52" s="17">
        <v>45966</v>
      </c>
      <c r="C52" s="17" t="str">
        <f>_xlfn.XLOOKUP(Tabla5[[#This Row],[N° FACTURA]],Tabla3[N° FACTURA],Tabla3[Corregimiento],"NA")</f>
        <v>NA</v>
      </c>
      <c r="D52" s="17"/>
      <c r="E52" t="s">
        <v>376</v>
      </c>
      <c r="F52" s="45">
        <v>32000</v>
      </c>
      <c r="G52">
        <v>12</v>
      </c>
      <c r="H52" s="45">
        <f t="shared" si="1"/>
        <v>384000</v>
      </c>
    </row>
    <row r="53" spans="1:8" x14ac:dyDescent="0.3">
      <c r="A53">
        <v>30393</v>
      </c>
      <c r="B53" s="17">
        <v>45966</v>
      </c>
      <c r="C53" s="17" t="str">
        <f>_xlfn.XLOOKUP(Tabla5[[#This Row],[N° FACTURA]],Tabla3[N° FACTURA],Tabla3[Corregimiento],"NA")</f>
        <v>NA</v>
      </c>
      <c r="D53" s="17"/>
      <c r="E53" t="s">
        <v>379</v>
      </c>
      <c r="F53" s="45">
        <v>102000</v>
      </c>
      <c r="G53">
        <v>3</v>
      </c>
      <c r="H53" s="45">
        <f t="shared" si="1"/>
        <v>306000</v>
      </c>
    </row>
    <row r="54" spans="1:8" x14ac:dyDescent="0.3">
      <c r="A54">
        <v>30393</v>
      </c>
      <c r="B54" s="17">
        <v>45966</v>
      </c>
      <c r="C54" s="17" t="str">
        <f>_xlfn.XLOOKUP(Tabla5[[#This Row],[N° FACTURA]],Tabla3[N° FACTURA],Tabla3[Corregimiento],"NA")</f>
        <v>NA</v>
      </c>
      <c r="D54" s="17"/>
      <c r="E54" t="s">
        <v>407</v>
      </c>
      <c r="F54" s="45">
        <v>15500</v>
      </c>
      <c r="G54">
        <v>30</v>
      </c>
      <c r="H54" s="45">
        <f t="shared" si="1"/>
        <v>465000</v>
      </c>
    </row>
    <row r="55" spans="1:8" x14ac:dyDescent="0.3">
      <c r="A55">
        <v>30393</v>
      </c>
      <c r="B55" s="17">
        <v>45966</v>
      </c>
      <c r="C55" s="17" t="str">
        <f>_xlfn.XLOOKUP(Tabla5[[#This Row],[N° FACTURA]],Tabla3[N° FACTURA],Tabla3[Corregimiento],"NA")</f>
        <v>NA</v>
      </c>
      <c r="D55" s="17"/>
      <c r="E55" t="s">
        <v>406</v>
      </c>
      <c r="F55" s="45">
        <v>7000</v>
      </c>
      <c r="G55">
        <v>8</v>
      </c>
      <c r="H55" s="45">
        <f t="shared" si="1"/>
        <v>56000</v>
      </c>
    </row>
    <row r="56" spans="1:8" x14ac:dyDescent="0.3">
      <c r="A56">
        <v>30393</v>
      </c>
      <c r="B56" s="17">
        <v>45966</v>
      </c>
      <c r="C56" s="17" t="str">
        <f>_xlfn.XLOOKUP(Tabla5[[#This Row],[N° FACTURA]],Tabla3[N° FACTURA],Tabla3[Corregimiento],"NA")</f>
        <v>NA</v>
      </c>
      <c r="D56" s="17"/>
      <c r="E56" t="s">
        <v>408</v>
      </c>
      <c r="F56" s="45">
        <v>19500</v>
      </c>
      <c r="G56">
        <v>7</v>
      </c>
      <c r="H56" s="45">
        <f t="shared" si="1"/>
        <v>136500</v>
      </c>
    </row>
    <row r="57" spans="1:8" x14ac:dyDescent="0.3">
      <c r="A57">
        <v>30393</v>
      </c>
      <c r="B57" s="17">
        <v>45966</v>
      </c>
      <c r="C57" s="17" t="str">
        <f>_xlfn.XLOOKUP(Tabla5[[#This Row],[N° FACTURA]],Tabla3[N° FACTURA],Tabla3[Corregimiento],"NA")</f>
        <v>NA</v>
      </c>
      <c r="D57" s="17"/>
      <c r="E57" t="s">
        <v>409</v>
      </c>
      <c r="F57" s="45">
        <v>54500</v>
      </c>
      <c r="G57">
        <v>1</v>
      </c>
      <c r="H57" s="45">
        <f t="shared" si="1"/>
        <v>54500</v>
      </c>
    </row>
    <row r="58" spans="1:8" x14ac:dyDescent="0.3">
      <c r="A58">
        <v>30393</v>
      </c>
      <c r="B58" s="17">
        <v>45966</v>
      </c>
      <c r="C58" s="17" t="str">
        <f>_xlfn.XLOOKUP(Tabla5[[#This Row],[N° FACTURA]],Tabla3[N° FACTURA],Tabla3[Corregimiento],"NA")</f>
        <v>NA</v>
      </c>
      <c r="D58" s="17"/>
      <c r="E58" t="s">
        <v>410</v>
      </c>
      <c r="F58" s="45">
        <v>4500</v>
      </c>
      <c r="G58">
        <v>4</v>
      </c>
      <c r="H58" s="45">
        <f t="shared" si="1"/>
        <v>18000</v>
      </c>
    </row>
    <row r="59" spans="1:8" x14ac:dyDescent="0.3">
      <c r="A59">
        <v>30393</v>
      </c>
      <c r="B59" s="17">
        <v>45966</v>
      </c>
      <c r="C59" s="17" t="str">
        <f>_xlfn.XLOOKUP(Tabla5[[#This Row],[N° FACTURA]],Tabla3[N° FACTURA],Tabla3[Corregimiento],"NA")</f>
        <v>NA</v>
      </c>
      <c r="D59" s="17"/>
      <c r="E59" t="s">
        <v>411</v>
      </c>
      <c r="F59" s="45">
        <v>14500</v>
      </c>
      <c r="G59">
        <v>8</v>
      </c>
      <c r="H59" s="45">
        <f t="shared" si="1"/>
        <v>116000</v>
      </c>
    </row>
    <row r="60" spans="1:8" x14ac:dyDescent="0.3">
      <c r="A60">
        <v>30393</v>
      </c>
      <c r="B60" s="17">
        <v>45966</v>
      </c>
      <c r="C60" s="17" t="str">
        <f>_xlfn.XLOOKUP(Tabla5[[#This Row],[N° FACTURA]],Tabla3[N° FACTURA],Tabla3[Corregimiento],"NA")</f>
        <v>NA</v>
      </c>
      <c r="D60" s="17"/>
      <c r="E60" t="s">
        <v>412</v>
      </c>
      <c r="F60" s="45">
        <v>60000</v>
      </c>
      <c r="G60">
        <v>1</v>
      </c>
      <c r="H60" s="45">
        <f t="shared" si="1"/>
        <v>60000</v>
      </c>
    </row>
    <row r="61" spans="1:8" x14ac:dyDescent="0.3">
      <c r="A61">
        <v>58117</v>
      </c>
      <c r="B61" s="17">
        <v>45967</v>
      </c>
      <c r="C61" s="17" t="str">
        <f>_xlfn.XLOOKUP(Tabla5[[#This Row],[N° FACTURA]],Tabla3[N° FACTURA],Tabla3[Corregimiento],"NA")</f>
        <v>NA</v>
      </c>
      <c r="D61" s="17"/>
      <c r="E61" t="s">
        <v>379</v>
      </c>
      <c r="F61" s="45">
        <v>102000</v>
      </c>
      <c r="G61">
        <v>0.5</v>
      </c>
      <c r="H61" s="45">
        <f t="shared" si="1"/>
        <v>51000</v>
      </c>
    </row>
    <row r="62" spans="1:8" x14ac:dyDescent="0.3">
      <c r="A62">
        <v>58117</v>
      </c>
      <c r="B62" s="17">
        <v>45967</v>
      </c>
      <c r="C62" s="17" t="str">
        <f>_xlfn.XLOOKUP(Tabla5[[#This Row],[N° FACTURA]],Tabla3[N° FACTURA],Tabla3[Corregimiento],"NA")</f>
        <v>NA</v>
      </c>
      <c r="D62" s="17"/>
      <c r="E62" t="s">
        <v>413</v>
      </c>
      <c r="F62" s="45">
        <v>6300</v>
      </c>
      <c r="G62">
        <v>2</v>
      </c>
      <c r="H62" s="45">
        <f t="shared" si="1"/>
        <v>12600</v>
      </c>
    </row>
    <row r="63" spans="1:8" x14ac:dyDescent="0.3">
      <c r="A63">
        <v>58117</v>
      </c>
      <c r="B63" s="17">
        <v>45967</v>
      </c>
      <c r="C63" s="17" t="str">
        <f>_xlfn.XLOOKUP(Tabla5[[#This Row],[N° FACTURA]],Tabla3[N° FACTURA],Tabla3[Corregimiento],"NA")</f>
        <v>NA</v>
      </c>
      <c r="D63" s="17"/>
      <c r="E63" t="s">
        <v>414</v>
      </c>
      <c r="F63" s="45">
        <v>3700</v>
      </c>
      <c r="G63">
        <v>1</v>
      </c>
      <c r="H63" s="45">
        <f t="shared" si="1"/>
        <v>3700</v>
      </c>
    </row>
    <row r="64" spans="1:8" x14ac:dyDescent="0.3">
      <c r="A64">
        <v>30358</v>
      </c>
      <c r="B64" s="17">
        <v>45967</v>
      </c>
      <c r="C64" s="17" t="str">
        <f>_xlfn.XLOOKUP(Tabla5[[#This Row],[N° FACTURA]],Tabla3[N° FACTURA],Tabla3[Corregimiento],"NA")</f>
        <v>NA</v>
      </c>
      <c r="D64" s="17"/>
      <c r="E64" t="s">
        <v>415</v>
      </c>
      <c r="F64" s="45">
        <v>1400</v>
      </c>
      <c r="G64">
        <v>400</v>
      </c>
      <c r="H64" s="45">
        <f t="shared" si="1"/>
        <v>560000</v>
      </c>
    </row>
    <row r="65" spans="1:8" x14ac:dyDescent="0.3">
      <c r="A65">
        <v>30358</v>
      </c>
      <c r="B65" s="17">
        <v>45967</v>
      </c>
      <c r="C65" s="17" t="str">
        <f>_xlfn.XLOOKUP(Tabla5[[#This Row],[N° FACTURA]],Tabla3[N° FACTURA],Tabla3[Corregimiento],"NA")</f>
        <v>NA</v>
      </c>
      <c r="D65" s="17"/>
      <c r="E65" t="s">
        <v>416</v>
      </c>
      <c r="F65" s="45">
        <v>103000</v>
      </c>
      <c r="G65">
        <v>2</v>
      </c>
      <c r="H65" s="45">
        <f t="shared" si="1"/>
        <v>206000</v>
      </c>
    </row>
    <row r="66" spans="1:8" x14ac:dyDescent="0.3">
      <c r="A66">
        <v>30358</v>
      </c>
      <c r="B66" s="17">
        <v>45967</v>
      </c>
      <c r="C66" s="17" t="str">
        <f>_xlfn.XLOOKUP(Tabla5[[#This Row],[N° FACTURA]],Tabla3[N° FACTURA],Tabla3[Corregimiento],"NA")</f>
        <v>NA</v>
      </c>
      <c r="D66" s="17"/>
      <c r="E66" t="s">
        <v>417</v>
      </c>
      <c r="F66" s="45">
        <v>5000</v>
      </c>
      <c r="G66">
        <v>3</v>
      </c>
      <c r="H66" s="45">
        <f t="shared" si="1"/>
        <v>15000</v>
      </c>
    </row>
    <row r="67" spans="1:8" x14ac:dyDescent="0.3">
      <c r="A67">
        <v>30358</v>
      </c>
      <c r="B67" s="17">
        <v>45967</v>
      </c>
      <c r="C67" s="17" t="str">
        <f>_xlfn.XLOOKUP(Tabla5[[#This Row],[N° FACTURA]],Tabla3[N° FACTURA],Tabla3[Corregimiento],"NA")</f>
        <v>NA</v>
      </c>
      <c r="D67" s="17"/>
      <c r="E67" t="s">
        <v>418</v>
      </c>
      <c r="F67" s="45">
        <v>9700</v>
      </c>
      <c r="G67">
        <v>4</v>
      </c>
      <c r="H67" s="45">
        <f t="shared" si="1"/>
        <v>38800</v>
      </c>
    </row>
    <row r="68" spans="1:8" x14ac:dyDescent="0.3">
      <c r="A68">
        <v>30358</v>
      </c>
      <c r="B68" s="17">
        <v>45967</v>
      </c>
      <c r="C68" s="17" t="str">
        <f>_xlfn.XLOOKUP(Tabla5[[#This Row],[N° FACTURA]],Tabla3[N° FACTURA],Tabla3[Corregimiento],"NA")</f>
        <v>NA</v>
      </c>
      <c r="D68" s="17"/>
      <c r="E68" t="s">
        <v>419</v>
      </c>
      <c r="F68" s="45">
        <v>28200</v>
      </c>
      <c r="G68">
        <v>8</v>
      </c>
      <c r="H68" s="45">
        <f t="shared" si="1"/>
        <v>225600</v>
      </c>
    </row>
    <row r="69" spans="1:8" x14ac:dyDescent="0.3">
      <c r="A69">
        <v>30358</v>
      </c>
      <c r="B69" s="17">
        <v>45967</v>
      </c>
      <c r="C69" s="17" t="str">
        <f>_xlfn.XLOOKUP(Tabla5[[#This Row],[N° FACTURA]],Tabla3[N° FACTURA],Tabla3[Corregimiento],"NA")</f>
        <v>NA</v>
      </c>
      <c r="D69" s="17"/>
      <c r="E69" t="s">
        <v>376</v>
      </c>
      <c r="F69" s="45">
        <v>32000</v>
      </c>
      <c r="G69">
        <v>7</v>
      </c>
      <c r="H69" s="45">
        <f t="shared" si="1"/>
        <v>224000</v>
      </c>
    </row>
    <row r="70" spans="1:8" x14ac:dyDescent="0.3">
      <c r="A70">
        <v>30358</v>
      </c>
      <c r="B70" s="17">
        <v>45967</v>
      </c>
      <c r="C70" s="17" t="str">
        <f>_xlfn.XLOOKUP(Tabla5[[#This Row],[N° FACTURA]],Tabla3[N° FACTURA],Tabla3[Corregimiento],"NA")</f>
        <v>NA</v>
      </c>
      <c r="D70" s="17"/>
      <c r="E70" t="s">
        <v>379</v>
      </c>
      <c r="F70" s="45">
        <v>102000</v>
      </c>
      <c r="G70">
        <v>1</v>
      </c>
      <c r="H70" s="45">
        <f t="shared" si="1"/>
        <v>102000</v>
      </c>
    </row>
    <row r="71" spans="1:8" x14ac:dyDescent="0.3">
      <c r="A71">
        <v>30358</v>
      </c>
      <c r="B71" s="17">
        <v>45967</v>
      </c>
      <c r="C71" s="17" t="str">
        <f>_xlfn.XLOOKUP(Tabla5[[#This Row],[N° FACTURA]],Tabla3[N° FACTURA],Tabla3[Corregimiento],"NA")</f>
        <v>NA</v>
      </c>
      <c r="D71" s="17"/>
      <c r="E71" t="s">
        <v>420</v>
      </c>
      <c r="F71" s="45">
        <v>102000</v>
      </c>
      <c r="G71">
        <v>1</v>
      </c>
      <c r="H71" s="45">
        <f t="shared" si="1"/>
        <v>102000</v>
      </c>
    </row>
    <row r="72" spans="1:8" x14ac:dyDescent="0.3">
      <c r="A72">
        <v>30358</v>
      </c>
      <c r="B72" s="17">
        <v>45967</v>
      </c>
      <c r="C72" s="17" t="str">
        <f>_xlfn.XLOOKUP(Tabla5[[#This Row],[N° FACTURA]],Tabla3[N° FACTURA],Tabla3[Corregimiento],"NA")</f>
        <v>NA</v>
      </c>
      <c r="D72" s="17"/>
      <c r="E72" t="s">
        <v>421</v>
      </c>
      <c r="F72" s="45">
        <v>7000</v>
      </c>
      <c r="G72">
        <v>2</v>
      </c>
      <c r="H72" s="45">
        <f t="shared" si="1"/>
        <v>14000</v>
      </c>
    </row>
    <row r="73" spans="1:8" x14ac:dyDescent="0.3">
      <c r="A73">
        <v>30358</v>
      </c>
      <c r="B73" s="17">
        <v>45967</v>
      </c>
      <c r="C73" s="17" t="str">
        <f>_xlfn.XLOOKUP(Tabla5[[#This Row],[N° FACTURA]],Tabla3[N° FACTURA],Tabla3[Corregimiento],"NA")</f>
        <v>NA</v>
      </c>
      <c r="D73" s="17"/>
      <c r="E73" t="s">
        <v>408</v>
      </c>
      <c r="F73" s="45">
        <v>19500</v>
      </c>
      <c r="G73">
        <v>4</v>
      </c>
      <c r="H73" s="45">
        <f t="shared" si="1"/>
        <v>78000</v>
      </c>
    </row>
    <row r="74" spans="1:8" x14ac:dyDescent="0.3">
      <c r="A74">
        <v>30358</v>
      </c>
      <c r="B74" s="17">
        <v>45967</v>
      </c>
      <c r="C74" s="17" t="str">
        <f>_xlfn.XLOOKUP(Tabla5[[#This Row],[N° FACTURA]],Tabla3[N° FACTURA],Tabla3[Corregimiento],"NA")</f>
        <v>NA</v>
      </c>
      <c r="D74" s="17"/>
      <c r="E74" t="s">
        <v>422</v>
      </c>
      <c r="F74" s="45">
        <v>5300</v>
      </c>
      <c r="G74">
        <v>7</v>
      </c>
      <c r="H74" s="45">
        <f t="shared" si="1"/>
        <v>37100</v>
      </c>
    </row>
    <row r="75" spans="1:8" x14ac:dyDescent="0.3">
      <c r="A75">
        <v>58026</v>
      </c>
      <c r="B75" s="17">
        <v>45964</v>
      </c>
      <c r="C75" s="17" t="str">
        <f>_xlfn.XLOOKUP(Tabla5[[#This Row],[N° FACTURA]],Tabla3[N° FACTURA],Tabla3[Corregimiento],"NA")</f>
        <v>NA</v>
      </c>
      <c r="D75" s="17"/>
      <c r="E75" t="s">
        <v>423</v>
      </c>
      <c r="F75" s="45">
        <v>102000</v>
      </c>
      <c r="G75">
        <v>3</v>
      </c>
      <c r="H75" s="45">
        <f t="shared" si="1"/>
        <v>306000</v>
      </c>
    </row>
    <row r="76" spans="1:8" x14ac:dyDescent="0.3">
      <c r="A76">
        <v>58026</v>
      </c>
      <c r="B76" s="17">
        <v>45964</v>
      </c>
      <c r="C76" s="17" t="str">
        <f>_xlfn.XLOOKUP(Tabla5[[#This Row],[N° FACTURA]],Tabla3[N° FACTURA],Tabla3[Corregimiento],"NA")</f>
        <v>NA</v>
      </c>
      <c r="D76" s="17"/>
      <c r="E76" t="s">
        <v>376</v>
      </c>
      <c r="F76" s="45">
        <v>32000</v>
      </c>
      <c r="G76">
        <v>15</v>
      </c>
      <c r="H76" s="45">
        <f t="shared" si="1"/>
        <v>480000</v>
      </c>
    </row>
    <row r="77" spans="1:8" x14ac:dyDescent="0.3">
      <c r="A77">
        <v>58024</v>
      </c>
      <c r="B77" s="17">
        <v>45964</v>
      </c>
      <c r="C77" s="17" t="str">
        <f>_xlfn.XLOOKUP(Tabla5[[#This Row],[N° FACTURA]],Tabla3[N° FACTURA],Tabla3[Corregimiento],"NA")</f>
        <v>El Carmen</v>
      </c>
      <c r="D77" s="17"/>
      <c r="E77" t="s">
        <v>420</v>
      </c>
      <c r="F77" s="45">
        <v>51000</v>
      </c>
      <c r="G77">
        <v>1</v>
      </c>
      <c r="H77" s="45">
        <f t="shared" si="1"/>
        <v>51000</v>
      </c>
    </row>
    <row r="78" spans="1:8" x14ac:dyDescent="0.3">
      <c r="A78">
        <v>58024</v>
      </c>
      <c r="B78" s="17">
        <v>45964</v>
      </c>
      <c r="C78" s="17" t="str">
        <f>_xlfn.XLOOKUP(Tabla5[[#This Row],[N° FACTURA]],Tabla3[N° FACTURA],Tabla3[Corregimiento],"NA")</f>
        <v>El Carmen</v>
      </c>
      <c r="D78" s="17"/>
      <c r="E78" t="s">
        <v>376</v>
      </c>
      <c r="F78" s="45">
        <v>32000</v>
      </c>
      <c r="G78">
        <v>4</v>
      </c>
      <c r="H78" s="45">
        <f t="shared" si="1"/>
        <v>128000</v>
      </c>
    </row>
    <row r="79" spans="1:8" x14ac:dyDescent="0.3">
      <c r="A79">
        <v>58024</v>
      </c>
      <c r="B79" s="17">
        <v>45964</v>
      </c>
      <c r="C79" s="17" t="str">
        <f>_xlfn.XLOOKUP(Tabla5[[#This Row],[N° FACTURA]],Tabla3[N° FACTURA],Tabla3[Corregimiento],"NA")</f>
        <v>El Carmen</v>
      </c>
      <c r="D79" s="17"/>
      <c r="E79" t="s">
        <v>424</v>
      </c>
      <c r="F79" s="45">
        <v>124000</v>
      </c>
      <c r="G79">
        <v>0.5</v>
      </c>
      <c r="H79" s="45">
        <f t="shared" si="1"/>
        <v>62000</v>
      </c>
    </row>
    <row r="80" spans="1:8" x14ac:dyDescent="0.3">
      <c r="A80">
        <v>57691</v>
      </c>
      <c r="B80" s="17">
        <v>45959</v>
      </c>
      <c r="C80" s="17" t="str">
        <f>_xlfn.XLOOKUP(Tabla5[[#This Row],[N° FACTURA]],Tabla3[N° FACTURA],Tabla3[Corregimiento],"NA")</f>
        <v>NA</v>
      </c>
      <c r="D80" s="17"/>
      <c r="E80" t="s">
        <v>425</v>
      </c>
      <c r="F80" s="45">
        <v>112000</v>
      </c>
      <c r="G80">
        <v>2</v>
      </c>
      <c r="H80" s="45">
        <f t="shared" ref="H80:H111" si="2">F80*G80</f>
        <v>224000</v>
      </c>
    </row>
    <row r="81" spans="1:8" x14ac:dyDescent="0.3">
      <c r="A81">
        <v>57925</v>
      </c>
      <c r="B81" s="17" t="s">
        <v>122</v>
      </c>
      <c r="C81" s="17" t="str">
        <f>_xlfn.XLOOKUP(Tabla5[[#This Row],[N° FACTURA]],Tabla3[N° FACTURA],Tabla3[Corregimiento],"NA")</f>
        <v>NA</v>
      </c>
      <c r="D81" s="17"/>
      <c r="E81" t="s">
        <v>426</v>
      </c>
      <c r="F81" s="45">
        <v>19500</v>
      </c>
      <c r="G81">
        <v>4</v>
      </c>
      <c r="H81" s="45">
        <f t="shared" si="2"/>
        <v>78000</v>
      </c>
    </row>
    <row r="82" spans="1:8" x14ac:dyDescent="0.3">
      <c r="A82">
        <v>57925</v>
      </c>
      <c r="B82" s="17"/>
      <c r="C82" s="17" t="str">
        <f>_xlfn.XLOOKUP(Tabla5[[#This Row],[N° FACTURA]],Tabla3[N° FACTURA],Tabla3[Corregimiento],"NA")</f>
        <v>NA</v>
      </c>
      <c r="D82" s="17"/>
      <c r="E82" t="s">
        <v>379</v>
      </c>
      <c r="F82" s="45">
        <v>102000</v>
      </c>
      <c r="G82">
        <v>0.5</v>
      </c>
      <c r="H82" s="45">
        <f t="shared" si="2"/>
        <v>51000</v>
      </c>
    </row>
    <row r="83" spans="1:8" x14ac:dyDescent="0.3">
      <c r="A83">
        <v>58036</v>
      </c>
      <c r="B83" s="17"/>
      <c r="C83" s="17" t="str">
        <f>_xlfn.XLOOKUP(Tabla5[[#This Row],[N° FACTURA]],Tabla3[N° FACTURA],Tabla3[Corregimiento],"NA")</f>
        <v>NA</v>
      </c>
      <c r="D83" s="17"/>
      <c r="E83" t="s">
        <v>427</v>
      </c>
      <c r="F83" s="45">
        <v>44700</v>
      </c>
      <c r="G83">
        <v>3</v>
      </c>
      <c r="H83" s="45">
        <f t="shared" si="2"/>
        <v>134100</v>
      </c>
    </row>
    <row r="84" spans="1:8" x14ac:dyDescent="0.3">
      <c r="A84">
        <v>58036</v>
      </c>
      <c r="B84" s="17"/>
      <c r="C84" s="17" t="str">
        <f>_xlfn.XLOOKUP(Tabla5[[#This Row],[N° FACTURA]],Tabla3[N° FACTURA],Tabla3[Corregimiento],"NA")</f>
        <v>NA</v>
      </c>
      <c r="D84" s="17"/>
      <c r="E84" t="s">
        <v>428</v>
      </c>
      <c r="F84" s="45">
        <v>67000</v>
      </c>
      <c r="G84">
        <v>3</v>
      </c>
      <c r="H84" s="45">
        <f t="shared" si="2"/>
        <v>201000</v>
      </c>
    </row>
    <row r="85" spans="1:8" x14ac:dyDescent="0.3">
      <c r="A85">
        <v>58036</v>
      </c>
      <c r="B85" s="17"/>
      <c r="C85" s="17" t="str">
        <f>_xlfn.XLOOKUP(Tabla5[[#This Row],[N° FACTURA]],Tabla3[N° FACTURA],Tabla3[Corregimiento],"NA")</f>
        <v>NA</v>
      </c>
      <c r="D85" s="17"/>
      <c r="E85" t="s">
        <v>429</v>
      </c>
      <c r="F85" s="45">
        <v>460000</v>
      </c>
      <c r="G85">
        <v>1.5</v>
      </c>
      <c r="H85" s="45">
        <f t="shared" si="2"/>
        <v>690000</v>
      </c>
    </row>
    <row r="86" spans="1:8" x14ac:dyDescent="0.3">
      <c r="A86">
        <v>58036</v>
      </c>
      <c r="B86" s="17"/>
      <c r="C86" s="17" t="str">
        <f>_xlfn.XLOOKUP(Tabla5[[#This Row],[N° FACTURA]],Tabla3[N° FACTURA],Tabla3[Corregimiento],"NA")</f>
        <v>NA</v>
      </c>
      <c r="D86" s="17"/>
      <c r="E86" t="s">
        <v>430</v>
      </c>
      <c r="F86" s="45">
        <v>1500</v>
      </c>
      <c r="G86">
        <v>50</v>
      </c>
      <c r="H86" s="45">
        <f t="shared" si="2"/>
        <v>75000</v>
      </c>
    </row>
    <row r="87" spans="1:8" x14ac:dyDescent="0.3">
      <c r="A87">
        <v>58036</v>
      </c>
      <c r="B87" s="17"/>
      <c r="C87" s="17" t="str">
        <f>_xlfn.XLOOKUP(Tabla5[[#This Row],[N° FACTURA]],Tabla3[N° FACTURA],Tabla3[Corregimiento],"NA")</f>
        <v>NA</v>
      </c>
      <c r="D87" s="17"/>
      <c r="E87" t="s">
        <v>394</v>
      </c>
      <c r="F87" s="45">
        <v>31000</v>
      </c>
      <c r="G87">
        <v>3</v>
      </c>
      <c r="H87" s="45">
        <f t="shared" si="2"/>
        <v>93000</v>
      </c>
    </row>
    <row r="88" spans="1:8" x14ac:dyDescent="0.3">
      <c r="A88">
        <v>58036</v>
      </c>
      <c r="B88" s="17"/>
      <c r="C88" s="17" t="str">
        <f>_xlfn.XLOOKUP(Tabla5[[#This Row],[N° FACTURA]],Tabla3[N° FACTURA],Tabla3[Corregimiento],"NA")</f>
        <v>NA</v>
      </c>
      <c r="D88" s="17"/>
      <c r="E88" t="s">
        <v>387</v>
      </c>
      <c r="F88" s="45">
        <v>107000</v>
      </c>
      <c r="G88">
        <v>1</v>
      </c>
      <c r="H88" s="45">
        <f t="shared" si="2"/>
        <v>107000</v>
      </c>
    </row>
    <row r="89" spans="1:8" x14ac:dyDescent="0.3">
      <c r="A89">
        <v>58036</v>
      </c>
      <c r="B89" s="17"/>
      <c r="C89" s="17" t="str">
        <f>_xlfn.XLOOKUP(Tabla5[[#This Row],[N° FACTURA]],Tabla3[N° FACTURA],Tabla3[Corregimiento],"NA")</f>
        <v>NA</v>
      </c>
      <c r="D89" s="17"/>
      <c r="E89" t="s">
        <v>431</v>
      </c>
      <c r="F89" s="45">
        <v>88000</v>
      </c>
      <c r="G89">
        <v>0.5</v>
      </c>
      <c r="H89" s="45">
        <f t="shared" si="2"/>
        <v>44000</v>
      </c>
    </row>
    <row r="90" spans="1:8" x14ac:dyDescent="0.3">
      <c r="A90">
        <v>58036</v>
      </c>
      <c r="B90" s="17"/>
      <c r="C90" s="17" t="str">
        <f>_xlfn.XLOOKUP(Tabla5[[#This Row],[N° FACTURA]],Tabla3[N° FACTURA],Tabla3[Corregimiento],"NA")</f>
        <v>NA</v>
      </c>
      <c r="D90" s="17"/>
      <c r="E90" t="s">
        <v>432</v>
      </c>
      <c r="F90" s="45">
        <v>6000</v>
      </c>
      <c r="G90">
        <v>2</v>
      </c>
      <c r="H90" s="45">
        <f t="shared" si="2"/>
        <v>12000</v>
      </c>
    </row>
    <row r="91" spans="1:8" x14ac:dyDescent="0.3">
      <c r="A91">
        <v>58036</v>
      </c>
      <c r="B91" s="17"/>
      <c r="C91" s="17" t="str">
        <f>_xlfn.XLOOKUP(Tabla5[[#This Row],[N° FACTURA]],Tabla3[N° FACTURA],Tabla3[Corregimiento],"NA")</f>
        <v>NA</v>
      </c>
      <c r="D91" s="17"/>
      <c r="E91" t="s">
        <v>433</v>
      </c>
      <c r="F91" s="45">
        <v>7500</v>
      </c>
      <c r="G91">
        <v>1</v>
      </c>
      <c r="H91" s="45">
        <f t="shared" si="2"/>
        <v>7500</v>
      </c>
    </row>
    <row r="92" spans="1:8" x14ac:dyDescent="0.3">
      <c r="A92">
        <v>57685</v>
      </c>
      <c r="B92" s="17">
        <v>45962</v>
      </c>
      <c r="C92" s="17" t="str">
        <f>_xlfn.XLOOKUP(Tabla5[[#This Row],[N° FACTURA]],Tabla3[N° FACTURA],Tabla3[Corregimiento],"NA")</f>
        <v>El Palmar</v>
      </c>
      <c r="D92" s="17"/>
      <c r="E92" t="s">
        <v>434</v>
      </c>
      <c r="F92" s="45">
        <v>67000</v>
      </c>
      <c r="G92">
        <v>5</v>
      </c>
      <c r="H92" s="45">
        <f t="shared" si="2"/>
        <v>335000</v>
      </c>
    </row>
    <row r="93" spans="1:8" x14ac:dyDescent="0.3">
      <c r="A93">
        <v>30411</v>
      </c>
      <c r="B93" s="17">
        <v>45965</v>
      </c>
      <c r="C93" s="17" t="str">
        <f>_xlfn.XLOOKUP(Tabla5[[#This Row],[N° FACTURA]],Tabla3[N° FACTURA],Tabla3[Corregimiento],"NA")</f>
        <v>NA</v>
      </c>
      <c r="D93" s="17"/>
      <c r="E93" t="s">
        <v>435</v>
      </c>
      <c r="F93" s="45">
        <v>101500</v>
      </c>
      <c r="G93">
        <v>2</v>
      </c>
      <c r="H93" s="45">
        <f t="shared" si="2"/>
        <v>203000</v>
      </c>
    </row>
    <row r="94" spans="1:8" x14ac:dyDescent="0.3">
      <c r="A94">
        <v>30411</v>
      </c>
      <c r="B94" s="17"/>
      <c r="C94" s="17" t="str">
        <f>_xlfn.XLOOKUP(Tabla5[[#This Row],[N° FACTURA]],Tabla3[N° FACTURA],Tabla3[Corregimiento],"NA")</f>
        <v>NA</v>
      </c>
      <c r="D94" s="17"/>
      <c r="E94" t="s">
        <v>436</v>
      </c>
      <c r="F94" s="45">
        <v>200</v>
      </c>
      <c r="G94">
        <v>2</v>
      </c>
      <c r="H94" s="45">
        <f t="shared" si="2"/>
        <v>400</v>
      </c>
    </row>
    <row r="95" spans="1:8" x14ac:dyDescent="0.3">
      <c r="A95">
        <v>30411</v>
      </c>
      <c r="B95" s="17"/>
      <c r="C95" s="17" t="str">
        <f>_xlfn.XLOOKUP(Tabla5[[#This Row],[N° FACTURA]],Tabla3[N° FACTURA],Tabla3[Corregimiento],"NA")</f>
        <v>NA</v>
      </c>
      <c r="D95" s="17"/>
      <c r="E95" t="s">
        <v>376</v>
      </c>
      <c r="F95" s="45">
        <v>32000</v>
      </c>
      <c r="G95">
        <v>1</v>
      </c>
      <c r="H95" s="45">
        <f t="shared" si="2"/>
        <v>32000</v>
      </c>
    </row>
    <row r="96" spans="1:8" x14ac:dyDescent="0.3">
      <c r="A96">
        <v>30411</v>
      </c>
      <c r="B96" s="17"/>
      <c r="C96" s="17" t="str">
        <f>_xlfn.XLOOKUP(Tabla5[[#This Row],[N° FACTURA]],Tabla3[N° FACTURA],Tabla3[Corregimiento],"NA")</f>
        <v>NA</v>
      </c>
      <c r="D96" s="17"/>
      <c r="E96" t="s">
        <v>379</v>
      </c>
      <c r="F96" s="45">
        <v>102000</v>
      </c>
      <c r="G96">
        <v>0.25</v>
      </c>
      <c r="H96" s="45">
        <f t="shared" si="2"/>
        <v>25500</v>
      </c>
    </row>
    <row r="97" spans="1:8" x14ac:dyDescent="0.3">
      <c r="A97">
        <v>30377</v>
      </c>
      <c r="B97" s="17">
        <v>45965</v>
      </c>
      <c r="C97" s="17" t="str">
        <f>_xlfn.XLOOKUP(Tabla5[[#This Row],[N° FACTURA]],Tabla3[N° FACTURA],Tabla3[Corregimiento],"NA")</f>
        <v>NA</v>
      </c>
      <c r="D97" s="17"/>
      <c r="E97" t="s">
        <v>437</v>
      </c>
      <c r="F97" s="45">
        <v>29500</v>
      </c>
      <c r="G97">
        <v>3</v>
      </c>
      <c r="H97" s="45">
        <f t="shared" si="2"/>
        <v>88500</v>
      </c>
    </row>
    <row r="98" spans="1:8" x14ac:dyDescent="0.3">
      <c r="A98">
        <v>30401</v>
      </c>
      <c r="B98" s="17">
        <v>45963</v>
      </c>
      <c r="C98" s="17" t="str">
        <f>_xlfn.XLOOKUP(Tabla5[[#This Row],[N° FACTURA]],Tabla3[N° FACTURA],Tabla3[Corregimiento],"NA")</f>
        <v>NA</v>
      </c>
      <c r="D98" s="17"/>
      <c r="E98" t="s">
        <v>438</v>
      </c>
      <c r="F98" s="45">
        <v>102000</v>
      </c>
      <c r="G98">
        <v>0.5</v>
      </c>
      <c r="H98" s="45">
        <f t="shared" si="2"/>
        <v>51000</v>
      </c>
    </row>
    <row r="99" spans="1:8" x14ac:dyDescent="0.3">
      <c r="A99">
        <v>30401</v>
      </c>
      <c r="B99" s="17"/>
      <c r="C99" s="17" t="str">
        <f>_xlfn.XLOOKUP(Tabla5[[#This Row],[N° FACTURA]],Tabla3[N° FACTURA],Tabla3[Corregimiento],"NA")</f>
        <v>NA</v>
      </c>
      <c r="D99" s="17"/>
      <c r="E99" t="s">
        <v>439</v>
      </c>
      <c r="F99" s="45">
        <v>125000</v>
      </c>
      <c r="G99">
        <v>0.5</v>
      </c>
      <c r="H99" s="45">
        <f t="shared" si="2"/>
        <v>62500</v>
      </c>
    </row>
    <row r="100" spans="1:8" x14ac:dyDescent="0.3">
      <c r="A100">
        <v>30401</v>
      </c>
      <c r="B100" s="17"/>
      <c r="C100" s="17" t="str">
        <f>_xlfn.XLOOKUP(Tabla5[[#This Row],[N° FACTURA]],Tabla3[N° FACTURA],Tabla3[Corregimiento],"NA")</f>
        <v>NA</v>
      </c>
      <c r="D100" s="17"/>
      <c r="E100" t="s">
        <v>376</v>
      </c>
      <c r="F100" s="45">
        <v>32000</v>
      </c>
      <c r="G100">
        <v>7</v>
      </c>
      <c r="H100" s="45">
        <f t="shared" si="2"/>
        <v>224000</v>
      </c>
    </row>
    <row r="101" spans="1:8" x14ac:dyDescent="0.3">
      <c r="A101">
        <v>30401</v>
      </c>
      <c r="B101" s="17"/>
      <c r="C101" s="17" t="str">
        <f>_xlfn.XLOOKUP(Tabla5[[#This Row],[N° FACTURA]],Tabla3[N° FACTURA],Tabla3[Corregimiento],"NA")</f>
        <v>NA</v>
      </c>
      <c r="D101" s="17"/>
      <c r="E101" t="s">
        <v>440</v>
      </c>
      <c r="F101" s="45">
        <v>11000</v>
      </c>
      <c r="G101">
        <v>2</v>
      </c>
      <c r="H101" s="45">
        <f t="shared" si="2"/>
        <v>22000</v>
      </c>
    </row>
    <row r="102" spans="1:8" x14ac:dyDescent="0.3">
      <c r="A102">
        <v>58066</v>
      </c>
      <c r="B102" s="17">
        <v>45966</v>
      </c>
      <c r="C102" s="17" t="str">
        <f>_xlfn.XLOOKUP(Tabla5[[#This Row],[N° FACTURA]],Tabla3[N° FACTURA],Tabla3[Corregimiento],"NA")</f>
        <v>NA</v>
      </c>
      <c r="D102" s="17"/>
      <c r="E102" t="s">
        <v>441</v>
      </c>
      <c r="F102" s="45">
        <v>174000</v>
      </c>
      <c r="G102">
        <v>1</v>
      </c>
      <c r="H102" s="45">
        <f t="shared" si="2"/>
        <v>174000</v>
      </c>
    </row>
    <row r="103" spans="1:8" x14ac:dyDescent="0.3">
      <c r="A103">
        <v>58104</v>
      </c>
      <c r="B103" s="17">
        <v>45966</v>
      </c>
      <c r="C103" s="17" t="str">
        <f>_xlfn.XLOOKUP(Tabla5[[#This Row],[N° FACTURA]],Tabla3[N° FACTURA],Tabla3[Corregimiento],"NA")</f>
        <v>El Carmen</v>
      </c>
      <c r="D103" s="17"/>
      <c r="E103" t="s">
        <v>379</v>
      </c>
      <c r="F103" s="45">
        <v>102000</v>
      </c>
      <c r="G103">
        <v>3</v>
      </c>
      <c r="H103" s="45">
        <f t="shared" si="2"/>
        <v>306000</v>
      </c>
    </row>
    <row r="104" spans="1:8" x14ac:dyDescent="0.3">
      <c r="A104">
        <v>57737</v>
      </c>
      <c r="B104" s="17">
        <v>45966</v>
      </c>
      <c r="C104" s="17" t="str">
        <f>_xlfn.XLOOKUP(Tabla5[[#This Row],[N° FACTURA]],Tabla3[N° FACTURA],Tabla3[Corregimiento],"NA")</f>
        <v>El Carmen</v>
      </c>
      <c r="D104" s="17"/>
      <c r="E104" t="s">
        <v>442</v>
      </c>
      <c r="F104" s="45">
        <v>1100</v>
      </c>
      <c r="G104">
        <v>150</v>
      </c>
      <c r="H104" s="45">
        <f t="shared" si="2"/>
        <v>165000</v>
      </c>
    </row>
    <row r="105" spans="1:8" x14ac:dyDescent="0.3">
      <c r="A105">
        <v>57737</v>
      </c>
      <c r="B105" s="17"/>
      <c r="C105" s="17" t="str">
        <f>_xlfn.XLOOKUP(Tabla5[[#This Row],[N° FACTURA]],Tabla3[N° FACTURA],Tabla3[Corregimiento],"NA")</f>
        <v>El Carmen</v>
      </c>
      <c r="D105" s="17"/>
      <c r="E105" t="s">
        <v>376</v>
      </c>
      <c r="F105" s="45">
        <v>32000</v>
      </c>
      <c r="G105">
        <v>2</v>
      </c>
      <c r="H105" s="45">
        <f t="shared" si="2"/>
        <v>64000</v>
      </c>
    </row>
    <row r="106" spans="1:8" x14ac:dyDescent="0.3">
      <c r="A106">
        <v>57737</v>
      </c>
      <c r="B106" s="17"/>
      <c r="C106" s="17" t="str">
        <f>_xlfn.XLOOKUP(Tabla5[[#This Row],[N° FACTURA]],Tabla3[N° FACTURA],Tabla3[Corregimiento],"NA")</f>
        <v>El Carmen</v>
      </c>
      <c r="D106" s="17"/>
      <c r="E106" t="s">
        <v>420</v>
      </c>
      <c r="F106" s="45">
        <v>102000</v>
      </c>
      <c r="G106">
        <v>0.25</v>
      </c>
      <c r="H106" s="45">
        <f t="shared" si="2"/>
        <v>25500</v>
      </c>
    </row>
    <row r="107" spans="1:8" x14ac:dyDescent="0.3">
      <c r="A107">
        <v>30383</v>
      </c>
      <c r="B107" s="17">
        <v>45966</v>
      </c>
      <c r="C107" s="17" t="str">
        <f>_xlfn.XLOOKUP(Tabla5[[#This Row],[N° FACTURA]],Tabla3[N° FACTURA],Tabla3[Corregimiento],"NA")</f>
        <v>NA</v>
      </c>
      <c r="D107" s="17"/>
      <c r="E107" t="s">
        <v>443</v>
      </c>
      <c r="F107" s="45">
        <v>102000</v>
      </c>
      <c r="G107">
        <v>0.5</v>
      </c>
      <c r="H107" s="45">
        <f t="shared" si="2"/>
        <v>51000</v>
      </c>
    </row>
    <row r="108" spans="1:8" x14ac:dyDescent="0.3">
      <c r="A108">
        <v>30383</v>
      </c>
      <c r="B108" s="17"/>
      <c r="C108" s="17" t="str">
        <f>_xlfn.XLOOKUP(Tabla5[[#This Row],[N° FACTURA]],Tabla3[N° FACTURA],Tabla3[Corregimiento],"NA")</f>
        <v>NA</v>
      </c>
      <c r="D108" s="17"/>
      <c r="E108" t="s">
        <v>376</v>
      </c>
      <c r="F108" s="45">
        <v>32000</v>
      </c>
      <c r="G108">
        <v>1</v>
      </c>
      <c r="H108" s="45">
        <f t="shared" si="2"/>
        <v>32000</v>
      </c>
    </row>
    <row r="109" spans="1:8" x14ac:dyDescent="0.3">
      <c r="A109">
        <v>30383</v>
      </c>
      <c r="B109" s="17"/>
      <c r="C109" s="17" t="str">
        <f>_xlfn.XLOOKUP(Tabla5[[#This Row],[N° FACTURA]],Tabla3[N° FACTURA],Tabla3[Corregimiento],"NA")</f>
        <v>NA</v>
      </c>
      <c r="D109" s="17"/>
      <c r="E109" t="s">
        <v>444</v>
      </c>
      <c r="F109" s="45">
        <v>18000</v>
      </c>
      <c r="G109">
        <v>2</v>
      </c>
      <c r="H109" s="45">
        <f t="shared" si="2"/>
        <v>36000</v>
      </c>
    </row>
    <row r="110" spans="1:8" x14ac:dyDescent="0.3">
      <c r="A110">
        <v>30383</v>
      </c>
      <c r="B110" s="17"/>
      <c r="C110" s="17" t="str">
        <f>_xlfn.XLOOKUP(Tabla5[[#This Row],[N° FACTURA]],Tabla3[N° FACTURA],Tabla3[Corregimiento],"NA")</f>
        <v>NA</v>
      </c>
      <c r="D110" s="17"/>
      <c r="E110" t="s">
        <v>445</v>
      </c>
      <c r="F110" s="45">
        <v>3800</v>
      </c>
      <c r="G110">
        <v>4</v>
      </c>
      <c r="H110" s="45">
        <f t="shared" si="2"/>
        <v>15200</v>
      </c>
    </row>
    <row r="111" spans="1:8" x14ac:dyDescent="0.3">
      <c r="A111">
        <v>30518</v>
      </c>
      <c r="B111" s="17">
        <v>45974</v>
      </c>
      <c r="C111" s="17" t="str">
        <f>_xlfn.XLOOKUP(Tabla5[[#This Row],[N° FACTURA]],Tabla3[N° FACTURA],Tabla3[Corregimiento],"NA")</f>
        <v>El Carmen</v>
      </c>
      <c r="D111" s="17"/>
      <c r="E111" t="s">
        <v>446</v>
      </c>
      <c r="F111" s="45">
        <v>15600</v>
      </c>
      <c r="G111">
        <v>6</v>
      </c>
      <c r="H111" s="45">
        <f t="shared" si="2"/>
        <v>93600</v>
      </c>
    </row>
    <row r="112" spans="1:8" x14ac:dyDescent="0.3">
      <c r="A112">
        <v>30518</v>
      </c>
      <c r="B112" s="17"/>
      <c r="C112" s="17" t="str">
        <f>_xlfn.XLOOKUP(Tabla5[[#This Row],[N° FACTURA]],Tabla3[N° FACTURA],Tabla3[Corregimiento],"NA")</f>
        <v>El Carmen</v>
      </c>
      <c r="D112" s="17"/>
      <c r="E112" t="s">
        <v>408</v>
      </c>
      <c r="F112" s="45">
        <v>19500</v>
      </c>
      <c r="G112">
        <v>3</v>
      </c>
      <c r="H112" s="45">
        <f t="shared" ref="H112:H143" si="3">F112*G112</f>
        <v>58500</v>
      </c>
    </row>
    <row r="113" spans="1:8" x14ac:dyDescent="0.3">
      <c r="A113">
        <v>58449</v>
      </c>
      <c r="B113" s="17">
        <v>45980</v>
      </c>
      <c r="C113" s="17" t="str">
        <f>_xlfn.XLOOKUP(Tabla5[[#This Row],[N° FACTURA]],Tabla3[N° FACTURA],Tabla3[Corregimiento],"NA")</f>
        <v>El Carmen</v>
      </c>
      <c r="D113" s="17"/>
      <c r="E113" t="s">
        <v>423</v>
      </c>
      <c r="F113" s="45">
        <v>102000</v>
      </c>
      <c r="G113">
        <v>1.5</v>
      </c>
      <c r="H113" s="45">
        <f t="shared" si="3"/>
        <v>153000</v>
      </c>
    </row>
    <row r="114" spans="1:8" x14ac:dyDescent="0.3">
      <c r="A114">
        <v>30538</v>
      </c>
      <c r="B114" s="17">
        <v>45975</v>
      </c>
      <c r="C114" s="17" t="str">
        <f>_xlfn.XLOOKUP(Tabla5[[#This Row],[N° FACTURA]],Tabla3[N° FACTURA],Tabla3[Corregimiento],"NA")</f>
        <v>NA</v>
      </c>
      <c r="D114" s="17"/>
      <c r="E114" t="s">
        <v>447</v>
      </c>
      <c r="F114" s="45">
        <v>31500</v>
      </c>
      <c r="G114">
        <v>4</v>
      </c>
      <c r="H114" s="45">
        <f t="shared" si="3"/>
        <v>126000</v>
      </c>
    </row>
    <row r="115" spans="1:8" x14ac:dyDescent="0.3">
      <c r="A115">
        <v>30538</v>
      </c>
      <c r="B115" s="17"/>
      <c r="C115" s="17" t="str">
        <f>_xlfn.XLOOKUP(Tabla5[[#This Row],[N° FACTURA]],Tabla3[N° FACTURA],Tabla3[Corregimiento],"NA")</f>
        <v>NA</v>
      </c>
      <c r="D115" s="17"/>
      <c r="E115" t="s">
        <v>448</v>
      </c>
      <c r="F115" s="45">
        <v>4500</v>
      </c>
      <c r="G115">
        <v>7</v>
      </c>
      <c r="H115" s="45">
        <f t="shared" si="3"/>
        <v>31500</v>
      </c>
    </row>
    <row r="116" spans="1:8" x14ac:dyDescent="0.3">
      <c r="A116">
        <v>30538</v>
      </c>
      <c r="B116" s="17"/>
      <c r="C116" s="17" t="str">
        <f>_xlfn.XLOOKUP(Tabla5[[#This Row],[N° FACTURA]],Tabla3[N° FACTURA],Tabla3[Corregimiento],"NA")</f>
        <v>NA</v>
      </c>
      <c r="D116" s="17"/>
      <c r="E116" t="s">
        <v>449</v>
      </c>
      <c r="F116" s="45">
        <v>4500</v>
      </c>
      <c r="G116">
        <v>6</v>
      </c>
      <c r="H116" s="45">
        <f t="shared" si="3"/>
        <v>27000</v>
      </c>
    </row>
    <row r="117" spans="1:8" x14ac:dyDescent="0.3">
      <c r="A117">
        <v>30538</v>
      </c>
      <c r="B117" s="17"/>
      <c r="C117" s="17" t="str">
        <f>_xlfn.XLOOKUP(Tabla5[[#This Row],[N° FACTURA]],Tabla3[N° FACTURA],Tabla3[Corregimiento],"NA")</f>
        <v>NA</v>
      </c>
      <c r="D117" s="17"/>
      <c r="E117" t="s">
        <v>450</v>
      </c>
      <c r="F117" s="45">
        <v>20000</v>
      </c>
      <c r="G117">
        <v>2</v>
      </c>
      <c r="H117" s="45">
        <f t="shared" si="3"/>
        <v>40000</v>
      </c>
    </row>
    <row r="118" spans="1:8" x14ac:dyDescent="0.3">
      <c r="A118">
        <v>30538</v>
      </c>
      <c r="B118" s="17"/>
      <c r="C118" s="17" t="str">
        <f>_xlfn.XLOOKUP(Tabla5[[#This Row],[N° FACTURA]],Tabla3[N° FACTURA],Tabla3[Corregimiento],"NA")</f>
        <v>NA</v>
      </c>
      <c r="D118" s="17"/>
      <c r="E118" t="s">
        <v>451</v>
      </c>
      <c r="F118" s="45">
        <v>40</v>
      </c>
      <c r="G118">
        <v>200</v>
      </c>
      <c r="H118" s="45">
        <f t="shared" si="3"/>
        <v>8000</v>
      </c>
    </row>
    <row r="119" spans="1:8" x14ac:dyDescent="0.3">
      <c r="A119">
        <v>30538</v>
      </c>
      <c r="B119" s="17"/>
      <c r="C119" s="17" t="str">
        <f>_xlfn.XLOOKUP(Tabla5[[#This Row],[N° FACTURA]],Tabla3[N° FACTURA],Tabla3[Corregimiento],"NA")</f>
        <v>NA</v>
      </c>
      <c r="D119" s="17"/>
      <c r="E119" t="s">
        <v>452</v>
      </c>
      <c r="F119" s="45">
        <v>45</v>
      </c>
      <c r="G119">
        <v>100</v>
      </c>
      <c r="H119" s="45">
        <f t="shared" si="3"/>
        <v>4500</v>
      </c>
    </row>
    <row r="120" spans="1:8" x14ac:dyDescent="0.3">
      <c r="A120">
        <v>30538</v>
      </c>
      <c r="B120" s="17"/>
      <c r="C120" s="17" t="str">
        <f>_xlfn.XLOOKUP(Tabla5[[#This Row],[N° FACTURA]],Tabla3[N° FACTURA],Tabla3[Corregimiento],"NA")</f>
        <v>NA</v>
      </c>
      <c r="D120" s="17"/>
      <c r="E120" t="s">
        <v>453</v>
      </c>
      <c r="F120" s="45">
        <v>1500</v>
      </c>
      <c r="G120">
        <v>7</v>
      </c>
      <c r="H120" s="45">
        <f t="shared" si="3"/>
        <v>10500</v>
      </c>
    </row>
    <row r="121" spans="1:8" x14ac:dyDescent="0.3">
      <c r="A121">
        <v>30538</v>
      </c>
      <c r="B121" s="17"/>
      <c r="C121" s="17" t="str">
        <f>_xlfn.XLOOKUP(Tabla5[[#This Row],[N° FACTURA]],Tabla3[N° FACTURA],Tabla3[Corregimiento],"NA")</f>
        <v>NA</v>
      </c>
      <c r="D121" s="17"/>
      <c r="E121" t="s">
        <v>454</v>
      </c>
      <c r="F121" s="45">
        <v>5000</v>
      </c>
      <c r="G121">
        <v>6</v>
      </c>
      <c r="H121" s="45">
        <f t="shared" si="3"/>
        <v>30000</v>
      </c>
    </row>
    <row r="122" spans="1:8" x14ac:dyDescent="0.3">
      <c r="A122">
        <v>30538</v>
      </c>
      <c r="B122" s="17"/>
      <c r="C122" s="17" t="str">
        <f>_xlfn.XLOOKUP(Tabla5[[#This Row],[N° FACTURA]],Tabla3[N° FACTURA],Tabla3[Corregimiento],"NA")</f>
        <v>NA</v>
      </c>
      <c r="D122" s="17"/>
      <c r="E122" t="s">
        <v>455</v>
      </c>
      <c r="F122" s="45">
        <v>4800</v>
      </c>
      <c r="G122">
        <v>5</v>
      </c>
      <c r="H122" s="45">
        <f t="shared" si="3"/>
        <v>24000</v>
      </c>
    </row>
    <row r="123" spans="1:8" x14ac:dyDescent="0.3">
      <c r="A123">
        <v>30538</v>
      </c>
      <c r="B123" s="17"/>
      <c r="C123" s="17" t="str">
        <f>_xlfn.XLOOKUP(Tabla5[[#This Row],[N° FACTURA]],Tabla3[N° FACTURA],Tabla3[Corregimiento],"NA")</f>
        <v>NA</v>
      </c>
      <c r="D123" s="17"/>
      <c r="E123" t="s">
        <v>456</v>
      </c>
      <c r="F123" s="45">
        <v>10300</v>
      </c>
      <c r="G123">
        <v>2</v>
      </c>
      <c r="H123" s="45">
        <f t="shared" si="3"/>
        <v>20600</v>
      </c>
    </row>
    <row r="124" spans="1:8" x14ac:dyDescent="0.3">
      <c r="A124">
        <v>30538</v>
      </c>
      <c r="B124" s="17"/>
      <c r="C124" s="17" t="str">
        <f>_xlfn.XLOOKUP(Tabla5[[#This Row],[N° FACTURA]],Tabla3[N° FACTURA],Tabla3[Corregimiento],"NA")</f>
        <v>NA</v>
      </c>
      <c r="D124" s="17"/>
      <c r="E124" t="s">
        <v>457</v>
      </c>
      <c r="F124" s="45">
        <v>2500</v>
      </c>
      <c r="G124">
        <v>1</v>
      </c>
      <c r="H124" s="45">
        <f t="shared" si="3"/>
        <v>2500</v>
      </c>
    </row>
    <row r="125" spans="1:8" x14ac:dyDescent="0.3">
      <c r="A125">
        <v>30538</v>
      </c>
      <c r="B125" s="17"/>
      <c r="C125" s="17" t="str">
        <f>_xlfn.XLOOKUP(Tabla5[[#This Row],[N° FACTURA]],Tabla3[N° FACTURA],Tabla3[Corregimiento],"NA")</f>
        <v>NA</v>
      </c>
      <c r="D125" s="17"/>
      <c r="E125" t="s">
        <v>458</v>
      </c>
      <c r="F125" s="45">
        <v>150</v>
      </c>
      <c r="G125">
        <v>10</v>
      </c>
      <c r="H125" s="45">
        <f t="shared" si="3"/>
        <v>1500</v>
      </c>
    </row>
    <row r="126" spans="1:8" x14ac:dyDescent="0.3">
      <c r="A126">
        <v>30538</v>
      </c>
      <c r="B126" s="17"/>
      <c r="C126" s="17" t="str">
        <f>_xlfn.XLOOKUP(Tabla5[[#This Row],[N° FACTURA]],Tabla3[N° FACTURA],Tabla3[Corregimiento],"NA")</f>
        <v>NA</v>
      </c>
      <c r="D126" s="17"/>
      <c r="E126" t="s">
        <v>459</v>
      </c>
      <c r="F126" s="45">
        <v>47800</v>
      </c>
      <c r="G126">
        <v>1</v>
      </c>
      <c r="H126" s="45">
        <f t="shared" si="3"/>
        <v>47800</v>
      </c>
    </row>
    <row r="127" spans="1:8" x14ac:dyDescent="0.3">
      <c r="A127">
        <v>58435</v>
      </c>
      <c r="B127" s="17">
        <v>45975</v>
      </c>
      <c r="C127" s="17" t="str">
        <f>_xlfn.XLOOKUP(Tabla5[[#This Row],[N° FACTURA]],Tabla3[N° FACTURA],Tabla3[Corregimiento],"NA")</f>
        <v>NA</v>
      </c>
      <c r="D127" s="17"/>
      <c r="E127" t="s">
        <v>460</v>
      </c>
      <c r="F127" s="45">
        <v>8500</v>
      </c>
      <c r="G127">
        <v>8</v>
      </c>
      <c r="H127" s="45">
        <f t="shared" si="3"/>
        <v>68000</v>
      </c>
    </row>
    <row r="128" spans="1:8" x14ac:dyDescent="0.3">
      <c r="A128">
        <v>58435</v>
      </c>
      <c r="B128" s="17"/>
      <c r="C128" s="17" t="str">
        <f>_xlfn.XLOOKUP(Tabla5[[#This Row],[N° FACTURA]],Tabla3[N° FACTURA],Tabla3[Corregimiento],"NA")</f>
        <v>NA</v>
      </c>
      <c r="D128" s="17"/>
      <c r="E128" t="s">
        <v>461</v>
      </c>
      <c r="F128" s="45">
        <v>1000</v>
      </c>
      <c r="G128">
        <v>2</v>
      </c>
      <c r="H128" s="45">
        <f t="shared" si="3"/>
        <v>2000</v>
      </c>
    </row>
    <row r="129" spans="1:8" x14ac:dyDescent="0.3">
      <c r="A129">
        <v>58435</v>
      </c>
      <c r="B129" s="17"/>
      <c r="C129" s="17" t="str">
        <f>_xlfn.XLOOKUP(Tabla5[[#This Row],[N° FACTURA]],Tabla3[N° FACTURA],Tabla3[Corregimiento],"NA")</f>
        <v>NA</v>
      </c>
      <c r="D129" s="17"/>
      <c r="E129" t="s">
        <v>462</v>
      </c>
      <c r="F129" s="45">
        <v>48000</v>
      </c>
      <c r="G129">
        <v>2</v>
      </c>
      <c r="H129" s="45">
        <f t="shared" si="3"/>
        <v>96000</v>
      </c>
    </row>
    <row r="130" spans="1:8" x14ac:dyDescent="0.3">
      <c r="A130">
        <v>58435</v>
      </c>
      <c r="B130" s="17"/>
      <c r="C130" s="17" t="str">
        <f>_xlfn.XLOOKUP(Tabla5[[#This Row],[N° FACTURA]],Tabla3[N° FACTURA],Tabla3[Corregimiento],"NA")</f>
        <v>NA</v>
      </c>
      <c r="D130" s="17"/>
      <c r="E130" t="s">
        <v>463</v>
      </c>
      <c r="F130" s="45">
        <v>2000</v>
      </c>
      <c r="G130">
        <v>3</v>
      </c>
      <c r="H130" s="45">
        <f t="shared" si="3"/>
        <v>6000</v>
      </c>
    </row>
    <row r="131" spans="1:8" x14ac:dyDescent="0.3">
      <c r="A131">
        <v>58524</v>
      </c>
      <c r="B131" s="17">
        <v>45976</v>
      </c>
      <c r="C131" s="17" t="str">
        <f>_xlfn.XLOOKUP(Tabla5[[#This Row],[N° FACTURA]],Tabla3[N° FACTURA],Tabla3[Corregimiento],"NA")</f>
        <v>NA</v>
      </c>
      <c r="D131" s="17"/>
      <c r="E131" t="s">
        <v>394</v>
      </c>
      <c r="F131" s="45">
        <v>31000</v>
      </c>
      <c r="G131">
        <v>8</v>
      </c>
      <c r="H131" s="45">
        <f t="shared" si="3"/>
        <v>248000</v>
      </c>
    </row>
    <row r="132" spans="1:8" x14ac:dyDescent="0.3">
      <c r="A132">
        <v>58517</v>
      </c>
      <c r="B132" s="17">
        <v>45976</v>
      </c>
      <c r="C132" s="17" t="str">
        <f>_xlfn.XLOOKUP(Tabla5[[#This Row],[N° FACTURA]],Tabla3[N° FACTURA],Tabla3[Corregimiento],"NA")</f>
        <v>El Carmen</v>
      </c>
      <c r="D132" s="17"/>
      <c r="E132" t="s">
        <v>464</v>
      </c>
      <c r="F132" s="45">
        <v>278500</v>
      </c>
      <c r="G132">
        <v>1</v>
      </c>
      <c r="H132" s="45">
        <f t="shared" si="3"/>
        <v>278500</v>
      </c>
    </row>
    <row r="133" spans="1:8" x14ac:dyDescent="0.3">
      <c r="A133">
        <v>58517</v>
      </c>
      <c r="B133" s="17"/>
      <c r="C133" s="17" t="str">
        <f>_xlfn.XLOOKUP(Tabla5[[#This Row],[N° FACTURA]],Tabla3[N° FACTURA],Tabla3[Corregimiento],"NA")</f>
        <v>El Carmen</v>
      </c>
      <c r="D133" s="17"/>
      <c r="E133" t="s">
        <v>465</v>
      </c>
      <c r="F133" s="45">
        <v>100000</v>
      </c>
      <c r="G133">
        <v>1</v>
      </c>
      <c r="H133" s="45">
        <f t="shared" si="3"/>
        <v>100000</v>
      </c>
    </row>
    <row r="134" spans="1:8" x14ac:dyDescent="0.3">
      <c r="A134">
        <v>58508</v>
      </c>
      <c r="B134" s="17">
        <v>45976</v>
      </c>
      <c r="C134" s="17" t="str">
        <f>_xlfn.XLOOKUP(Tabla5[[#This Row],[N° FACTURA]],Tabla3[N° FACTURA],Tabla3[Corregimiento],"NA")</f>
        <v>NA</v>
      </c>
      <c r="D134" s="17"/>
      <c r="E134" t="s">
        <v>466</v>
      </c>
      <c r="F134" s="45">
        <v>1185</v>
      </c>
      <c r="G134">
        <v>81</v>
      </c>
      <c r="H134" s="45">
        <f t="shared" si="3"/>
        <v>95985</v>
      </c>
    </row>
    <row r="135" spans="1:8" x14ac:dyDescent="0.3">
      <c r="A135">
        <v>58508</v>
      </c>
      <c r="B135" s="17"/>
      <c r="C135" s="17" t="str">
        <f>_xlfn.XLOOKUP(Tabla5[[#This Row],[N° FACTURA]],Tabla3[N° FACTURA],Tabla3[Corregimiento],"NA")</f>
        <v>NA</v>
      </c>
      <c r="D135" s="17"/>
      <c r="E135" t="s">
        <v>467</v>
      </c>
      <c r="F135" s="45">
        <v>6000</v>
      </c>
      <c r="G135">
        <v>2</v>
      </c>
      <c r="H135" s="45">
        <f t="shared" si="3"/>
        <v>12000</v>
      </c>
    </row>
    <row r="136" spans="1:8" x14ac:dyDescent="0.3">
      <c r="A136">
        <v>58508</v>
      </c>
      <c r="B136" s="17"/>
      <c r="C136" s="17" t="str">
        <f>_xlfn.XLOOKUP(Tabla5[[#This Row],[N° FACTURA]],Tabla3[N° FACTURA],Tabla3[Corregimiento],"NA")</f>
        <v>NA</v>
      </c>
      <c r="D136" s="17"/>
      <c r="E136" t="s">
        <v>468</v>
      </c>
      <c r="F136" s="45">
        <v>6000</v>
      </c>
      <c r="G136">
        <v>8</v>
      </c>
      <c r="H136" s="45">
        <f t="shared" si="3"/>
        <v>48000</v>
      </c>
    </row>
    <row r="137" spans="1:8" x14ac:dyDescent="0.3">
      <c r="A137">
        <v>58508</v>
      </c>
      <c r="B137" s="17"/>
      <c r="C137" s="17" t="str">
        <f>_xlfn.XLOOKUP(Tabla5[[#This Row],[N° FACTURA]],Tabla3[N° FACTURA],Tabla3[Corregimiento],"NA")</f>
        <v>NA</v>
      </c>
      <c r="D137" s="17"/>
      <c r="E137" t="s">
        <v>469</v>
      </c>
      <c r="F137" s="45">
        <v>70000</v>
      </c>
      <c r="G137">
        <v>1</v>
      </c>
      <c r="H137" s="45">
        <f t="shared" si="3"/>
        <v>70000</v>
      </c>
    </row>
    <row r="138" spans="1:8" x14ac:dyDescent="0.3">
      <c r="A138">
        <v>58000</v>
      </c>
      <c r="B138" s="17"/>
      <c r="C138" s="17" t="str">
        <f>_xlfn.XLOOKUP(Tabla5[[#This Row],[N° FACTURA]],Tabla3[N° FACTURA],Tabla3[Corregimiento],"NA")</f>
        <v>NA</v>
      </c>
      <c r="D138" s="17"/>
      <c r="E138" t="s">
        <v>470</v>
      </c>
      <c r="F138" s="45">
        <v>3600</v>
      </c>
      <c r="G138">
        <v>1</v>
      </c>
      <c r="H138" s="45">
        <f t="shared" si="3"/>
        <v>3600</v>
      </c>
    </row>
    <row r="139" spans="1:8" x14ac:dyDescent="0.3">
      <c r="A139">
        <v>58000</v>
      </c>
      <c r="B139" s="17"/>
      <c r="C139" s="17" t="str">
        <f>_xlfn.XLOOKUP(Tabla5[[#This Row],[N° FACTURA]],Tabla3[N° FACTURA],Tabla3[Corregimiento],"NA")</f>
        <v>NA</v>
      </c>
      <c r="D139" s="17"/>
      <c r="E139" t="s">
        <v>471</v>
      </c>
      <c r="F139" s="45">
        <v>35300</v>
      </c>
      <c r="G139">
        <v>1</v>
      </c>
      <c r="H139" s="45">
        <f t="shared" si="3"/>
        <v>35300</v>
      </c>
    </row>
    <row r="140" spans="1:8" x14ac:dyDescent="0.3">
      <c r="A140">
        <v>58000</v>
      </c>
      <c r="B140" s="17"/>
      <c r="C140" s="17" t="str">
        <f>_xlfn.XLOOKUP(Tabla5[[#This Row],[N° FACTURA]],Tabla3[N° FACTURA],Tabla3[Corregimiento],"NA")</f>
        <v>NA</v>
      </c>
      <c r="D140" s="17"/>
      <c r="E140" t="s">
        <v>372</v>
      </c>
      <c r="F140" s="45">
        <v>700</v>
      </c>
      <c r="G140">
        <v>1</v>
      </c>
      <c r="H140" s="45">
        <f t="shared" si="3"/>
        <v>700</v>
      </c>
    </row>
    <row r="141" spans="1:8" x14ac:dyDescent="0.3">
      <c r="A141">
        <v>57968</v>
      </c>
      <c r="B141" s="17">
        <v>45974</v>
      </c>
      <c r="C141" s="17" t="str">
        <f>_xlfn.XLOOKUP(Tabla5[[#This Row],[N° FACTURA]],Tabla3[N° FACTURA],Tabla3[Corregimiento],"NA")</f>
        <v>NA</v>
      </c>
      <c r="D141" s="17"/>
      <c r="E141" s="17" t="s">
        <v>472</v>
      </c>
      <c r="F141" s="45">
        <v>28500</v>
      </c>
      <c r="G141">
        <v>12</v>
      </c>
      <c r="H141" s="45">
        <f t="shared" si="3"/>
        <v>342000</v>
      </c>
    </row>
    <row r="142" spans="1:8" x14ac:dyDescent="0.3">
      <c r="A142">
        <v>58454</v>
      </c>
      <c r="B142" s="17">
        <v>45974</v>
      </c>
      <c r="C142" s="17" t="str">
        <f>_xlfn.XLOOKUP(Tabla5[[#This Row],[N° FACTURA]],Tabla3[N° FACTURA],Tabla3[Corregimiento],"NA")</f>
        <v>NA</v>
      </c>
      <c r="D142" s="17"/>
      <c r="E142" t="s">
        <v>473</v>
      </c>
      <c r="F142" s="45">
        <v>116500</v>
      </c>
      <c r="G142">
        <v>2</v>
      </c>
      <c r="H142" s="45">
        <f t="shared" si="3"/>
        <v>233000</v>
      </c>
    </row>
    <row r="143" spans="1:8" x14ac:dyDescent="0.3">
      <c r="A143">
        <v>58454</v>
      </c>
      <c r="B143" s="17"/>
      <c r="C143" s="17" t="str">
        <f>_xlfn.XLOOKUP(Tabla5[[#This Row],[N° FACTURA]],Tabla3[N° FACTURA],Tabla3[Corregimiento],"NA")</f>
        <v>NA</v>
      </c>
      <c r="D143" s="17"/>
      <c r="E143" t="s">
        <v>474</v>
      </c>
      <c r="F143" s="45">
        <v>28900</v>
      </c>
      <c r="G143">
        <v>2</v>
      </c>
      <c r="H143" s="45">
        <f t="shared" si="3"/>
        <v>57800</v>
      </c>
    </row>
    <row r="144" spans="1:8" x14ac:dyDescent="0.3">
      <c r="A144">
        <v>58454</v>
      </c>
      <c r="B144" s="17"/>
      <c r="C144" s="17" t="str">
        <f>_xlfn.XLOOKUP(Tabla5[[#This Row],[N° FACTURA]],Tabla3[N° FACTURA],Tabla3[Corregimiento],"NA")</f>
        <v>NA</v>
      </c>
      <c r="D144" s="17"/>
      <c r="E144" t="s">
        <v>475</v>
      </c>
      <c r="F144" s="45">
        <v>29000</v>
      </c>
      <c r="G144">
        <v>2</v>
      </c>
      <c r="H144" s="45">
        <f t="shared" ref="H144:H175" si="4">F144*G144</f>
        <v>58000</v>
      </c>
    </row>
    <row r="145" spans="1:8" x14ac:dyDescent="0.3">
      <c r="A145">
        <v>58466</v>
      </c>
      <c r="B145" s="17">
        <v>45974</v>
      </c>
      <c r="C145" s="17" t="str">
        <f>_xlfn.XLOOKUP(Tabla5[[#This Row],[N° FACTURA]],Tabla3[N° FACTURA],Tabla3[Corregimiento],"NA")</f>
        <v>Borrero Ayerbe</v>
      </c>
      <c r="D145" s="17"/>
      <c r="E145" t="s">
        <v>394</v>
      </c>
      <c r="F145" s="45">
        <v>31000</v>
      </c>
      <c r="G145">
        <v>4</v>
      </c>
      <c r="H145" s="45">
        <f t="shared" si="4"/>
        <v>124000</v>
      </c>
    </row>
    <row r="146" spans="1:8" x14ac:dyDescent="0.3">
      <c r="A146">
        <v>58466</v>
      </c>
      <c r="B146" s="17"/>
      <c r="C146" s="17" t="str">
        <f>_xlfn.XLOOKUP(Tabla5[[#This Row],[N° FACTURA]],Tabla3[N° FACTURA],Tabla3[Corregimiento],"NA")</f>
        <v>Borrero Ayerbe</v>
      </c>
      <c r="D146" s="17"/>
      <c r="E146" t="s">
        <v>387</v>
      </c>
      <c r="F146" s="45">
        <v>107000</v>
      </c>
      <c r="G146">
        <v>1</v>
      </c>
      <c r="H146" s="45">
        <f t="shared" si="4"/>
        <v>107000</v>
      </c>
    </row>
    <row r="147" spans="1:8" x14ac:dyDescent="0.3">
      <c r="A147">
        <v>58457</v>
      </c>
      <c r="B147" s="17">
        <v>45974</v>
      </c>
      <c r="C147" s="17" t="str">
        <f>_xlfn.XLOOKUP(Tabla5[[#This Row],[N° FACTURA]],Tabla3[N° FACTURA],Tabla3[Corregimiento],"NA")</f>
        <v>Borrero Ayerbe</v>
      </c>
      <c r="D147" s="17"/>
      <c r="E147" t="s">
        <v>370</v>
      </c>
      <c r="F147" s="45">
        <v>2300</v>
      </c>
      <c r="G147">
        <v>1</v>
      </c>
      <c r="H147" s="45">
        <f t="shared" si="4"/>
        <v>2300</v>
      </c>
    </row>
    <row r="148" spans="1:8" x14ac:dyDescent="0.3">
      <c r="A148">
        <v>58457</v>
      </c>
      <c r="B148" s="17">
        <v>45974</v>
      </c>
      <c r="C148" s="17" t="str">
        <f>_xlfn.XLOOKUP(Tabla5[[#This Row],[N° FACTURA]],Tabla3[N° FACTURA],Tabla3[Corregimiento],"NA")</f>
        <v>Borrero Ayerbe</v>
      </c>
      <c r="D148" s="17"/>
      <c r="E148" t="s">
        <v>428</v>
      </c>
      <c r="F148" s="45">
        <v>6000</v>
      </c>
      <c r="G148">
        <v>1.5</v>
      </c>
      <c r="H148" s="45">
        <f t="shared" si="4"/>
        <v>9000</v>
      </c>
    </row>
    <row r="149" spans="1:8" x14ac:dyDescent="0.3">
      <c r="A149">
        <v>58457</v>
      </c>
      <c r="B149" s="17">
        <v>45975</v>
      </c>
      <c r="C149" s="17" t="str">
        <f>_xlfn.XLOOKUP(Tabla5[[#This Row],[N° FACTURA]],Tabla3[N° FACTURA],Tabla3[Corregimiento],"NA")</f>
        <v>Borrero Ayerbe</v>
      </c>
      <c r="D149" s="17"/>
      <c r="E149" t="s">
        <v>476</v>
      </c>
      <c r="F149" s="45">
        <v>2700</v>
      </c>
      <c r="G149">
        <v>1</v>
      </c>
      <c r="H149" s="45">
        <f t="shared" si="4"/>
        <v>2700</v>
      </c>
    </row>
    <row r="150" spans="1:8" x14ac:dyDescent="0.3">
      <c r="A150">
        <v>58457</v>
      </c>
      <c r="B150" s="17">
        <v>45976</v>
      </c>
      <c r="C150" s="17" t="str">
        <f>_xlfn.XLOOKUP(Tabla5[[#This Row],[N° FACTURA]],Tabla3[N° FACTURA],Tabla3[Corregimiento],"NA")</f>
        <v>Borrero Ayerbe</v>
      </c>
      <c r="D150" s="17"/>
      <c r="E150" t="s">
        <v>438</v>
      </c>
      <c r="F150" s="45">
        <v>102000</v>
      </c>
      <c r="G150">
        <v>1</v>
      </c>
      <c r="H150" s="45">
        <f t="shared" si="4"/>
        <v>102000</v>
      </c>
    </row>
    <row r="151" spans="1:8" x14ac:dyDescent="0.3">
      <c r="A151">
        <v>58457</v>
      </c>
      <c r="B151" s="17">
        <v>45977</v>
      </c>
      <c r="C151" s="17" t="str">
        <f>_xlfn.XLOOKUP(Tabla5[[#This Row],[N° FACTURA]],Tabla3[N° FACTURA],Tabla3[Corregimiento],"NA")</f>
        <v>Borrero Ayerbe</v>
      </c>
      <c r="D151" s="17"/>
      <c r="E151" t="s">
        <v>477</v>
      </c>
      <c r="F151" s="45">
        <v>32000</v>
      </c>
      <c r="G151">
        <v>2</v>
      </c>
      <c r="H151" s="45">
        <f t="shared" si="4"/>
        <v>64000</v>
      </c>
    </row>
    <row r="152" spans="1:8" x14ac:dyDescent="0.3">
      <c r="A152">
        <v>57979</v>
      </c>
      <c r="B152" s="17">
        <v>45974</v>
      </c>
      <c r="C152" s="17" t="str">
        <f>_xlfn.XLOOKUP(Tabla5[[#This Row],[N° FACTURA]],Tabla3[N° FACTURA],Tabla3[Corregimiento],"NA")</f>
        <v>Borrero Ayerbe</v>
      </c>
      <c r="D152" s="17"/>
      <c r="E152" t="s">
        <v>478</v>
      </c>
      <c r="F152" s="45">
        <v>4000</v>
      </c>
      <c r="G152">
        <v>2</v>
      </c>
      <c r="H152" s="45">
        <f t="shared" si="4"/>
        <v>8000</v>
      </c>
    </row>
    <row r="153" spans="1:8" x14ac:dyDescent="0.3">
      <c r="A153">
        <v>57979</v>
      </c>
      <c r="B153" s="17"/>
      <c r="C153" s="17" t="str">
        <f>_xlfn.XLOOKUP(Tabla5[[#This Row],[N° FACTURA]],Tabla3[N° FACTURA],Tabla3[Corregimiento],"NA")</f>
        <v>Borrero Ayerbe</v>
      </c>
      <c r="D153" s="17"/>
      <c r="E153" t="s">
        <v>479</v>
      </c>
      <c r="F153" s="45">
        <v>200</v>
      </c>
      <c r="G153">
        <v>10</v>
      </c>
      <c r="H153" s="45">
        <f t="shared" si="4"/>
        <v>2000</v>
      </c>
    </row>
    <row r="154" spans="1:8" x14ac:dyDescent="0.3">
      <c r="A154">
        <v>57979</v>
      </c>
      <c r="B154" s="17"/>
      <c r="C154" s="17" t="str">
        <f>_xlfn.XLOOKUP(Tabla5[[#This Row],[N° FACTURA]],Tabla3[N° FACTURA],Tabla3[Corregimiento],"NA")</f>
        <v>Borrero Ayerbe</v>
      </c>
      <c r="D154" s="17"/>
      <c r="E154" t="s">
        <v>480</v>
      </c>
      <c r="F154" s="45">
        <v>200</v>
      </c>
      <c r="G154">
        <v>10</v>
      </c>
      <c r="H154" s="45">
        <f t="shared" si="4"/>
        <v>2000</v>
      </c>
    </row>
    <row r="155" spans="1:8" x14ac:dyDescent="0.3">
      <c r="A155">
        <v>57979</v>
      </c>
      <c r="B155" s="17"/>
      <c r="C155" s="17" t="str">
        <f>_xlfn.XLOOKUP(Tabla5[[#This Row],[N° FACTURA]],Tabla3[N° FACTURA],Tabla3[Corregimiento],"NA")</f>
        <v>Borrero Ayerbe</v>
      </c>
      <c r="D155" s="17"/>
      <c r="E155" t="s">
        <v>481</v>
      </c>
      <c r="F155" s="45">
        <v>28400</v>
      </c>
      <c r="G155">
        <v>12</v>
      </c>
      <c r="H155" s="45">
        <f t="shared" si="4"/>
        <v>340800</v>
      </c>
    </row>
    <row r="156" spans="1:8" x14ac:dyDescent="0.3">
      <c r="A156">
        <v>57979</v>
      </c>
      <c r="B156" s="17"/>
      <c r="C156" s="17" t="str">
        <f>_xlfn.XLOOKUP(Tabla5[[#This Row],[N° FACTURA]],Tabla3[N° FACTURA],Tabla3[Corregimiento],"NA")</f>
        <v>Borrero Ayerbe</v>
      </c>
      <c r="D156" s="17"/>
      <c r="E156" t="s">
        <v>482</v>
      </c>
      <c r="F156" s="45">
        <v>200</v>
      </c>
      <c r="G156">
        <v>50</v>
      </c>
      <c r="H156" s="45">
        <f t="shared" si="4"/>
        <v>10000</v>
      </c>
    </row>
    <row r="157" spans="1:8" x14ac:dyDescent="0.3">
      <c r="A157">
        <v>30461</v>
      </c>
      <c r="B157" s="17">
        <v>45974</v>
      </c>
      <c r="C157" s="17" t="str">
        <f>_xlfn.XLOOKUP(Tabla5[[#This Row],[N° FACTURA]],Tabla3[N° FACTURA],Tabla3[Corregimiento],"NA")</f>
        <v>NA</v>
      </c>
      <c r="D157" s="17"/>
      <c r="E157" t="s">
        <v>483</v>
      </c>
      <c r="F157" s="45">
        <v>58000</v>
      </c>
      <c r="G157">
        <v>9</v>
      </c>
      <c r="H157" s="45">
        <f t="shared" si="4"/>
        <v>522000</v>
      </c>
    </row>
    <row r="158" spans="1:8" x14ac:dyDescent="0.3">
      <c r="A158">
        <v>30461</v>
      </c>
      <c r="B158" s="17"/>
      <c r="C158" s="17" t="str">
        <f>_xlfn.XLOOKUP(Tabla5[[#This Row],[N° FACTURA]],Tabla3[N° FACTURA],Tabla3[Corregimiento],"NA")</f>
        <v>NA</v>
      </c>
      <c r="D158" s="17"/>
      <c r="E158" t="s">
        <v>484</v>
      </c>
      <c r="F158" s="45">
        <v>128000</v>
      </c>
      <c r="G158">
        <v>2</v>
      </c>
      <c r="H158" s="45">
        <f t="shared" si="4"/>
        <v>256000</v>
      </c>
    </row>
    <row r="159" spans="1:8" x14ac:dyDescent="0.3">
      <c r="A159">
        <v>30461</v>
      </c>
      <c r="B159" s="17"/>
      <c r="C159" s="17" t="str">
        <f>_xlfn.XLOOKUP(Tabla5[[#This Row],[N° FACTURA]],Tabla3[N° FACTURA],Tabla3[Corregimiento],"NA")</f>
        <v>NA</v>
      </c>
      <c r="D159" s="17"/>
      <c r="E159" t="s">
        <v>485</v>
      </c>
      <c r="F159" s="45">
        <v>110000</v>
      </c>
      <c r="G159">
        <v>9</v>
      </c>
      <c r="H159" s="45">
        <f t="shared" si="4"/>
        <v>990000</v>
      </c>
    </row>
    <row r="160" spans="1:8" x14ac:dyDescent="0.3">
      <c r="A160">
        <v>30461</v>
      </c>
      <c r="B160" s="17"/>
      <c r="C160" s="17" t="str">
        <f>_xlfn.XLOOKUP(Tabla5[[#This Row],[N° FACTURA]],Tabla3[N° FACTURA],Tabla3[Corregimiento],"NA")</f>
        <v>NA</v>
      </c>
      <c r="D160" s="17"/>
      <c r="E160" t="s">
        <v>486</v>
      </c>
      <c r="F160" s="45">
        <v>350</v>
      </c>
      <c r="G160">
        <v>150</v>
      </c>
      <c r="H160" s="45">
        <f t="shared" si="4"/>
        <v>52500</v>
      </c>
    </row>
    <row r="161" spans="1:8" x14ac:dyDescent="0.3">
      <c r="A161">
        <v>30461</v>
      </c>
      <c r="B161" s="17"/>
      <c r="C161" s="17" t="str">
        <f>_xlfn.XLOOKUP(Tabla5[[#This Row],[N° FACTURA]],Tabla3[N° FACTURA],Tabla3[Corregimiento],"NA")</f>
        <v>NA</v>
      </c>
      <c r="D161" s="17"/>
      <c r="E161" t="s">
        <v>487</v>
      </c>
      <c r="F161" s="45">
        <v>24700</v>
      </c>
      <c r="G161">
        <v>2</v>
      </c>
      <c r="H161" s="45">
        <f t="shared" si="4"/>
        <v>49400</v>
      </c>
    </row>
    <row r="162" spans="1:8" x14ac:dyDescent="0.3">
      <c r="A162">
        <v>30461</v>
      </c>
      <c r="B162" s="17"/>
      <c r="C162" s="17" t="str">
        <f>_xlfn.XLOOKUP(Tabla5[[#This Row],[N° FACTURA]],Tabla3[N° FACTURA],Tabla3[Corregimiento],"NA")</f>
        <v>NA</v>
      </c>
      <c r="D162" s="17"/>
      <c r="E162" t="s">
        <v>488</v>
      </c>
      <c r="F162" s="45">
        <v>7000</v>
      </c>
      <c r="G162">
        <v>1</v>
      </c>
      <c r="H162" s="45">
        <f t="shared" si="4"/>
        <v>7000</v>
      </c>
    </row>
    <row r="163" spans="1:8" x14ac:dyDescent="0.3">
      <c r="A163">
        <v>30461</v>
      </c>
      <c r="B163" s="17"/>
      <c r="C163" s="17" t="str">
        <f>_xlfn.XLOOKUP(Tabla5[[#This Row],[N° FACTURA]],Tabla3[N° FACTURA],Tabla3[Corregimiento],"NA")</f>
        <v>NA</v>
      </c>
      <c r="D163" s="17"/>
      <c r="E163" t="s">
        <v>489</v>
      </c>
      <c r="F163" s="45">
        <v>12000</v>
      </c>
      <c r="G163">
        <v>2</v>
      </c>
      <c r="H163" s="45">
        <f t="shared" si="4"/>
        <v>24000</v>
      </c>
    </row>
    <row r="164" spans="1:8" x14ac:dyDescent="0.3">
      <c r="A164">
        <v>30461</v>
      </c>
      <c r="B164" s="17"/>
      <c r="C164" s="17" t="str">
        <f>_xlfn.XLOOKUP(Tabla5[[#This Row],[N° FACTURA]],Tabla3[N° FACTURA],Tabla3[Corregimiento],"NA")</f>
        <v>NA</v>
      </c>
      <c r="D164" s="17"/>
      <c r="E164" t="s">
        <v>490</v>
      </c>
      <c r="F164" s="45">
        <v>9500</v>
      </c>
      <c r="G164">
        <v>1</v>
      </c>
      <c r="H164" s="45">
        <f t="shared" si="4"/>
        <v>9500</v>
      </c>
    </row>
    <row r="165" spans="1:8" x14ac:dyDescent="0.3">
      <c r="A165">
        <v>30526</v>
      </c>
      <c r="B165" s="17">
        <v>45974</v>
      </c>
      <c r="C165" s="17" t="str">
        <f>_xlfn.XLOOKUP(Tabla5[[#This Row],[N° FACTURA]],Tabla3[N° FACTURA],Tabla3[Corregimiento],"NA")</f>
        <v>NA</v>
      </c>
      <c r="D165" s="17"/>
      <c r="E165" t="s">
        <v>491</v>
      </c>
      <c r="F165" s="45">
        <v>87800</v>
      </c>
      <c r="G165">
        <v>3</v>
      </c>
      <c r="H165" s="45">
        <f t="shared" si="4"/>
        <v>263400</v>
      </c>
    </row>
    <row r="166" spans="1:8" x14ac:dyDescent="0.3">
      <c r="A166">
        <v>30526</v>
      </c>
      <c r="B166" s="17"/>
      <c r="C166" s="17" t="str">
        <f>_xlfn.XLOOKUP(Tabla5[[#This Row],[N° FACTURA]],Tabla3[N° FACTURA],Tabla3[Corregimiento],"NA")</f>
        <v>NA</v>
      </c>
      <c r="D166" s="17"/>
      <c r="E166" t="s">
        <v>490</v>
      </c>
      <c r="F166" s="45">
        <v>9500</v>
      </c>
      <c r="G166">
        <v>2</v>
      </c>
      <c r="H166" s="45">
        <f t="shared" si="4"/>
        <v>19000</v>
      </c>
    </row>
    <row r="167" spans="1:8" x14ac:dyDescent="0.3">
      <c r="A167">
        <v>30526</v>
      </c>
      <c r="B167" s="17"/>
      <c r="C167" s="17" t="str">
        <f>_xlfn.XLOOKUP(Tabla5[[#This Row],[N° FACTURA]],Tabla3[N° FACTURA],Tabla3[Corregimiento],"NA")</f>
        <v>NA</v>
      </c>
      <c r="D167" s="17"/>
      <c r="E167" t="s">
        <v>492</v>
      </c>
      <c r="F167" s="45">
        <v>12000</v>
      </c>
      <c r="G167">
        <v>3</v>
      </c>
      <c r="H167" s="45">
        <f t="shared" si="4"/>
        <v>36000</v>
      </c>
    </row>
    <row r="168" spans="1:8" x14ac:dyDescent="0.3">
      <c r="A168">
        <v>30464</v>
      </c>
      <c r="B168" s="17">
        <v>45974</v>
      </c>
      <c r="C168" s="17" t="str">
        <f>_xlfn.XLOOKUP(Tabla5[[#This Row],[N° FACTURA]],Tabla3[N° FACTURA],Tabla3[Corregimiento],"NA")</f>
        <v>NA</v>
      </c>
      <c r="D168" s="17"/>
      <c r="E168" t="s">
        <v>493</v>
      </c>
      <c r="F168" s="45">
        <v>12000</v>
      </c>
      <c r="G168">
        <v>3</v>
      </c>
      <c r="H168" s="45">
        <f t="shared" si="4"/>
        <v>36000</v>
      </c>
    </row>
    <row r="169" spans="1:8" x14ac:dyDescent="0.3">
      <c r="A169">
        <v>30464</v>
      </c>
      <c r="B169" s="17"/>
      <c r="C169" s="17" t="str">
        <f>_xlfn.XLOOKUP(Tabla5[[#This Row],[N° FACTURA]],Tabla3[N° FACTURA],Tabla3[Corregimiento],"NA")</f>
        <v>NA</v>
      </c>
      <c r="D169" s="17"/>
      <c r="E169" t="s">
        <v>494</v>
      </c>
      <c r="F169" s="45">
        <v>84000</v>
      </c>
      <c r="G169">
        <v>5</v>
      </c>
      <c r="H169" s="45">
        <f t="shared" si="4"/>
        <v>420000</v>
      </c>
    </row>
    <row r="170" spans="1:8" x14ac:dyDescent="0.3">
      <c r="A170">
        <v>30464</v>
      </c>
      <c r="B170" s="17"/>
      <c r="C170" s="17" t="str">
        <f>_xlfn.XLOOKUP(Tabla5[[#This Row],[N° FACTURA]],Tabla3[N° FACTURA],Tabla3[Corregimiento],"NA")</f>
        <v>NA</v>
      </c>
      <c r="D170" s="17"/>
      <c r="E170" t="s">
        <v>495</v>
      </c>
      <c r="F170" s="45">
        <v>44700</v>
      </c>
      <c r="G170">
        <v>6</v>
      </c>
      <c r="H170" s="45">
        <f t="shared" si="4"/>
        <v>268200</v>
      </c>
    </row>
    <row r="171" spans="1:8" x14ac:dyDescent="0.3">
      <c r="A171">
        <v>30464</v>
      </c>
      <c r="B171" s="17"/>
      <c r="C171" s="17" t="str">
        <f>_xlfn.XLOOKUP(Tabla5[[#This Row],[N° FACTURA]],Tabla3[N° FACTURA],Tabla3[Corregimiento],"NA")</f>
        <v>NA</v>
      </c>
      <c r="D171" s="17"/>
      <c r="E171" t="s">
        <v>496</v>
      </c>
      <c r="F171" s="45">
        <v>89500</v>
      </c>
      <c r="G171">
        <v>1</v>
      </c>
      <c r="H171" s="45">
        <f t="shared" si="4"/>
        <v>89500</v>
      </c>
    </row>
    <row r="172" spans="1:8" x14ac:dyDescent="0.3">
      <c r="A172">
        <v>30464</v>
      </c>
      <c r="B172" s="17"/>
      <c r="C172" s="17" t="str">
        <f>_xlfn.XLOOKUP(Tabla5[[#This Row],[N° FACTURA]],Tabla3[N° FACTURA],Tabla3[Corregimiento],"NA")</f>
        <v>NA</v>
      </c>
      <c r="D172" s="17"/>
      <c r="E172" t="s">
        <v>497</v>
      </c>
      <c r="F172" s="45">
        <v>26800</v>
      </c>
      <c r="G172">
        <v>1</v>
      </c>
      <c r="H172" s="45">
        <f t="shared" si="4"/>
        <v>26800</v>
      </c>
    </row>
    <row r="173" spans="1:8" x14ac:dyDescent="0.3">
      <c r="A173">
        <v>57964</v>
      </c>
      <c r="B173" s="17">
        <v>45974</v>
      </c>
      <c r="C173" s="17" t="str">
        <f>_xlfn.XLOOKUP(Tabla5[[#This Row],[N° FACTURA]],Tabla3[N° FACTURA],Tabla3[Corregimiento],"NA")</f>
        <v>NA</v>
      </c>
      <c r="D173" s="17"/>
      <c r="E173" t="s">
        <v>376</v>
      </c>
      <c r="F173" s="45">
        <v>32000</v>
      </c>
      <c r="G173">
        <v>1</v>
      </c>
      <c r="H173" s="45">
        <f t="shared" si="4"/>
        <v>32000</v>
      </c>
    </row>
    <row r="174" spans="1:8" x14ac:dyDescent="0.3">
      <c r="A174">
        <v>57964</v>
      </c>
      <c r="B174" s="17"/>
      <c r="C174" s="17" t="str">
        <f>_xlfn.XLOOKUP(Tabla5[[#This Row],[N° FACTURA]],Tabla3[N° FACTURA],Tabla3[Corregimiento],"NA")</f>
        <v>NA</v>
      </c>
      <c r="D174" s="17"/>
      <c r="E174" t="s">
        <v>498</v>
      </c>
      <c r="F174" s="45">
        <v>6000</v>
      </c>
      <c r="G174">
        <v>2</v>
      </c>
      <c r="H174" s="45">
        <f t="shared" si="4"/>
        <v>12000</v>
      </c>
    </row>
    <row r="175" spans="1:8" x14ac:dyDescent="0.3">
      <c r="A175">
        <v>30524</v>
      </c>
      <c r="B175" s="17">
        <v>45974</v>
      </c>
      <c r="C175" s="17" t="str">
        <f>_xlfn.XLOOKUP(Tabla5[[#This Row],[N° FACTURA]],Tabla3[N° FACTURA],Tabla3[Corregimiento],"NA")</f>
        <v>NA</v>
      </c>
      <c r="D175" s="17"/>
      <c r="E175" t="s">
        <v>499</v>
      </c>
      <c r="F175" s="45">
        <v>67000</v>
      </c>
      <c r="G175">
        <v>2</v>
      </c>
      <c r="H175" s="45">
        <f t="shared" si="4"/>
        <v>134000</v>
      </c>
    </row>
    <row r="176" spans="1:8" x14ac:dyDescent="0.3">
      <c r="A176">
        <v>58321</v>
      </c>
      <c r="B176" s="17">
        <v>45972</v>
      </c>
      <c r="C176" s="17" t="str">
        <f>_xlfn.XLOOKUP(Tabla5[[#This Row],[N° FACTURA]],Tabla3[N° FACTURA],Tabla3[Corregimiento],"NA")</f>
        <v>NA</v>
      </c>
      <c r="D176" s="17"/>
      <c r="E176" t="s">
        <v>376</v>
      </c>
      <c r="F176" s="45">
        <v>32000</v>
      </c>
      <c r="G176">
        <v>2</v>
      </c>
      <c r="H176" s="45">
        <f t="shared" ref="H176:H184" si="5">F176*G176</f>
        <v>64000</v>
      </c>
    </row>
    <row r="177" spans="1:8" x14ac:dyDescent="0.3">
      <c r="A177">
        <v>58321</v>
      </c>
      <c r="B177" s="17"/>
      <c r="C177" s="17" t="str">
        <f>_xlfn.XLOOKUP(Tabla5[[#This Row],[N° FACTURA]],Tabla3[N° FACTURA],Tabla3[Corregimiento],"NA")</f>
        <v>NA</v>
      </c>
      <c r="D177" s="17"/>
      <c r="E177" t="s">
        <v>500</v>
      </c>
      <c r="F177" s="45">
        <v>10500</v>
      </c>
      <c r="G177">
        <v>5</v>
      </c>
      <c r="H177" s="45">
        <f t="shared" si="5"/>
        <v>52500</v>
      </c>
    </row>
    <row r="178" spans="1:8" x14ac:dyDescent="0.3">
      <c r="A178">
        <v>58321</v>
      </c>
      <c r="B178" s="17"/>
      <c r="C178" s="17" t="str">
        <f>_xlfn.XLOOKUP(Tabla5[[#This Row],[N° FACTURA]],Tabla3[N° FACTURA],Tabla3[Corregimiento],"NA")</f>
        <v>NA</v>
      </c>
      <c r="D178" s="17"/>
      <c r="E178" t="s">
        <v>501</v>
      </c>
      <c r="F178" s="45">
        <v>1500</v>
      </c>
      <c r="G178">
        <v>1</v>
      </c>
      <c r="H178" s="45">
        <f t="shared" si="5"/>
        <v>1500</v>
      </c>
    </row>
    <row r="179" spans="1:8" x14ac:dyDescent="0.3">
      <c r="A179">
        <v>58321</v>
      </c>
      <c r="B179" s="17"/>
      <c r="C179" s="17" t="str">
        <f>_xlfn.XLOOKUP(Tabla5[[#This Row],[N° FACTURA]],Tabla3[N° FACTURA],Tabla3[Corregimiento],"NA")</f>
        <v>NA</v>
      </c>
      <c r="D179" s="17"/>
      <c r="E179" t="s">
        <v>502</v>
      </c>
      <c r="F179" s="45">
        <v>49000</v>
      </c>
      <c r="G179">
        <v>4</v>
      </c>
      <c r="H179" s="45">
        <f t="shared" si="5"/>
        <v>196000</v>
      </c>
    </row>
    <row r="180" spans="1:8" x14ac:dyDescent="0.3">
      <c r="A180">
        <v>58321</v>
      </c>
      <c r="B180" s="17"/>
      <c r="C180" s="17" t="str">
        <f>_xlfn.XLOOKUP(Tabla5[[#This Row],[N° FACTURA]],Tabla3[N° FACTURA],Tabla3[Corregimiento],"NA")</f>
        <v>NA</v>
      </c>
      <c r="D180" s="17"/>
      <c r="E180" t="s">
        <v>495</v>
      </c>
      <c r="F180" s="45">
        <v>51500</v>
      </c>
      <c r="G180">
        <v>2</v>
      </c>
      <c r="H180" s="45">
        <f t="shared" si="5"/>
        <v>103000</v>
      </c>
    </row>
    <row r="181" spans="1:8" x14ac:dyDescent="0.3">
      <c r="A181">
        <v>58321</v>
      </c>
      <c r="B181" s="17"/>
      <c r="C181" s="17" t="str">
        <f>_xlfn.XLOOKUP(Tabla5[[#This Row],[N° FACTURA]],Tabla3[N° FACTURA],Tabla3[Corregimiento],"NA")</f>
        <v>NA</v>
      </c>
      <c r="D181" s="17"/>
      <c r="E181" t="s">
        <v>503</v>
      </c>
      <c r="F181" s="45">
        <v>2400</v>
      </c>
      <c r="G181">
        <v>19</v>
      </c>
      <c r="H181" s="45">
        <f t="shared" si="5"/>
        <v>45600</v>
      </c>
    </row>
    <row r="182" spans="1:8" x14ac:dyDescent="0.3">
      <c r="A182">
        <v>58321</v>
      </c>
      <c r="B182" s="17"/>
      <c r="C182" s="17" t="str">
        <f>_xlfn.XLOOKUP(Tabla5[[#This Row],[N° FACTURA]],Tabla3[N° FACTURA],Tabla3[Corregimiento],"NA")</f>
        <v>NA</v>
      </c>
      <c r="D182" s="17"/>
      <c r="E182" t="s">
        <v>493</v>
      </c>
      <c r="F182" s="45">
        <v>12000</v>
      </c>
      <c r="G182">
        <v>1</v>
      </c>
      <c r="H182" s="45">
        <f t="shared" si="5"/>
        <v>12000</v>
      </c>
    </row>
    <row r="183" spans="1:8" x14ac:dyDescent="0.3">
      <c r="A183">
        <v>58321</v>
      </c>
      <c r="B183" s="17"/>
      <c r="C183" s="17" t="str">
        <f>_xlfn.XLOOKUP(Tabla5[[#This Row],[N° FACTURA]],Tabla3[N° FACTURA],Tabla3[Corregimiento],"NA")</f>
        <v>NA</v>
      </c>
      <c r="D183" s="17"/>
      <c r="E183" t="s">
        <v>504</v>
      </c>
      <c r="F183" s="45">
        <v>2100</v>
      </c>
      <c r="G183">
        <v>2</v>
      </c>
      <c r="H183" s="45">
        <f t="shared" si="5"/>
        <v>4200</v>
      </c>
    </row>
    <row r="184" spans="1:8" x14ac:dyDescent="0.3">
      <c r="A184">
        <v>58321</v>
      </c>
      <c r="B184" s="17"/>
      <c r="C184" s="17" t="str">
        <f>_xlfn.XLOOKUP(Tabla5[[#This Row],[N° FACTURA]],Tabla3[N° FACTURA],Tabla3[Corregimiento],"NA")</f>
        <v>NA</v>
      </c>
      <c r="D184" s="17"/>
      <c r="E184" t="s">
        <v>505</v>
      </c>
      <c r="F184" s="45">
        <v>130</v>
      </c>
      <c r="G184">
        <v>50</v>
      </c>
      <c r="H184" s="45">
        <f t="shared" si="5"/>
        <v>6500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Listas</vt:lpstr>
      <vt:lpstr>Base de datos</vt:lpstr>
      <vt:lpstr>Base Diego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SEBASTIAN AGUIRRE ALDANA</dc:creator>
  <cp:lastModifiedBy>JOAN SEBASTIAN AGUIRRE ALDANA</cp:lastModifiedBy>
  <dcterms:created xsi:type="dcterms:W3CDTF">2026-02-22T02:32:20Z</dcterms:created>
  <dcterms:modified xsi:type="dcterms:W3CDTF">2026-03-02T13:40:35Z</dcterms:modified>
</cp:coreProperties>
</file>