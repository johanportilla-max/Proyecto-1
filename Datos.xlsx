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an\Downloads\"/>
    </mc:Choice>
  </mc:AlternateContent>
  <xr:revisionPtr revIDLastSave="0" documentId="8_{C3B52C42-00D8-4790-BD24-9A616F39EDCD}" xr6:coauthVersionLast="47" xr6:coauthVersionMax="47" xr10:uidLastSave="{00000000-0000-0000-0000-000000000000}"/>
  <bookViews>
    <workbookView xWindow="-108" yWindow="-108" windowWidth="23256" windowHeight="12456" xr2:uid="{6E256916-62DC-4662-B06A-2BBF7B64D4B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1" i="1" l="1"/>
  <c r="M241" i="1"/>
  <c r="I241" i="1"/>
  <c r="H241" i="1"/>
  <c r="G241" i="1"/>
  <c r="O240" i="1"/>
  <c r="M240" i="1"/>
  <c r="I240" i="1"/>
  <c r="H240" i="1"/>
  <c r="G240" i="1"/>
  <c r="O239" i="1"/>
  <c r="M239" i="1"/>
  <c r="I239" i="1"/>
  <c r="H239" i="1"/>
  <c r="G239" i="1"/>
  <c r="O238" i="1"/>
  <c r="M238" i="1"/>
  <c r="I238" i="1"/>
  <c r="H238" i="1"/>
  <c r="G238" i="1"/>
  <c r="O237" i="1"/>
  <c r="M237" i="1"/>
  <c r="I237" i="1"/>
  <c r="H237" i="1"/>
  <c r="G237" i="1"/>
  <c r="O236" i="1"/>
  <c r="M236" i="1"/>
  <c r="I236" i="1"/>
  <c r="H236" i="1"/>
  <c r="G236" i="1"/>
  <c r="O235" i="1"/>
  <c r="I235" i="1"/>
  <c r="H235" i="1"/>
  <c r="G235" i="1"/>
  <c r="O234" i="1"/>
  <c r="M234" i="1"/>
  <c r="I234" i="1"/>
  <c r="H234" i="1"/>
  <c r="G234" i="1"/>
  <c r="O233" i="1"/>
  <c r="M233" i="1"/>
  <c r="I233" i="1"/>
  <c r="H233" i="1"/>
  <c r="G233" i="1"/>
  <c r="O232" i="1"/>
  <c r="I232" i="1"/>
  <c r="H232" i="1"/>
  <c r="G232" i="1"/>
  <c r="O231" i="1"/>
  <c r="I231" i="1"/>
  <c r="H231" i="1"/>
  <c r="G231" i="1"/>
  <c r="O230" i="1"/>
  <c r="M230" i="1"/>
  <c r="I230" i="1"/>
  <c r="H230" i="1"/>
  <c r="G230" i="1"/>
  <c r="O229" i="1"/>
  <c r="M229" i="1"/>
  <c r="I229" i="1"/>
  <c r="H229" i="1"/>
  <c r="G229" i="1"/>
  <c r="O228" i="1"/>
  <c r="M228" i="1"/>
  <c r="I228" i="1"/>
  <c r="H228" i="1"/>
  <c r="G228" i="1"/>
  <c r="O227" i="1"/>
  <c r="M227" i="1"/>
  <c r="I227" i="1"/>
  <c r="H227" i="1"/>
  <c r="G227" i="1"/>
  <c r="O226" i="1"/>
  <c r="I226" i="1"/>
  <c r="H226" i="1"/>
  <c r="G226" i="1"/>
  <c r="O225" i="1"/>
  <c r="M225" i="1"/>
  <c r="I225" i="1"/>
  <c r="H225" i="1"/>
  <c r="G225" i="1"/>
  <c r="O224" i="1"/>
  <c r="M224" i="1"/>
  <c r="I224" i="1"/>
  <c r="H224" i="1"/>
  <c r="G224" i="1"/>
  <c r="O223" i="1"/>
  <c r="M223" i="1"/>
  <c r="I223" i="1"/>
  <c r="H223" i="1"/>
  <c r="G223" i="1"/>
  <c r="O222" i="1"/>
  <c r="M222" i="1"/>
  <c r="I222" i="1"/>
  <c r="H222" i="1"/>
  <c r="G222" i="1"/>
  <c r="O221" i="1"/>
  <c r="I221" i="1"/>
  <c r="H221" i="1"/>
  <c r="G221" i="1"/>
  <c r="O220" i="1"/>
  <c r="I220" i="1"/>
  <c r="H220" i="1"/>
  <c r="G220" i="1"/>
  <c r="O219" i="1"/>
  <c r="M219" i="1"/>
  <c r="I219" i="1"/>
  <c r="H219" i="1"/>
  <c r="G219" i="1"/>
  <c r="O218" i="1"/>
  <c r="M218" i="1"/>
  <c r="I218" i="1"/>
  <c r="H218" i="1"/>
  <c r="G218" i="1"/>
  <c r="O217" i="1"/>
  <c r="M217" i="1"/>
  <c r="I217" i="1"/>
  <c r="H217" i="1"/>
  <c r="G217" i="1"/>
  <c r="O216" i="1"/>
  <c r="M216" i="1"/>
  <c r="I216" i="1"/>
  <c r="H216" i="1"/>
  <c r="G216" i="1"/>
  <c r="O215" i="1"/>
  <c r="M215" i="1"/>
  <c r="I215" i="1"/>
  <c r="H215" i="1"/>
  <c r="G215" i="1"/>
  <c r="O214" i="1"/>
  <c r="M214" i="1"/>
  <c r="I214" i="1"/>
  <c r="H214" i="1"/>
  <c r="G214" i="1"/>
  <c r="O213" i="1"/>
  <c r="M213" i="1"/>
  <c r="I213" i="1"/>
  <c r="H213" i="1"/>
  <c r="G213" i="1"/>
  <c r="O212" i="1"/>
  <c r="M212" i="1"/>
  <c r="I212" i="1"/>
  <c r="H212" i="1"/>
  <c r="G212" i="1"/>
  <c r="O211" i="1"/>
  <c r="M211" i="1"/>
  <c r="I211" i="1"/>
  <c r="H211" i="1"/>
  <c r="G211" i="1"/>
  <c r="O210" i="1"/>
  <c r="I210" i="1"/>
  <c r="H210" i="1"/>
  <c r="G210" i="1"/>
  <c r="O209" i="1"/>
  <c r="M209" i="1"/>
  <c r="I209" i="1"/>
  <c r="H209" i="1"/>
  <c r="G209" i="1"/>
  <c r="O208" i="1"/>
  <c r="I208" i="1"/>
  <c r="H208" i="1"/>
  <c r="G208" i="1"/>
  <c r="O207" i="1"/>
  <c r="M207" i="1"/>
  <c r="I207" i="1"/>
  <c r="H207" i="1"/>
  <c r="G207" i="1"/>
  <c r="O206" i="1"/>
  <c r="M206" i="1"/>
  <c r="I206" i="1"/>
  <c r="H206" i="1"/>
  <c r="G206" i="1"/>
  <c r="O205" i="1"/>
  <c r="M205" i="1"/>
  <c r="I205" i="1"/>
  <c r="H205" i="1"/>
  <c r="G205" i="1"/>
  <c r="O204" i="1"/>
  <c r="M204" i="1"/>
  <c r="I204" i="1"/>
  <c r="H204" i="1"/>
  <c r="G204" i="1"/>
  <c r="O203" i="1"/>
  <c r="M203" i="1"/>
  <c r="I203" i="1"/>
  <c r="H203" i="1"/>
  <c r="G203" i="1"/>
  <c r="O202" i="1"/>
  <c r="M202" i="1"/>
  <c r="I202" i="1"/>
  <c r="H202" i="1"/>
  <c r="G202" i="1"/>
  <c r="O201" i="1"/>
  <c r="M201" i="1"/>
  <c r="I201" i="1"/>
  <c r="H201" i="1"/>
  <c r="G201" i="1"/>
  <c r="O200" i="1"/>
  <c r="M200" i="1"/>
  <c r="I200" i="1"/>
  <c r="H200" i="1"/>
  <c r="G200" i="1"/>
  <c r="O199" i="1"/>
  <c r="I199" i="1"/>
  <c r="H199" i="1"/>
  <c r="G199" i="1"/>
  <c r="O198" i="1"/>
  <c r="I198" i="1"/>
  <c r="H198" i="1"/>
  <c r="G198" i="1"/>
  <c r="O197" i="1"/>
  <c r="M197" i="1"/>
  <c r="I197" i="1"/>
  <c r="H197" i="1"/>
  <c r="G197" i="1"/>
  <c r="O196" i="1"/>
  <c r="M196" i="1"/>
  <c r="I196" i="1"/>
  <c r="H196" i="1"/>
  <c r="G196" i="1"/>
  <c r="O195" i="1"/>
  <c r="M195" i="1"/>
  <c r="I195" i="1"/>
  <c r="H195" i="1"/>
  <c r="G195" i="1"/>
  <c r="O194" i="1"/>
  <c r="M194" i="1"/>
  <c r="I194" i="1"/>
  <c r="H194" i="1"/>
  <c r="G194" i="1"/>
  <c r="O193" i="1"/>
  <c r="M193" i="1"/>
  <c r="I193" i="1"/>
  <c r="H193" i="1"/>
  <c r="G193" i="1"/>
  <c r="O192" i="1"/>
  <c r="M192" i="1"/>
  <c r="I192" i="1"/>
  <c r="H192" i="1"/>
  <c r="G192" i="1"/>
  <c r="O191" i="1"/>
  <c r="M191" i="1"/>
  <c r="I191" i="1"/>
  <c r="H191" i="1"/>
  <c r="G191" i="1"/>
  <c r="O190" i="1"/>
  <c r="M190" i="1"/>
  <c r="I190" i="1"/>
  <c r="H190" i="1"/>
  <c r="G190" i="1"/>
  <c r="O189" i="1"/>
  <c r="I189" i="1"/>
  <c r="H189" i="1"/>
  <c r="G189" i="1"/>
  <c r="O188" i="1"/>
  <c r="I188" i="1"/>
  <c r="H188" i="1"/>
  <c r="G188" i="1"/>
  <c r="O187" i="1"/>
  <c r="M187" i="1"/>
  <c r="I187" i="1"/>
  <c r="H187" i="1"/>
  <c r="G187" i="1"/>
  <c r="O186" i="1"/>
  <c r="M186" i="1"/>
  <c r="I186" i="1"/>
  <c r="H186" i="1"/>
  <c r="G186" i="1"/>
  <c r="O185" i="1"/>
  <c r="M185" i="1"/>
  <c r="I185" i="1"/>
  <c r="H185" i="1"/>
  <c r="G185" i="1"/>
  <c r="O184" i="1"/>
  <c r="M184" i="1"/>
  <c r="I184" i="1"/>
  <c r="H184" i="1"/>
  <c r="G184" i="1"/>
  <c r="O183" i="1"/>
  <c r="M183" i="1"/>
  <c r="I183" i="1"/>
  <c r="H183" i="1"/>
  <c r="G183" i="1"/>
  <c r="O182" i="1"/>
  <c r="M182" i="1"/>
  <c r="I182" i="1"/>
  <c r="H182" i="1"/>
  <c r="G182" i="1"/>
  <c r="O181" i="1"/>
  <c r="I181" i="1"/>
  <c r="H181" i="1"/>
  <c r="G181" i="1"/>
  <c r="O180" i="1"/>
  <c r="I180" i="1"/>
  <c r="H180" i="1"/>
  <c r="G180" i="1"/>
  <c r="O179" i="1"/>
  <c r="I179" i="1"/>
  <c r="H179" i="1"/>
  <c r="G179" i="1"/>
  <c r="O178" i="1"/>
  <c r="M178" i="1"/>
  <c r="I178" i="1"/>
  <c r="H178" i="1"/>
  <c r="G178" i="1"/>
  <c r="O177" i="1"/>
  <c r="M177" i="1"/>
  <c r="I177" i="1"/>
  <c r="H177" i="1"/>
  <c r="G177" i="1"/>
  <c r="O176" i="1"/>
  <c r="M176" i="1"/>
  <c r="I176" i="1"/>
  <c r="H176" i="1"/>
  <c r="G176" i="1"/>
  <c r="O175" i="1"/>
  <c r="I175" i="1"/>
  <c r="H175" i="1"/>
  <c r="G175" i="1"/>
  <c r="O174" i="1"/>
  <c r="I174" i="1"/>
  <c r="H174" i="1"/>
  <c r="G174" i="1"/>
  <c r="O173" i="1"/>
  <c r="M173" i="1"/>
  <c r="I173" i="1"/>
  <c r="H173" i="1"/>
  <c r="G173" i="1"/>
  <c r="O172" i="1"/>
  <c r="M172" i="1"/>
  <c r="I172" i="1"/>
  <c r="H172" i="1"/>
  <c r="G172" i="1"/>
  <c r="O171" i="1"/>
  <c r="M171" i="1"/>
  <c r="I171" i="1"/>
  <c r="H171" i="1"/>
  <c r="G171" i="1"/>
  <c r="O170" i="1"/>
  <c r="M170" i="1"/>
  <c r="I170" i="1"/>
  <c r="H170" i="1"/>
  <c r="G170" i="1"/>
  <c r="O169" i="1"/>
  <c r="I169" i="1"/>
  <c r="H169" i="1"/>
  <c r="G169" i="1"/>
  <c r="O168" i="1"/>
  <c r="M168" i="1"/>
  <c r="I168" i="1"/>
  <c r="H168" i="1"/>
  <c r="G168" i="1"/>
  <c r="O167" i="1"/>
  <c r="I167" i="1"/>
  <c r="H167" i="1"/>
  <c r="G167" i="1"/>
  <c r="O166" i="1"/>
  <c r="M166" i="1"/>
  <c r="I166" i="1"/>
  <c r="H166" i="1"/>
  <c r="G166" i="1"/>
  <c r="O165" i="1"/>
  <c r="M165" i="1"/>
  <c r="I165" i="1"/>
  <c r="H165" i="1"/>
  <c r="G165" i="1"/>
  <c r="O164" i="1"/>
  <c r="M164" i="1"/>
  <c r="I164" i="1"/>
  <c r="H164" i="1"/>
  <c r="G164" i="1"/>
  <c r="O163" i="1"/>
  <c r="M163" i="1"/>
  <c r="I163" i="1"/>
  <c r="H163" i="1"/>
  <c r="G163" i="1"/>
  <c r="O162" i="1"/>
  <c r="M162" i="1"/>
  <c r="I162" i="1"/>
  <c r="H162" i="1"/>
  <c r="G162" i="1"/>
  <c r="O161" i="1"/>
  <c r="M161" i="1"/>
  <c r="I161" i="1"/>
  <c r="H161" i="1"/>
  <c r="G161" i="1"/>
  <c r="O160" i="1"/>
  <c r="M160" i="1"/>
  <c r="I160" i="1"/>
  <c r="H160" i="1"/>
  <c r="G160" i="1"/>
  <c r="O159" i="1"/>
  <c r="M159" i="1"/>
  <c r="I159" i="1"/>
  <c r="H159" i="1"/>
  <c r="G159" i="1"/>
  <c r="O158" i="1"/>
  <c r="M158" i="1"/>
  <c r="I158" i="1"/>
  <c r="H158" i="1"/>
  <c r="G158" i="1"/>
  <c r="O157" i="1"/>
  <c r="M157" i="1"/>
  <c r="I157" i="1"/>
  <c r="H157" i="1"/>
  <c r="G157" i="1"/>
  <c r="O156" i="1"/>
  <c r="M156" i="1"/>
  <c r="I156" i="1"/>
  <c r="H156" i="1"/>
  <c r="G156" i="1"/>
  <c r="O155" i="1"/>
  <c r="M155" i="1"/>
  <c r="I155" i="1"/>
  <c r="H155" i="1"/>
  <c r="G155" i="1"/>
  <c r="O154" i="1"/>
  <c r="I154" i="1"/>
  <c r="H154" i="1"/>
  <c r="G154" i="1"/>
  <c r="O153" i="1"/>
  <c r="I153" i="1"/>
  <c r="H153" i="1"/>
  <c r="G153" i="1"/>
  <c r="O152" i="1"/>
  <c r="M152" i="1"/>
  <c r="I152" i="1"/>
  <c r="H152" i="1"/>
  <c r="G152" i="1"/>
  <c r="O151" i="1"/>
  <c r="M151" i="1"/>
  <c r="I151" i="1"/>
  <c r="H151" i="1"/>
  <c r="G151" i="1"/>
  <c r="O150" i="1"/>
  <c r="M150" i="1"/>
  <c r="I150" i="1"/>
  <c r="H150" i="1"/>
  <c r="G150" i="1"/>
  <c r="O149" i="1"/>
  <c r="M149" i="1"/>
  <c r="I149" i="1"/>
  <c r="H149" i="1"/>
  <c r="G149" i="1"/>
  <c r="O148" i="1"/>
  <c r="M148" i="1"/>
  <c r="I148" i="1"/>
  <c r="H148" i="1"/>
  <c r="G148" i="1"/>
  <c r="O147" i="1"/>
  <c r="I147" i="1"/>
  <c r="H147" i="1"/>
  <c r="G147" i="1"/>
  <c r="O146" i="1"/>
  <c r="I146" i="1"/>
  <c r="H146" i="1"/>
  <c r="G146" i="1"/>
  <c r="O145" i="1"/>
  <c r="I145" i="1"/>
  <c r="H145" i="1"/>
  <c r="G145" i="1"/>
  <c r="O144" i="1"/>
  <c r="M144" i="1"/>
  <c r="I144" i="1"/>
  <c r="H144" i="1"/>
  <c r="G144" i="1"/>
  <c r="O143" i="1"/>
  <c r="M143" i="1"/>
  <c r="I143" i="1"/>
  <c r="H143" i="1"/>
  <c r="G143" i="1"/>
  <c r="O142" i="1"/>
  <c r="I142" i="1"/>
  <c r="H142" i="1"/>
  <c r="G142" i="1"/>
  <c r="O141" i="1"/>
  <c r="M141" i="1"/>
  <c r="I141" i="1"/>
  <c r="H141" i="1"/>
  <c r="G141" i="1"/>
  <c r="O140" i="1"/>
  <c r="M140" i="1"/>
  <c r="I140" i="1"/>
  <c r="H140" i="1"/>
  <c r="G140" i="1"/>
  <c r="O139" i="1"/>
  <c r="M139" i="1"/>
  <c r="I139" i="1"/>
  <c r="H139" i="1"/>
  <c r="G139" i="1"/>
  <c r="O138" i="1"/>
  <c r="M138" i="1"/>
  <c r="I138" i="1"/>
  <c r="H138" i="1"/>
  <c r="G138" i="1"/>
  <c r="O137" i="1"/>
  <c r="M137" i="1"/>
  <c r="I137" i="1"/>
  <c r="H137" i="1"/>
  <c r="G137" i="1"/>
  <c r="O136" i="1"/>
  <c r="M136" i="1"/>
  <c r="I136" i="1"/>
  <c r="H136" i="1"/>
  <c r="G136" i="1"/>
  <c r="O135" i="1"/>
  <c r="M135" i="1"/>
  <c r="I135" i="1"/>
  <c r="H135" i="1"/>
  <c r="G135" i="1"/>
  <c r="O134" i="1"/>
  <c r="M134" i="1"/>
  <c r="I134" i="1"/>
  <c r="H134" i="1"/>
  <c r="G134" i="1"/>
  <c r="O133" i="1"/>
  <c r="M133" i="1"/>
  <c r="I133" i="1"/>
  <c r="H133" i="1"/>
  <c r="G133" i="1"/>
  <c r="O132" i="1"/>
  <c r="M132" i="1"/>
  <c r="I132" i="1"/>
  <c r="H132" i="1"/>
  <c r="G132" i="1"/>
  <c r="O131" i="1"/>
  <c r="M131" i="1"/>
  <c r="I131" i="1"/>
  <c r="H131" i="1"/>
  <c r="G131" i="1"/>
  <c r="O130" i="1"/>
  <c r="M130" i="1"/>
  <c r="I130" i="1"/>
  <c r="H130" i="1"/>
  <c r="G130" i="1"/>
  <c r="O129" i="1"/>
  <c r="M129" i="1"/>
  <c r="I129" i="1"/>
  <c r="H129" i="1"/>
  <c r="G129" i="1"/>
  <c r="O128" i="1"/>
  <c r="I128" i="1"/>
  <c r="H128" i="1"/>
  <c r="G128" i="1"/>
  <c r="O127" i="1"/>
  <c r="I127" i="1"/>
  <c r="H127" i="1"/>
  <c r="G127" i="1"/>
  <c r="O126" i="1"/>
  <c r="M126" i="1"/>
  <c r="I126" i="1"/>
  <c r="H126" i="1"/>
  <c r="G126" i="1"/>
  <c r="O125" i="1"/>
  <c r="M125" i="1"/>
  <c r="I125" i="1"/>
  <c r="H125" i="1"/>
  <c r="G125" i="1"/>
  <c r="O124" i="1"/>
  <c r="M124" i="1"/>
  <c r="I124" i="1"/>
  <c r="H124" i="1"/>
  <c r="G124" i="1"/>
  <c r="O123" i="1"/>
  <c r="M123" i="1"/>
  <c r="I123" i="1"/>
  <c r="H123" i="1"/>
  <c r="G123" i="1"/>
  <c r="O122" i="1"/>
  <c r="M122" i="1"/>
  <c r="I122" i="1"/>
  <c r="H122" i="1"/>
  <c r="G122" i="1"/>
  <c r="O121" i="1"/>
  <c r="M121" i="1"/>
  <c r="I121" i="1"/>
  <c r="H121" i="1"/>
  <c r="G121" i="1"/>
  <c r="O120" i="1"/>
  <c r="I120" i="1"/>
  <c r="H120" i="1"/>
  <c r="G120" i="1"/>
  <c r="O119" i="1"/>
  <c r="M119" i="1"/>
  <c r="I119" i="1"/>
  <c r="H119" i="1"/>
  <c r="G119" i="1"/>
  <c r="O118" i="1"/>
  <c r="M118" i="1"/>
  <c r="I118" i="1"/>
  <c r="H118" i="1"/>
  <c r="G118" i="1"/>
  <c r="O117" i="1"/>
  <c r="M117" i="1"/>
  <c r="I117" i="1"/>
  <c r="H117" i="1"/>
  <c r="G117" i="1"/>
  <c r="O116" i="1"/>
  <c r="M116" i="1"/>
  <c r="I116" i="1"/>
  <c r="H116" i="1"/>
  <c r="G116" i="1"/>
  <c r="O115" i="1"/>
  <c r="I115" i="1"/>
  <c r="H115" i="1"/>
  <c r="G115" i="1"/>
  <c r="O114" i="1"/>
  <c r="M114" i="1"/>
  <c r="I114" i="1"/>
  <c r="H114" i="1"/>
  <c r="G114" i="1"/>
  <c r="O113" i="1"/>
  <c r="I113" i="1"/>
  <c r="H113" i="1"/>
  <c r="G113" i="1"/>
  <c r="O112" i="1"/>
  <c r="M112" i="1"/>
  <c r="I112" i="1"/>
  <c r="H112" i="1"/>
  <c r="G112" i="1"/>
  <c r="O111" i="1"/>
  <c r="M111" i="1"/>
  <c r="I111" i="1"/>
  <c r="H111" i="1"/>
  <c r="G111" i="1"/>
  <c r="O110" i="1"/>
  <c r="M110" i="1"/>
  <c r="I110" i="1"/>
  <c r="H110" i="1"/>
  <c r="G110" i="1"/>
  <c r="O109" i="1"/>
  <c r="M109" i="1"/>
  <c r="I109" i="1"/>
  <c r="H109" i="1"/>
  <c r="G109" i="1"/>
  <c r="O108" i="1"/>
  <c r="M108" i="1"/>
  <c r="I108" i="1"/>
  <c r="H108" i="1"/>
  <c r="G108" i="1"/>
  <c r="O107" i="1"/>
  <c r="M107" i="1"/>
  <c r="I107" i="1"/>
  <c r="H107" i="1"/>
  <c r="G107" i="1"/>
  <c r="O106" i="1"/>
  <c r="M106" i="1"/>
  <c r="I106" i="1"/>
  <c r="H106" i="1"/>
  <c r="G106" i="1"/>
  <c r="O105" i="1"/>
  <c r="M105" i="1"/>
  <c r="I105" i="1"/>
  <c r="H105" i="1"/>
  <c r="G105" i="1"/>
  <c r="O104" i="1"/>
  <c r="M104" i="1"/>
  <c r="I104" i="1"/>
  <c r="H104" i="1"/>
  <c r="G104" i="1"/>
  <c r="O103" i="1"/>
  <c r="M103" i="1"/>
  <c r="I103" i="1"/>
  <c r="H103" i="1"/>
  <c r="G103" i="1"/>
  <c r="O102" i="1"/>
  <c r="M102" i="1"/>
  <c r="I102" i="1"/>
  <c r="H102" i="1"/>
  <c r="G102" i="1"/>
  <c r="O101" i="1"/>
  <c r="M101" i="1"/>
  <c r="I101" i="1"/>
  <c r="H101" i="1"/>
  <c r="G101" i="1"/>
  <c r="O100" i="1"/>
  <c r="M100" i="1"/>
  <c r="I100" i="1"/>
  <c r="H100" i="1"/>
  <c r="G100" i="1"/>
  <c r="O99" i="1"/>
  <c r="I99" i="1"/>
  <c r="H99" i="1"/>
  <c r="G99" i="1"/>
  <c r="O98" i="1"/>
  <c r="M98" i="1"/>
  <c r="I98" i="1"/>
  <c r="H98" i="1"/>
  <c r="G98" i="1"/>
  <c r="O97" i="1"/>
  <c r="M97" i="1"/>
  <c r="I97" i="1"/>
  <c r="H97" i="1"/>
  <c r="G97" i="1"/>
  <c r="O96" i="1"/>
  <c r="M96" i="1"/>
  <c r="I96" i="1"/>
  <c r="H96" i="1"/>
  <c r="G96" i="1"/>
  <c r="O95" i="1"/>
  <c r="M95" i="1"/>
  <c r="I95" i="1"/>
  <c r="H95" i="1"/>
  <c r="G95" i="1"/>
  <c r="O94" i="1"/>
  <c r="M94" i="1"/>
  <c r="I94" i="1"/>
  <c r="H94" i="1"/>
  <c r="G94" i="1"/>
  <c r="O93" i="1"/>
  <c r="M93" i="1"/>
  <c r="I93" i="1"/>
  <c r="H93" i="1"/>
  <c r="G93" i="1"/>
  <c r="O92" i="1"/>
  <c r="M92" i="1"/>
  <c r="I92" i="1"/>
  <c r="H92" i="1"/>
  <c r="G92" i="1"/>
  <c r="O91" i="1"/>
  <c r="M91" i="1"/>
  <c r="I91" i="1"/>
  <c r="H91" i="1"/>
  <c r="G91" i="1"/>
  <c r="O90" i="1"/>
  <c r="I90" i="1"/>
  <c r="H90" i="1"/>
  <c r="G90" i="1"/>
  <c r="O89" i="1"/>
  <c r="M89" i="1"/>
  <c r="I89" i="1"/>
  <c r="H89" i="1"/>
  <c r="G89" i="1"/>
  <c r="O88" i="1"/>
  <c r="M88" i="1"/>
  <c r="I88" i="1"/>
  <c r="H88" i="1"/>
  <c r="G88" i="1"/>
  <c r="O87" i="1"/>
  <c r="M87" i="1"/>
  <c r="I87" i="1"/>
  <c r="H87" i="1"/>
  <c r="G87" i="1"/>
  <c r="O86" i="1"/>
  <c r="M86" i="1"/>
  <c r="I86" i="1"/>
  <c r="H86" i="1"/>
  <c r="G86" i="1"/>
  <c r="O85" i="1"/>
  <c r="M85" i="1"/>
  <c r="I85" i="1"/>
  <c r="H85" i="1"/>
  <c r="G85" i="1"/>
  <c r="O84" i="1"/>
  <c r="I84" i="1"/>
  <c r="H84" i="1"/>
  <c r="G84" i="1"/>
  <c r="O83" i="1"/>
  <c r="M83" i="1"/>
  <c r="I83" i="1"/>
  <c r="H83" i="1"/>
  <c r="G83" i="1"/>
  <c r="O82" i="1"/>
  <c r="I82" i="1"/>
  <c r="H82" i="1"/>
  <c r="G82" i="1"/>
  <c r="O81" i="1"/>
  <c r="M81" i="1"/>
  <c r="I81" i="1"/>
  <c r="H81" i="1"/>
  <c r="G81" i="1"/>
  <c r="O80" i="1"/>
  <c r="M80" i="1"/>
  <c r="I80" i="1"/>
  <c r="H80" i="1"/>
  <c r="G80" i="1"/>
  <c r="O79" i="1"/>
  <c r="M79" i="1"/>
  <c r="I79" i="1"/>
  <c r="H79" i="1"/>
  <c r="G79" i="1"/>
  <c r="O78" i="1"/>
  <c r="M78" i="1"/>
  <c r="I78" i="1"/>
  <c r="H78" i="1"/>
  <c r="G78" i="1"/>
  <c r="O77" i="1"/>
  <c r="I77" i="1"/>
  <c r="H77" i="1"/>
  <c r="G77" i="1"/>
  <c r="O76" i="1"/>
  <c r="M76" i="1"/>
  <c r="I76" i="1"/>
  <c r="H76" i="1"/>
  <c r="G76" i="1"/>
  <c r="O75" i="1"/>
  <c r="M75" i="1"/>
  <c r="I75" i="1"/>
  <c r="H75" i="1"/>
  <c r="G75" i="1"/>
  <c r="O74" i="1"/>
  <c r="M74" i="1"/>
  <c r="I74" i="1"/>
  <c r="H74" i="1"/>
  <c r="G74" i="1"/>
  <c r="O73" i="1"/>
  <c r="M73" i="1"/>
  <c r="I73" i="1"/>
  <c r="H73" i="1"/>
  <c r="G73" i="1"/>
  <c r="O72" i="1"/>
  <c r="M72" i="1"/>
  <c r="I72" i="1"/>
  <c r="H72" i="1"/>
  <c r="G72" i="1"/>
  <c r="O71" i="1"/>
  <c r="I71" i="1"/>
  <c r="H71" i="1"/>
  <c r="G71" i="1"/>
  <c r="O70" i="1"/>
  <c r="M70" i="1"/>
  <c r="I70" i="1"/>
  <c r="H70" i="1"/>
  <c r="G70" i="1"/>
  <c r="O69" i="1"/>
  <c r="M69" i="1"/>
  <c r="I69" i="1"/>
  <c r="H69" i="1"/>
  <c r="G69" i="1"/>
  <c r="O68" i="1"/>
  <c r="M68" i="1"/>
  <c r="I68" i="1"/>
  <c r="H68" i="1"/>
  <c r="G68" i="1"/>
  <c r="O67" i="1"/>
  <c r="M67" i="1"/>
  <c r="I67" i="1"/>
  <c r="H67" i="1"/>
  <c r="G67" i="1"/>
  <c r="O66" i="1"/>
  <c r="I66" i="1"/>
  <c r="H66" i="1"/>
  <c r="G66" i="1"/>
  <c r="O65" i="1"/>
  <c r="M65" i="1"/>
  <c r="I65" i="1"/>
  <c r="H65" i="1"/>
  <c r="G65" i="1"/>
  <c r="O64" i="1"/>
  <c r="I64" i="1"/>
  <c r="H64" i="1"/>
  <c r="G64" i="1"/>
  <c r="O63" i="1"/>
  <c r="I63" i="1"/>
  <c r="H63" i="1"/>
  <c r="G63" i="1"/>
  <c r="O62" i="1"/>
  <c r="M62" i="1"/>
  <c r="I62" i="1"/>
  <c r="H62" i="1"/>
  <c r="G62" i="1"/>
  <c r="O61" i="1"/>
  <c r="M61" i="1"/>
  <c r="I61" i="1"/>
  <c r="H61" i="1"/>
  <c r="G61" i="1"/>
  <c r="O60" i="1"/>
  <c r="I60" i="1"/>
  <c r="H60" i="1"/>
  <c r="G60" i="1"/>
  <c r="O59" i="1"/>
  <c r="M59" i="1"/>
  <c r="I59" i="1"/>
  <c r="H59" i="1"/>
  <c r="G59" i="1"/>
  <c r="O58" i="1"/>
  <c r="M58" i="1"/>
  <c r="I58" i="1"/>
  <c r="H58" i="1"/>
  <c r="G58" i="1"/>
  <c r="O57" i="1"/>
  <c r="M57" i="1"/>
  <c r="I57" i="1"/>
  <c r="H57" i="1"/>
  <c r="G57" i="1"/>
  <c r="O56" i="1"/>
  <c r="M56" i="1"/>
  <c r="I56" i="1"/>
  <c r="H56" i="1"/>
  <c r="G56" i="1"/>
  <c r="O55" i="1"/>
  <c r="M55" i="1"/>
  <c r="I55" i="1"/>
  <c r="H55" i="1"/>
  <c r="G55" i="1"/>
  <c r="O54" i="1"/>
  <c r="M54" i="1"/>
  <c r="I54" i="1"/>
  <c r="H54" i="1"/>
  <c r="G54" i="1"/>
  <c r="O53" i="1"/>
  <c r="M53" i="1"/>
  <c r="I53" i="1"/>
  <c r="H53" i="1"/>
  <c r="G53" i="1"/>
  <c r="O52" i="1"/>
  <c r="M52" i="1"/>
  <c r="I52" i="1"/>
  <c r="H52" i="1"/>
  <c r="G52" i="1"/>
  <c r="O51" i="1"/>
  <c r="I51" i="1"/>
  <c r="H51" i="1"/>
  <c r="G51" i="1"/>
  <c r="O50" i="1"/>
  <c r="I50" i="1"/>
  <c r="H50" i="1"/>
  <c r="G50" i="1"/>
  <c r="O49" i="1"/>
  <c r="I49" i="1"/>
  <c r="H49" i="1"/>
  <c r="G49" i="1"/>
  <c r="O48" i="1"/>
  <c r="M48" i="1"/>
  <c r="I48" i="1"/>
  <c r="H48" i="1"/>
  <c r="G48" i="1"/>
  <c r="O47" i="1"/>
  <c r="M47" i="1"/>
  <c r="I47" i="1"/>
  <c r="H47" i="1"/>
  <c r="G47" i="1"/>
  <c r="O46" i="1"/>
  <c r="M46" i="1"/>
  <c r="I46" i="1"/>
  <c r="H46" i="1"/>
  <c r="G46" i="1"/>
  <c r="O45" i="1"/>
  <c r="I45" i="1"/>
  <c r="H45" i="1"/>
  <c r="G45" i="1"/>
  <c r="O44" i="1"/>
  <c r="M44" i="1"/>
  <c r="I44" i="1"/>
  <c r="H44" i="1"/>
  <c r="G44" i="1"/>
  <c r="O43" i="1"/>
  <c r="M43" i="1"/>
  <c r="I43" i="1"/>
  <c r="H43" i="1"/>
  <c r="G43" i="1"/>
  <c r="O42" i="1"/>
  <c r="M42" i="1"/>
  <c r="I42" i="1"/>
  <c r="H42" i="1"/>
  <c r="G42" i="1"/>
  <c r="O41" i="1"/>
  <c r="M41" i="1"/>
  <c r="I41" i="1"/>
  <c r="H41" i="1"/>
  <c r="G41" i="1"/>
  <c r="O40" i="1"/>
  <c r="I40" i="1"/>
  <c r="H40" i="1"/>
  <c r="G40" i="1"/>
  <c r="O39" i="1"/>
  <c r="M39" i="1"/>
  <c r="I39" i="1"/>
  <c r="H39" i="1"/>
  <c r="G39" i="1"/>
  <c r="O38" i="1"/>
  <c r="I38" i="1"/>
  <c r="H38" i="1"/>
  <c r="G38" i="1"/>
  <c r="O37" i="1"/>
  <c r="M37" i="1"/>
  <c r="I37" i="1"/>
  <c r="H37" i="1"/>
  <c r="G37" i="1"/>
  <c r="O36" i="1"/>
  <c r="M36" i="1"/>
  <c r="I36" i="1"/>
  <c r="H36" i="1"/>
  <c r="G36" i="1"/>
  <c r="O35" i="1"/>
  <c r="M35" i="1"/>
  <c r="I35" i="1"/>
  <c r="H35" i="1"/>
  <c r="G35" i="1"/>
  <c r="O34" i="1"/>
  <c r="I34" i="1"/>
  <c r="H34" i="1"/>
  <c r="G34" i="1"/>
  <c r="O33" i="1"/>
  <c r="I33" i="1"/>
  <c r="H33" i="1"/>
  <c r="G33" i="1"/>
  <c r="O32" i="1"/>
  <c r="I32" i="1"/>
  <c r="H32" i="1"/>
  <c r="G32" i="1"/>
  <c r="O31" i="1"/>
  <c r="M31" i="1"/>
  <c r="I31" i="1"/>
  <c r="H31" i="1"/>
  <c r="G31" i="1"/>
  <c r="O30" i="1"/>
  <c r="I30" i="1"/>
  <c r="H30" i="1"/>
  <c r="G30" i="1"/>
  <c r="O29" i="1"/>
  <c r="I29" i="1"/>
  <c r="H29" i="1"/>
  <c r="G29" i="1"/>
  <c r="O28" i="1"/>
  <c r="M28" i="1"/>
  <c r="I28" i="1"/>
  <c r="H28" i="1"/>
  <c r="G28" i="1"/>
  <c r="O27" i="1"/>
  <c r="I27" i="1"/>
  <c r="H27" i="1"/>
  <c r="G27" i="1"/>
  <c r="O26" i="1"/>
  <c r="M26" i="1"/>
  <c r="I26" i="1"/>
  <c r="H26" i="1"/>
  <c r="G26" i="1"/>
  <c r="O25" i="1"/>
  <c r="M25" i="1"/>
  <c r="I25" i="1"/>
  <c r="H25" i="1"/>
  <c r="G25" i="1"/>
  <c r="O24" i="1"/>
  <c r="M24" i="1"/>
  <c r="I24" i="1"/>
  <c r="H24" i="1"/>
  <c r="G24" i="1"/>
  <c r="O23" i="1"/>
  <c r="M23" i="1"/>
  <c r="I23" i="1"/>
  <c r="H23" i="1"/>
  <c r="G23" i="1"/>
  <c r="O22" i="1"/>
  <c r="M22" i="1"/>
  <c r="I22" i="1"/>
  <c r="H22" i="1"/>
  <c r="G22" i="1"/>
  <c r="O21" i="1"/>
  <c r="M21" i="1"/>
  <c r="I21" i="1"/>
  <c r="H21" i="1"/>
  <c r="G21" i="1"/>
  <c r="O20" i="1"/>
  <c r="M20" i="1"/>
  <c r="I20" i="1"/>
  <c r="H20" i="1"/>
  <c r="G20" i="1"/>
  <c r="O19" i="1"/>
  <c r="M19" i="1"/>
  <c r="I19" i="1"/>
  <c r="H19" i="1"/>
  <c r="G19" i="1"/>
  <c r="O18" i="1"/>
  <c r="I18" i="1"/>
  <c r="H18" i="1"/>
  <c r="G18" i="1"/>
  <c r="O17" i="1"/>
  <c r="M17" i="1"/>
  <c r="I17" i="1"/>
  <c r="H17" i="1"/>
  <c r="G17" i="1"/>
  <c r="O16" i="1"/>
  <c r="M16" i="1"/>
  <c r="I16" i="1"/>
  <c r="H16" i="1"/>
  <c r="G16" i="1"/>
  <c r="O15" i="1"/>
  <c r="M15" i="1"/>
  <c r="I15" i="1"/>
  <c r="H15" i="1"/>
  <c r="G15" i="1"/>
  <c r="O14" i="1"/>
  <c r="M14" i="1"/>
  <c r="I14" i="1"/>
  <c r="H14" i="1"/>
  <c r="G14" i="1"/>
  <c r="O13" i="1"/>
  <c r="I13" i="1"/>
  <c r="H13" i="1"/>
  <c r="G13" i="1"/>
  <c r="O12" i="1"/>
  <c r="M12" i="1"/>
  <c r="I12" i="1"/>
  <c r="H12" i="1"/>
  <c r="G12" i="1"/>
  <c r="O11" i="1"/>
  <c r="I11" i="1"/>
  <c r="H11" i="1"/>
  <c r="G11" i="1"/>
  <c r="O10" i="1"/>
  <c r="I10" i="1"/>
  <c r="H10" i="1"/>
  <c r="G10" i="1"/>
  <c r="O9" i="1"/>
  <c r="I9" i="1"/>
  <c r="H9" i="1"/>
  <c r="G9" i="1"/>
  <c r="O8" i="1"/>
  <c r="I8" i="1"/>
  <c r="H8" i="1"/>
  <c r="G8" i="1"/>
  <c r="O7" i="1"/>
  <c r="M7" i="1"/>
  <c r="I7" i="1"/>
  <c r="H7" i="1"/>
  <c r="G7" i="1"/>
  <c r="O6" i="1"/>
  <c r="M6" i="1"/>
  <c r="I6" i="1"/>
  <c r="H6" i="1"/>
  <c r="G6" i="1"/>
  <c r="O5" i="1"/>
  <c r="M5" i="1"/>
  <c r="I5" i="1"/>
  <c r="H5" i="1"/>
  <c r="G5" i="1"/>
  <c r="O4" i="1"/>
  <c r="M4" i="1"/>
  <c r="I4" i="1"/>
  <c r="H4" i="1"/>
  <c r="G4" i="1"/>
  <c r="O3" i="1"/>
  <c r="M3" i="1"/>
  <c r="I3" i="1"/>
  <c r="H3" i="1"/>
  <c r="G3" i="1"/>
  <c r="O2" i="1"/>
  <c r="M2" i="1"/>
  <c r="I2" i="1"/>
  <c r="H2" i="1"/>
  <c r="G2" i="1"/>
</calcChain>
</file>

<file path=xl/sharedStrings.xml><?xml version="1.0" encoding="utf-8"?>
<sst xmlns="http://schemas.openxmlformats.org/spreadsheetml/2006/main" count="1034" uniqueCount="242">
  <si>
    <t>N° FACTURA</t>
  </si>
  <si>
    <t>FECHA</t>
  </si>
  <si>
    <t>TIPO FACTURA</t>
  </si>
  <si>
    <t>CLIENTE</t>
  </si>
  <si>
    <t>LUGAR ENVÍO</t>
  </si>
  <si>
    <t>ID</t>
  </si>
  <si>
    <t>Corregimiento</t>
  </si>
  <si>
    <t>DISTANCIA (km)</t>
  </si>
  <si>
    <t>Valor del transporte/KM</t>
  </si>
  <si>
    <t>PESO EST. (kg)</t>
  </si>
  <si>
    <t>Numero de Transportes</t>
  </si>
  <si>
    <t>VLR. TRANSPORTE</t>
  </si>
  <si>
    <t>Valor Tran</t>
  </si>
  <si>
    <t>VLR. TOTAL FACT.</t>
  </si>
  <si>
    <t>VLR. PRODUCTOS</t>
  </si>
  <si>
    <t>Local/Tercero (1/0)</t>
  </si>
  <si>
    <t>FORMA PAGO</t>
  </si>
  <si>
    <t>sai</t>
  </si>
  <si>
    <t>Elizabeth Perlaza</t>
  </si>
  <si>
    <t xml:space="preserve">Villahermosa </t>
  </si>
  <si>
    <t>Multiples</t>
  </si>
  <si>
    <t>jhon alex</t>
  </si>
  <si>
    <t>efectivo</t>
  </si>
  <si>
    <t>NA</t>
  </si>
  <si>
    <t>Villa saman</t>
  </si>
  <si>
    <t>transferencia</t>
  </si>
  <si>
    <t>Carlos Torres</t>
  </si>
  <si>
    <t>manual</t>
  </si>
  <si>
    <t>miriam gomez</t>
  </si>
  <si>
    <t>katherine</t>
  </si>
  <si>
    <t>Villa emilia</t>
  </si>
  <si>
    <t>2025-11-20</t>
  </si>
  <si>
    <t>Amparo Rodriguez</t>
  </si>
  <si>
    <t>villa del toro</t>
  </si>
  <si>
    <t>tarjeta</t>
  </si>
  <si>
    <t>2025-11-12</t>
  </si>
  <si>
    <t>Oscar Narvaez</t>
  </si>
  <si>
    <t>2025-11-13</t>
  </si>
  <si>
    <t>Olga Patricia</t>
  </si>
  <si>
    <t>2025-11-26</t>
  </si>
  <si>
    <t>Tania Duque</t>
  </si>
  <si>
    <t>isabel castaño</t>
  </si>
  <si>
    <t>2025-11-11</t>
  </si>
  <si>
    <t>Esperanza Ortega</t>
  </si>
  <si>
    <t>martha rosero</t>
  </si>
  <si>
    <t>Tortolas</t>
  </si>
  <si>
    <t>Martha Rosero</t>
  </si>
  <si>
    <t>julio daza</t>
  </si>
  <si>
    <t>Julio Daza</t>
  </si>
  <si>
    <t>Transferencia</t>
  </si>
  <si>
    <t>2025-11-07</t>
  </si>
  <si>
    <t>Ferney Bernal</t>
  </si>
  <si>
    <t>eduardo olaus</t>
  </si>
  <si>
    <t>Tocota</t>
  </si>
  <si>
    <t>Guerardo Hernandez</t>
  </si>
  <si>
    <t>diego zuluaga</t>
  </si>
  <si>
    <t>Jose Murillo</t>
  </si>
  <si>
    <t>Tarjeta</t>
  </si>
  <si>
    <t>jose correa</t>
  </si>
  <si>
    <t>Tierras blancas</t>
  </si>
  <si>
    <t>2025-11-21</t>
  </si>
  <si>
    <t>Maria Del Carmen</t>
  </si>
  <si>
    <t>sergio bautista</t>
  </si>
  <si>
    <t>2025-11-17</t>
  </si>
  <si>
    <t>Sandra Palomino</t>
  </si>
  <si>
    <t>San miguel</t>
  </si>
  <si>
    <t>Mario Duran</t>
  </si>
  <si>
    <t>mireya lopez</t>
  </si>
  <si>
    <t>San Miguel</t>
  </si>
  <si>
    <t>2025-11-29</t>
  </si>
  <si>
    <t>2025-11-25</t>
  </si>
  <si>
    <t>Luis Fernando</t>
  </si>
  <si>
    <t>2025-11-10</t>
  </si>
  <si>
    <t>Monica Pastrana</t>
  </si>
  <si>
    <t>jhon cruz</t>
  </si>
  <si>
    <t>juan barado</t>
  </si>
  <si>
    <t>San Jose del Salado</t>
  </si>
  <si>
    <t>transferenica</t>
  </si>
  <si>
    <t>monica pastrana</t>
  </si>
  <si>
    <t>2025-11-22</t>
  </si>
  <si>
    <t>Antonio Jimenez</t>
  </si>
  <si>
    <t>carlos gawes</t>
  </si>
  <si>
    <t>2025-11-15</t>
  </si>
  <si>
    <t>Gustavo Chaux</t>
  </si>
  <si>
    <t>Fundación Shekina</t>
  </si>
  <si>
    <t>doris villarriaga</t>
  </si>
  <si>
    <t>San Fernando</t>
  </si>
  <si>
    <t>jose giraldo</t>
  </si>
  <si>
    <t>Soraya Vargas</t>
  </si>
  <si>
    <t>elizabeth</t>
  </si>
  <si>
    <t xml:space="preserve">Saliendo del carmen </t>
  </si>
  <si>
    <t>Samuel Calle</t>
  </si>
  <si>
    <t>2025-11-01</t>
  </si>
  <si>
    <t xml:space="preserve">Salida al carmen </t>
  </si>
  <si>
    <t>Edilson Vargas</t>
  </si>
  <si>
    <t>2025-11-27</t>
  </si>
  <si>
    <t>Sebastian Barragan</t>
  </si>
  <si>
    <t>victor</t>
  </si>
  <si>
    <t>angui rengifo</t>
  </si>
  <si>
    <t>maria del carmen</t>
  </si>
  <si>
    <t>Pirineos</t>
  </si>
  <si>
    <t>Maria Del Carmen Astorquiza</t>
  </si>
  <si>
    <t>oscar quiñonez</t>
  </si>
  <si>
    <t>mario camacho</t>
  </si>
  <si>
    <t>Nicolas Caicedo</t>
  </si>
  <si>
    <t>2025-11-04</t>
  </si>
  <si>
    <t xml:space="preserve">Parcelaón las palmas </t>
  </si>
  <si>
    <t>Robinson Muñoz</t>
  </si>
  <si>
    <t>Carlos Arturo</t>
  </si>
  <si>
    <t>ibette</t>
  </si>
  <si>
    <t>Parcelación Monterico</t>
  </si>
  <si>
    <t>eliana jareamillo</t>
  </si>
  <si>
    <t>trasferencia</t>
  </si>
  <si>
    <t>Guillermo Lozada</t>
  </si>
  <si>
    <t>Parcelacion la Cristalina</t>
  </si>
  <si>
    <t>Fidel Charria</t>
  </si>
  <si>
    <t>guillermo</t>
  </si>
  <si>
    <t>cesar</t>
  </si>
  <si>
    <t>luis montes</t>
  </si>
  <si>
    <t>Parcelación El bosque</t>
  </si>
  <si>
    <t>Maria Amparo Aula</t>
  </si>
  <si>
    <t>Ismael Grao</t>
  </si>
  <si>
    <t>diego sarria</t>
  </si>
  <si>
    <t xml:space="preserve">Parcelación Ambichinte </t>
  </si>
  <si>
    <t>Panamericano</t>
  </si>
  <si>
    <t>palo alto</t>
  </si>
  <si>
    <t>gladis jordan</t>
  </si>
  <si>
    <t>Viviana Torres</t>
  </si>
  <si>
    <t>Pa la chingada</t>
  </si>
  <si>
    <t>maria victoria</t>
  </si>
  <si>
    <t>Monteredondo</t>
  </si>
  <si>
    <t>robinson</t>
  </si>
  <si>
    <t>alfonso ortega</t>
  </si>
  <si>
    <t>Mirador Bellavista</t>
  </si>
  <si>
    <t>jose londoño</t>
  </si>
  <si>
    <t>Los bomberos</t>
  </si>
  <si>
    <t>Oscar Osorio</t>
  </si>
  <si>
    <t>Sandra Viviana</t>
  </si>
  <si>
    <t>raul castillo</t>
  </si>
  <si>
    <t>oscar osorio</t>
  </si>
  <si>
    <t>Viviana</t>
  </si>
  <si>
    <t xml:space="preserve">Las villas del carmen </t>
  </si>
  <si>
    <t>stiven torres</t>
  </si>
  <si>
    <t>viviana</t>
  </si>
  <si>
    <t>Yeferson Gil</t>
  </si>
  <si>
    <t xml:space="preserve">Las playas </t>
  </si>
  <si>
    <t>La Zulia 3</t>
  </si>
  <si>
    <t>alba lucia</t>
  </si>
  <si>
    <t>angelica camacho</t>
  </si>
  <si>
    <t>La Zulia 2</t>
  </si>
  <si>
    <t>mauricio</t>
  </si>
  <si>
    <t>2025-11-18</t>
  </si>
  <si>
    <t>Martha Lucia Noreña</t>
  </si>
  <si>
    <t>La Zulia 1</t>
  </si>
  <si>
    <t>soraya</t>
  </si>
  <si>
    <t>La recta</t>
  </si>
  <si>
    <t>2025-11-28</t>
  </si>
  <si>
    <t>telenec</t>
  </si>
  <si>
    <t>la florida</t>
  </si>
  <si>
    <t>Everardo Hernandez</t>
  </si>
  <si>
    <t>wilson marin</t>
  </si>
  <si>
    <t>alberto nieto</t>
  </si>
  <si>
    <t>La clorinda</t>
  </si>
  <si>
    <t>La Clorinda</t>
  </si>
  <si>
    <t>2025-11-08</t>
  </si>
  <si>
    <t>esperanza ortega</t>
  </si>
  <si>
    <t xml:space="preserve">La cabaña </t>
  </si>
  <si>
    <t>la bomba</t>
  </si>
  <si>
    <t>jhonatan rengifo</t>
  </si>
  <si>
    <t>mauricio rojas</t>
  </si>
  <si>
    <t>KM 40</t>
  </si>
  <si>
    <t>rojas</t>
  </si>
  <si>
    <t>jaime hemera</t>
  </si>
  <si>
    <t>KM 37</t>
  </si>
  <si>
    <t>William Moreno</t>
  </si>
  <si>
    <t>KM 34</t>
  </si>
  <si>
    <t>mario duran</t>
  </si>
  <si>
    <t>antonio jimenes</t>
  </si>
  <si>
    <t>sandra palomino</t>
  </si>
  <si>
    <t>2025-11-06</t>
  </si>
  <si>
    <t>fernando ceballo</t>
  </si>
  <si>
    <t>Km 28</t>
  </si>
  <si>
    <t>Gloria Amparo</t>
  </si>
  <si>
    <t>KM 28</t>
  </si>
  <si>
    <t>KM 27</t>
  </si>
  <si>
    <t>joan solarte</t>
  </si>
  <si>
    <t>brayan castrillo</t>
  </si>
  <si>
    <t>KM 26</t>
  </si>
  <si>
    <t>carlos arturo</t>
  </si>
  <si>
    <t>doris aice</t>
  </si>
  <si>
    <t>KM 25</t>
  </si>
  <si>
    <t>Cecilia Morales</t>
  </si>
  <si>
    <t>vicente</t>
  </si>
  <si>
    <t xml:space="preserve">KM 24 </t>
  </si>
  <si>
    <t>felipe mina</t>
  </si>
  <si>
    <t>el queremal</t>
  </si>
  <si>
    <t>Diana Mosquera</t>
  </si>
  <si>
    <t>El parque</t>
  </si>
  <si>
    <t>ferreteria el palmar</t>
  </si>
  <si>
    <t>El palmar</t>
  </si>
  <si>
    <t>jhon nañez</t>
  </si>
  <si>
    <t>na</t>
  </si>
  <si>
    <t>El limonar</t>
  </si>
  <si>
    <t>fabian</t>
  </si>
  <si>
    <t>alberto</t>
  </si>
  <si>
    <t>El diviso</t>
  </si>
  <si>
    <t>Jose Gonzalez</t>
  </si>
  <si>
    <t>El Diviso</t>
  </si>
  <si>
    <t>luis enrique</t>
  </si>
  <si>
    <t>sonia mendez</t>
  </si>
  <si>
    <t>El Coscorron</t>
  </si>
  <si>
    <t>Jose Tuan</t>
  </si>
  <si>
    <t>mirna pesquen</t>
  </si>
  <si>
    <t>Mirna Yesquen</t>
  </si>
  <si>
    <t>jhon jairo</t>
  </si>
  <si>
    <t>oscar narvaes</t>
  </si>
  <si>
    <t>Aleyda Martinez</t>
  </si>
  <si>
    <t>El chiringuito</t>
  </si>
  <si>
    <t>sebastian</t>
  </si>
  <si>
    <t>El chilcal</t>
  </si>
  <si>
    <t>carlos montes</t>
  </si>
  <si>
    <t>El Carmelo</t>
  </si>
  <si>
    <t>2025-11-24</t>
  </si>
  <si>
    <t>Cositas ricas</t>
  </si>
  <si>
    <t>Chipre</t>
  </si>
  <si>
    <t>tania duque</t>
  </si>
  <si>
    <t>casa verde</t>
  </si>
  <si>
    <t>sandra</t>
  </si>
  <si>
    <t>Carmen</t>
  </si>
  <si>
    <t>omar lozano</t>
  </si>
  <si>
    <t>2025-11-05</t>
  </si>
  <si>
    <t>bahondo</t>
  </si>
  <si>
    <t>ansisar</t>
  </si>
  <si>
    <t>azul y verde</t>
  </si>
  <si>
    <t>juan solarte</t>
  </si>
  <si>
    <t>Altos del Carmen</t>
  </si>
  <si>
    <t>ade</t>
  </si>
  <si>
    <t>Kimios Cali Joyeria</t>
  </si>
  <si>
    <t>jaime reyes</t>
  </si>
  <si>
    <t>Altos de las Tortolas</t>
  </si>
  <si>
    <t>vasquez</t>
  </si>
  <si>
    <t>Agua Sucia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</si>
</sst>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* #,##0_-;\-&quot;$&quot;* #,##0_-;_-&quot;$&quot;* &quot;-&quot;??_-;_-@_-"/>
    <numFmt numFmtId="165" formatCode="_-&quot;$&quot;* #,##0.00_-;\-&quot;$&quot;* #,##0.00_-;_-&quot;$&quot;* &quot;-&quot;??_-;_-@_-"/>
    <numFmt numFmtId="166" formatCode="dd/mm/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37474F"/>
      <name val="Calibri"/>
      <family val="2"/>
    </font>
    <font>
      <sz val="10"/>
      <color theme="9" tint="-0.249977111117893"/>
      <name val="Arial"/>
      <family val="2"/>
    </font>
    <font>
      <sz val="11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176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2F7F4"/>
      </patternFill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CCCCCC"/>
      </top>
      <bottom style="medium">
        <color rgb="FFE0E0E0"/>
      </bottom>
      <diagonal/>
    </border>
    <border>
      <left style="medium">
        <color rgb="FFCCCCCC"/>
      </left>
      <right style="medium">
        <color rgb="FFE0E0E0"/>
      </right>
      <top style="medium">
        <color rgb="FFCCCCCC"/>
      </top>
      <bottom style="medium">
        <color rgb="FFE0E0E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 wrapText="1"/>
    </xf>
    <xf numFmtId="14" fontId="4" fillId="7" borderId="3" xfId="0" applyNumberFormat="1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164" fontId="4" fillId="7" borderId="3" xfId="0" applyNumberFormat="1" applyFont="1" applyFill="1" applyBorder="1" applyAlignment="1">
      <alignment horizontal="center" wrapText="1"/>
    </xf>
    <xf numFmtId="0" fontId="4" fillId="7" borderId="3" xfId="0" applyFont="1" applyFill="1" applyBorder="1" applyAlignment="1">
      <alignment wrapText="1"/>
    </xf>
    <xf numFmtId="164" fontId="4" fillId="7" borderId="3" xfId="1" applyNumberFormat="1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66" fontId="4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164" fontId="4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164" fontId="4" fillId="0" borderId="3" xfId="1" applyNumberFormat="1" applyFont="1" applyBorder="1" applyAlignment="1">
      <alignment horizontal="center" wrapText="1"/>
    </xf>
    <xf numFmtId="0" fontId="4" fillId="8" borderId="3" xfId="0" applyFont="1" applyFill="1" applyBorder="1" applyAlignment="1">
      <alignment horizontal="center" wrapText="1"/>
    </xf>
    <xf numFmtId="14" fontId="4" fillId="8" borderId="3" xfId="0" applyNumberFormat="1" applyFont="1" applyFill="1" applyBorder="1" applyAlignment="1">
      <alignment horizontal="center" wrapText="1"/>
    </xf>
    <xf numFmtId="0" fontId="4" fillId="8" borderId="4" xfId="0" applyFont="1" applyFill="1" applyBorder="1" applyAlignment="1">
      <alignment horizontal="center" wrapText="1"/>
    </xf>
    <xf numFmtId="164" fontId="4" fillId="8" borderId="3" xfId="0" applyNumberFormat="1" applyFont="1" applyFill="1" applyBorder="1" applyAlignment="1">
      <alignment wrapText="1"/>
    </xf>
    <xf numFmtId="0" fontId="4" fillId="8" borderId="3" xfId="0" applyFont="1" applyFill="1" applyBorder="1" applyAlignment="1">
      <alignment wrapText="1"/>
    </xf>
    <xf numFmtId="164" fontId="4" fillId="8" borderId="3" xfId="1" applyNumberFormat="1" applyFont="1" applyFill="1" applyBorder="1" applyAlignment="1">
      <alignment horizontal="center" wrapText="1"/>
    </xf>
    <xf numFmtId="166" fontId="4" fillId="7" borderId="3" xfId="0" applyNumberFormat="1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 wrapText="1"/>
    </xf>
    <xf numFmtId="14" fontId="4" fillId="0" borderId="3" xfId="0" applyNumberFormat="1" applyFont="1" applyBorder="1" applyAlignment="1">
      <alignment horizontal="center" wrapText="1"/>
    </xf>
    <xf numFmtId="0" fontId="4" fillId="9" borderId="3" xfId="0" applyFont="1" applyFill="1" applyBorder="1" applyAlignment="1">
      <alignment horizontal="center" wrapText="1"/>
    </xf>
    <xf numFmtId="14" fontId="4" fillId="9" borderId="3" xfId="0" applyNumberFormat="1" applyFont="1" applyFill="1" applyBorder="1" applyAlignment="1">
      <alignment horizontal="center" wrapText="1"/>
    </xf>
    <xf numFmtId="0" fontId="4" fillId="9" borderId="3" xfId="0" applyFont="1" applyFill="1" applyBorder="1" applyAlignment="1">
      <alignment wrapText="1"/>
    </xf>
    <xf numFmtId="164" fontId="4" fillId="9" borderId="3" xfId="1" applyNumberFormat="1" applyFont="1" applyFill="1" applyBorder="1" applyAlignment="1">
      <alignment horizontal="center" wrapText="1"/>
    </xf>
    <xf numFmtId="0" fontId="4" fillId="10" borderId="3" xfId="0" applyFont="1" applyFill="1" applyBorder="1" applyAlignment="1">
      <alignment horizontal="center" wrapText="1"/>
    </xf>
    <xf numFmtId="14" fontId="4" fillId="10" borderId="3" xfId="0" applyNumberFormat="1" applyFont="1" applyFill="1" applyBorder="1" applyAlignment="1">
      <alignment horizontal="center" wrapText="1"/>
    </xf>
    <xf numFmtId="0" fontId="4" fillId="10" borderId="0" xfId="0" applyFont="1" applyFill="1" applyAlignment="1">
      <alignment horizontal="center" wrapText="1"/>
    </xf>
    <xf numFmtId="0" fontId="4" fillId="10" borderId="3" xfId="0" applyFont="1" applyFill="1" applyBorder="1" applyAlignment="1">
      <alignment wrapText="1"/>
    </xf>
    <xf numFmtId="164" fontId="4" fillId="10" borderId="3" xfId="1" applyNumberFormat="1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11" borderId="3" xfId="0" applyFont="1" applyFill="1" applyBorder="1"/>
    <xf numFmtId="0" fontId="4" fillId="9" borderId="4" xfId="0" applyFont="1" applyFill="1" applyBorder="1" applyAlignment="1">
      <alignment horizontal="center" wrapText="1"/>
    </xf>
    <xf numFmtId="0" fontId="6" fillId="11" borderId="4" xfId="0" applyFont="1" applyFill="1" applyBorder="1"/>
    <xf numFmtId="164" fontId="4" fillId="0" borderId="3" xfId="0" applyNumberFormat="1" applyFont="1" applyBorder="1" applyAlignment="1">
      <alignment wrapText="1"/>
    </xf>
    <xf numFmtId="0" fontId="4" fillId="10" borderId="4" xfId="0" applyFont="1" applyFill="1" applyBorder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4" fillId="7" borderId="5" xfId="0" applyFont="1" applyFill="1" applyBorder="1" applyAlignment="1">
      <alignment horizontal="center" wrapText="1"/>
    </xf>
    <xf numFmtId="14" fontId="4" fillId="7" borderId="5" xfId="0" applyNumberFormat="1" applyFont="1" applyFill="1" applyBorder="1" applyAlignment="1">
      <alignment horizontal="center" wrapText="1"/>
    </xf>
    <xf numFmtId="164" fontId="4" fillId="7" borderId="5" xfId="0" applyNumberFormat="1" applyFont="1" applyFill="1" applyBorder="1" applyAlignment="1">
      <alignment horizontal="center" wrapText="1"/>
    </xf>
    <xf numFmtId="0" fontId="4" fillId="7" borderId="5" xfId="0" applyFont="1" applyFill="1" applyBorder="1" applyAlignment="1">
      <alignment wrapText="1"/>
    </xf>
    <xf numFmtId="164" fontId="4" fillId="7" borderId="5" xfId="1" applyNumberFormat="1" applyFont="1" applyFill="1" applyBorder="1" applyAlignment="1">
      <alignment horizontal="center" wrapText="1"/>
    </xf>
    <xf numFmtId="166" fontId="4" fillId="7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center" wrapText="1"/>
    </xf>
    <xf numFmtId="14" fontId="4" fillId="9" borderId="5" xfId="0" applyNumberFormat="1" applyFont="1" applyFill="1" applyBorder="1" applyAlignment="1">
      <alignment horizontal="center" wrapText="1"/>
    </xf>
    <xf numFmtId="0" fontId="6" fillId="11" borderId="5" xfId="0" applyFont="1" applyFill="1" applyBorder="1"/>
    <xf numFmtId="0" fontId="4" fillId="9" borderId="5" xfId="0" applyFont="1" applyFill="1" applyBorder="1" applyAlignment="1">
      <alignment wrapText="1"/>
    </xf>
    <xf numFmtId="164" fontId="4" fillId="9" borderId="5" xfId="1" applyNumberFormat="1" applyFont="1" applyFill="1" applyBorder="1" applyAlignment="1">
      <alignment horizontal="center" wrapText="1"/>
    </xf>
    <xf numFmtId="0" fontId="6" fillId="11" borderId="0" xfId="0" applyFont="1" applyFill="1"/>
    <xf numFmtId="0" fontId="4" fillId="10" borderId="5" xfId="0" applyFont="1" applyFill="1" applyBorder="1" applyAlignment="1">
      <alignment horizontal="center" wrapText="1"/>
    </xf>
    <xf numFmtId="14" fontId="4" fillId="10" borderId="5" xfId="0" applyNumberFormat="1" applyFont="1" applyFill="1" applyBorder="1" applyAlignment="1">
      <alignment horizontal="center" wrapText="1"/>
    </xf>
    <xf numFmtId="0" fontId="4" fillId="10" borderId="5" xfId="0" applyFont="1" applyFill="1" applyBorder="1" applyAlignment="1">
      <alignment wrapText="1"/>
    </xf>
    <xf numFmtId="164" fontId="4" fillId="10" borderId="5" xfId="1" applyNumberFormat="1" applyFont="1" applyFill="1" applyBorder="1" applyAlignment="1">
      <alignment horizontal="center" wrapText="1"/>
    </xf>
    <xf numFmtId="0" fontId="4" fillId="7" borderId="6" xfId="0" applyFont="1" applyFill="1" applyBorder="1" applyAlignment="1">
      <alignment horizontal="center" wrapText="1"/>
    </xf>
    <xf numFmtId="164" fontId="4" fillId="7" borderId="5" xfId="0" applyNumberFormat="1" applyFont="1" applyFill="1" applyBorder="1" applyAlignment="1">
      <alignment wrapText="1"/>
    </xf>
    <xf numFmtId="0" fontId="5" fillId="0" borderId="3" xfId="0" applyFont="1" applyBorder="1"/>
    <xf numFmtId="0" fontId="5" fillId="7" borderId="5" xfId="0" applyFont="1" applyFill="1" applyBorder="1"/>
    <xf numFmtId="164" fontId="4" fillId="8" borderId="3" xfId="0" applyNumberFormat="1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wrapText="1"/>
    </xf>
    <xf numFmtId="14" fontId="4" fillId="8" borderId="5" xfId="0" applyNumberFormat="1" applyFont="1" applyFill="1" applyBorder="1" applyAlignment="1">
      <alignment horizontal="center" wrapText="1"/>
    </xf>
    <xf numFmtId="164" fontId="4" fillId="8" borderId="5" xfId="0" applyNumberFormat="1" applyFont="1" applyFill="1" applyBorder="1" applyAlignment="1">
      <alignment horizontal="center" wrapText="1"/>
    </xf>
    <xf numFmtId="0" fontId="4" fillId="8" borderId="5" xfId="0" applyFont="1" applyFill="1" applyBorder="1" applyAlignment="1">
      <alignment wrapText="1"/>
    </xf>
    <xf numFmtId="164" fontId="4" fillId="8" borderId="5" xfId="1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0" borderId="5" xfId="1" applyNumberFormat="1" applyFont="1" applyBorder="1" applyAlignment="1">
      <alignment horizontal="center" wrapText="1"/>
    </xf>
    <xf numFmtId="0" fontId="4" fillId="9" borderId="6" xfId="0" applyFont="1" applyFill="1" applyBorder="1" applyAlignment="1">
      <alignment horizontal="center" wrapText="1"/>
    </xf>
    <xf numFmtId="0" fontId="6" fillId="11" borderId="6" xfId="0" applyFont="1" applyFill="1" applyBorder="1"/>
    <xf numFmtId="0" fontId="4" fillId="0" borderId="5" xfId="0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 wrapText="1"/>
    </xf>
    <xf numFmtId="164" fontId="4" fillId="0" borderId="5" xfId="0" applyNumberFormat="1" applyFont="1" applyBorder="1" applyAlignment="1">
      <alignment wrapText="1"/>
    </xf>
    <xf numFmtId="164" fontId="4" fillId="8" borderId="5" xfId="0" applyNumberFormat="1" applyFont="1" applyFill="1" applyBorder="1" applyAlignment="1">
      <alignment wrapText="1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165" fontId="4" fillId="7" borderId="3" xfId="1" applyNumberFormat="1" applyFont="1" applyFill="1" applyBorder="1" applyAlignment="1">
      <alignment horizontal="center" wrapText="1"/>
    </xf>
    <xf numFmtId="165" fontId="4" fillId="7" borderId="5" xfId="1" applyNumberFormat="1" applyFont="1" applyFill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MATERIAS%20QUINTO%20SEMESTRE/PROYECTO%201/proyecto1/Base%20final.xlsx" TargetMode="External"/><Relationship Id="rId2" Type="http://schemas.openxmlformats.org/officeDocument/2006/relationships/externalLinkPath" Target="file:///C:\Users\jhoan\Desktop\MATERIAS%20QUINTO%20SEMESTRE\PROYECTO%201\proyecto1\Base%20final.xlsx" TargetMode="External"/><Relationship Id="rId1" Type="http://schemas.openxmlformats.org/officeDocument/2006/relationships/externalLinkPath" Target="/Users/jhoan/Desktop/MATERIAS%20QUINTO%20SEMESTRE/PROYECTO%201/proyecto1/Base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C COSTEO"/>
      <sheetName val="Fechas Y ubicaciones"/>
      <sheetName val="Base de datos"/>
      <sheetName val="ANALISIS DEL MARGEN"/>
      <sheetName val="Hoja1"/>
      <sheetName val="Distancias"/>
      <sheetName val="Listas"/>
      <sheetName val="Base Diego"/>
      <sheetName val="Ven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A546-A0CD-4B0B-8AAE-E7BC6A6C660B}">
  <dimension ref="A1:Q241"/>
  <sheetViews>
    <sheetView tabSelected="1" topLeftCell="A170" workbookViewId="0">
      <selection activeCell="H97" sqref="H97"/>
    </sheetView>
  </sheetViews>
  <sheetFormatPr baseColWidth="10" defaultRowHeight="14.4" x14ac:dyDescent="0.3"/>
  <sheetData>
    <row r="1" spans="1:17" ht="25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</row>
    <row r="2" spans="1:17" ht="27.6" thickBot="1" x14ac:dyDescent="0.35">
      <c r="A2" s="8">
        <v>58563</v>
      </c>
      <c r="B2" s="9">
        <v>45978</v>
      </c>
      <c r="C2" s="8" t="s">
        <v>17</v>
      </c>
      <c r="D2" s="8" t="s">
        <v>18</v>
      </c>
      <c r="E2" s="8" t="s">
        <v>19</v>
      </c>
      <c r="F2" s="8">
        <v>25</v>
      </c>
      <c r="G2" s="8" t="str">
        <f>_xlfn.XLOOKUP([1]!Tabla3[[#This Row],[ID]],[1]!Tabla2[ID],[1]!Tabla2[Corregimiento],"NA")</f>
        <v>Villahermosa</v>
      </c>
      <c r="H2" s="10">
        <f>_xlfn.XLOOKUP([1]!Tabla3[[#This Row],[LUGAR ENVÍO]],[1]!Tabla9[[Nombre ]],[1]!Tabla9[Distancia],"NA")</f>
        <v>6.7879999999999994</v>
      </c>
      <c r="I2" s="11">
        <f>[1]!Tabla3[[#This Row],[Valor Tran]]/([1]!Tabla3[[#This Row],[DISTANCIA (km)]]*2)</f>
        <v>7365.9398939304665</v>
      </c>
      <c r="J2" s="12"/>
      <c r="K2" s="8">
        <v>2</v>
      </c>
      <c r="L2" s="13">
        <v>200000</v>
      </c>
      <c r="M2" s="13">
        <f>[1]!Tabla3[[#This Row],[VLR. TRANSPORTE]]/[1]!Tabla3[[#This Row],[Numero de Transportes]]</f>
        <v>100000</v>
      </c>
      <c r="N2" s="13">
        <v>1044500</v>
      </c>
      <c r="O2" s="13">
        <f>[1]!Tabla3[[#This Row],[VLR. TOTAL FACT.]]-[1]!Tabla3[[#This Row],[VLR. TRANSPORTE]]</f>
        <v>844500</v>
      </c>
      <c r="P2" s="8">
        <v>1</v>
      </c>
      <c r="Q2" s="8" t="s">
        <v>20</v>
      </c>
    </row>
    <row r="3" spans="1:17" ht="15" thickBot="1" x14ac:dyDescent="0.35">
      <c r="A3" s="14">
        <v>58646</v>
      </c>
      <c r="B3" s="15">
        <v>45983</v>
      </c>
      <c r="C3" s="14" t="s">
        <v>17</v>
      </c>
      <c r="D3" s="14" t="s">
        <v>21</v>
      </c>
      <c r="E3" s="14" t="s">
        <v>19</v>
      </c>
      <c r="F3" s="14">
        <v>25</v>
      </c>
      <c r="G3" s="14" t="str">
        <f>_xlfn.XLOOKUP([1]!Tabla3[[#This Row],[ID]],[1]!Tabla2[ID],[1]!Tabla2[Corregimiento],"NA")</f>
        <v>Villahermosa</v>
      </c>
      <c r="H3" s="16">
        <f>_xlfn.XLOOKUP([1]!Tabla3[[#This Row],[LUGAR ENVÍO]],[1]!Tabla9[[Nombre ]],[1]!Tabla9[Distancia],"NA")</f>
        <v>6.7879999999999994</v>
      </c>
      <c r="I3" s="17">
        <f>[1]!Tabla3[[#This Row],[Valor Tran]]/([1]!Tabla3[[#This Row],[DISTANCIA (km)]]*2)</f>
        <v>3682.9699469652332</v>
      </c>
      <c r="J3" s="18"/>
      <c r="K3" s="14">
        <v>1</v>
      </c>
      <c r="L3" s="19">
        <v>50000</v>
      </c>
      <c r="M3" s="19">
        <f>[1]!Tabla3[[#This Row],[VLR. TRANSPORTE]]/[1]!Tabla3[[#This Row],[Numero de Transportes]]</f>
        <v>50000</v>
      </c>
      <c r="N3" s="19">
        <v>4067000</v>
      </c>
      <c r="O3" s="19">
        <f>[1]!Tabla3[[#This Row],[VLR. TOTAL FACT.]]-[1]!Tabla3[[#This Row],[VLR. TRANSPORTE]]</f>
        <v>4017000</v>
      </c>
      <c r="P3" s="14">
        <v>1</v>
      </c>
      <c r="Q3" s="14" t="s">
        <v>22</v>
      </c>
    </row>
    <row r="4" spans="1:17" ht="27.6" thickBot="1" x14ac:dyDescent="0.35">
      <c r="A4" s="20">
        <v>47037</v>
      </c>
      <c r="B4" s="21">
        <v>45969</v>
      </c>
      <c r="C4" s="20" t="s">
        <v>17</v>
      </c>
      <c r="D4" s="20" t="s">
        <v>23</v>
      </c>
      <c r="E4" s="22" t="s">
        <v>24</v>
      </c>
      <c r="F4" s="20">
        <v>2</v>
      </c>
      <c r="G4" s="20" t="str">
        <f>_xlfn.XLOOKUP([1]!Tabla3[[#This Row],[ID]],[1]!Tabla2[ID],[1]!Tabla2[Corregimiento],"NA")</f>
        <v>Borrero Ayerbe</v>
      </c>
      <c r="H4" s="10">
        <f>_xlfn.XLOOKUP([1]!Tabla3[[#This Row],[LUGAR ENVÍO]],[1]!Tabla9[[Nombre ]],[1]!Tabla9[Distancia],"NA")</f>
        <v>2.0589999999999997</v>
      </c>
      <c r="I4" s="23">
        <f>[1]!Tabla3[[#This Row],[Valor Tran]]/([1]!Tabla3[[#This Row],[DISTANCIA (km)]]*2)</f>
        <v>6070.9082078678975</v>
      </c>
      <c r="J4" s="24"/>
      <c r="K4" s="20">
        <v>1</v>
      </c>
      <c r="L4" s="25">
        <v>25000</v>
      </c>
      <c r="M4" s="25">
        <f>[1]!Tabla3[[#This Row],[VLR. TRANSPORTE]]/[1]!Tabla3[[#This Row],[Numero de Transportes]]</f>
        <v>25000</v>
      </c>
      <c r="N4" s="25">
        <v>175000</v>
      </c>
      <c r="O4" s="25">
        <f>[1]!Tabla3[[#This Row],[VLR. TOTAL FACT.]]-[1]!Tabla3[[#This Row],[VLR. TRANSPORTE]]</f>
        <v>150000</v>
      </c>
      <c r="P4" s="20">
        <v>0</v>
      </c>
      <c r="Q4" s="20" t="s">
        <v>25</v>
      </c>
    </row>
    <row r="5" spans="1:17" ht="27.6" thickBot="1" x14ac:dyDescent="0.35">
      <c r="A5" s="14">
        <v>58690</v>
      </c>
      <c r="B5" s="15">
        <v>45993</v>
      </c>
      <c r="C5" s="14" t="s">
        <v>17</v>
      </c>
      <c r="D5" s="14" t="s">
        <v>26</v>
      </c>
      <c r="E5" s="14" t="s">
        <v>24</v>
      </c>
      <c r="F5" s="14">
        <v>2</v>
      </c>
      <c r="G5" s="14" t="str">
        <f>_xlfn.XLOOKUP([1]!Tabla3[[#This Row],[ID]],[1]!Tabla2[ID],[1]!Tabla2[Corregimiento],"NA")</f>
        <v>Borrero Ayerbe</v>
      </c>
      <c r="H5" s="16">
        <f>_xlfn.XLOOKUP([1]!Tabla3[[#This Row],[LUGAR ENVÍO]],[1]!Tabla9[[Nombre ]],[1]!Tabla9[Distancia],"NA")</f>
        <v>2.0589999999999997</v>
      </c>
      <c r="I5" s="17">
        <f>[1]!Tabla3[[#This Row],[Valor Tran]]/([1]!Tabla3[[#This Row],[DISTANCIA (km)]]*2)</f>
        <v>4856.7265662943182</v>
      </c>
      <c r="J5" s="18"/>
      <c r="K5" s="14">
        <v>2</v>
      </c>
      <c r="L5" s="19">
        <v>40000</v>
      </c>
      <c r="M5" s="19">
        <f>[1]!Tabla3[[#This Row],[VLR. TRANSPORTE]]/[1]!Tabla3[[#This Row],[Numero de Transportes]]</f>
        <v>20000</v>
      </c>
      <c r="N5" s="19">
        <v>387000</v>
      </c>
      <c r="O5" s="19">
        <f>[1]!Tabla3[[#This Row],[VLR. TOTAL FACT.]]-[1]!Tabla3[[#This Row],[VLR. TRANSPORTE]]</f>
        <v>347000</v>
      </c>
      <c r="P5" s="14">
        <v>1</v>
      </c>
      <c r="Q5" s="14" t="s">
        <v>22</v>
      </c>
    </row>
    <row r="6" spans="1:17" ht="27.6" thickBot="1" x14ac:dyDescent="0.35">
      <c r="A6" s="8">
        <v>58823</v>
      </c>
      <c r="B6" s="26">
        <v>46000</v>
      </c>
      <c r="C6" s="8" t="s">
        <v>27</v>
      </c>
      <c r="D6" s="8" t="s">
        <v>28</v>
      </c>
      <c r="E6" s="27" t="s">
        <v>24</v>
      </c>
      <c r="F6" s="8">
        <v>2</v>
      </c>
      <c r="G6" s="8" t="str">
        <f>_xlfn.XLOOKUP([1]!Tabla3[[#This Row],[ID]],[1]!Tabla2[ID],[1]!Tabla2[Corregimiento],"NA")</f>
        <v>Borrero Ayerbe</v>
      </c>
      <c r="H6" s="10">
        <f>_xlfn.XLOOKUP([1]!Tabla3[[#This Row],[LUGAR ENVÍO]],[1]!Tabla9[[Nombre ]],[1]!Tabla9[Distancia],"NA")</f>
        <v>2.0589999999999997</v>
      </c>
      <c r="I6" s="11">
        <f>[1]!Tabla3[[#This Row],[Valor Tran]]/([1]!Tabla3[[#This Row],[DISTANCIA (km)]]*2)</f>
        <v>3642.5449247207389</v>
      </c>
      <c r="J6" s="12"/>
      <c r="K6" s="8">
        <v>1</v>
      </c>
      <c r="L6" s="13">
        <v>15000</v>
      </c>
      <c r="M6" s="13">
        <f>[1]!Tabla3[[#This Row],[VLR. TRANSPORTE]]/[1]!Tabla3[[#This Row],[Numero de Transportes]]</f>
        <v>15000</v>
      </c>
      <c r="N6" s="13">
        <v>2954000</v>
      </c>
      <c r="O6" s="13">
        <f>[1]!Tabla3[[#This Row],[VLR. TOTAL FACT.]]-[1]!Tabla3[[#This Row],[VLR. TRANSPORTE]]</f>
        <v>2939000</v>
      </c>
      <c r="P6" s="8">
        <v>1</v>
      </c>
      <c r="Q6" s="8" t="s">
        <v>22</v>
      </c>
    </row>
    <row r="7" spans="1:17" ht="27.6" thickBot="1" x14ac:dyDescent="0.35">
      <c r="A7" s="14">
        <v>46418</v>
      </c>
      <c r="B7" s="28">
        <v>45962</v>
      </c>
      <c r="C7" s="14" t="s">
        <v>17</v>
      </c>
      <c r="D7" s="14" t="s">
        <v>29</v>
      </c>
      <c r="E7" s="14" t="s">
        <v>30</v>
      </c>
      <c r="F7" s="14">
        <v>8</v>
      </c>
      <c r="G7" s="14" t="str">
        <f>_xlfn.XLOOKUP([1]!Tabla3[[#This Row],[ID]],[1]!Tabla2[ID],[1]!Tabla2[Corregimiento],"NA")</f>
        <v>El Palmar</v>
      </c>
      <c r="H7" s="16">
        <f>_xlfn.XLOOKUP([1]!Tabla3[[#This Row],[LUGAR ENVÍO]],[1]!Tabla9[[Nombre ]],[1]!Tabla9[Distancia],"NA")</f>
        <v>3.4490000000000003</v>
      </c>
      <c r="I7" s="17">
        <f>[1]!Tabla3[[#This Row],[Valor Tran]]/([1]!Tabla3[[#This Row],[DISTANCIA (km)]]*2)</f>
        <v>5798.7822557262971</v>
      </c>
      <c r="J7" s="18"/>
      <c r="K7" s="14">
        <v>1</v>
      </c>
      <c r="L7" s="19">
        <v>40000</v>
      </c>
      <c r="M7" s="19">
        <f>[1]!Tabla3[[#This Row],[VLR. TRANSPORTE]]/[1]!Tabla3[[#This Row],[Numero de Transportes]]</f>
        <v>40000</v>
      </c>
      <c r="N7" s="19">
        <v>233000</v>
      </c>
      <c r="O7" s="19">
        <f>[1]!Tabla3[[#This Row],[VLR. TOTAL FACT.]]-[1]!Tabla3[[#This Row],[VLR. TRANSPORTE]]</f>
        <v>193000</v>
      </c>
      <c r="P7" s="14">
        <v>0</v>
      </c>
      <c r="Q7" s="14" t="s">
        <v>25</v>
      </c>
    </row>
    <row r="8" spans="1:17" ht="27.6" thickBot="1" x14ac:dyDescent="0.35">
      <c r="A8" s="29">
        <v>48240</v>
      </c>
      <c r="B8" s="30" t="s">
        <v>31</v>
      </c>
      <c r="C8" s="29" t="s">
        <v>17</v>
      </c>
      <c r="D8" s="29" t="s">
        <v>32</v>
      </c>
      <c r="E8" s="29" t="s">
        <v>33</v>
      </c>
      <c r="F8" s="29">
        <v>8</v>
      </c>
      <c r="G8" s="8" t="str">
        <f>_xlfn.XLOOKUP([1]!Tabla3[[#This Row],[ID]],[1]!Tabla2[ID],[1]!Tabla2[Corregimiento],"NA")</f>
        <v>El Palmar</v>
      </c>
      <c r="H8" s="10">
        <f>_xlfn.XLOOKUP([1]!Tabla3[[#This Row],[LUGAR ENVÍO]],[1]!Tabla9[[Nombre ]],[1]!Tabla9[Distancia],"NA")</f>
        <v>2.2797620000000003</v>
      </c>
      <c r="I8" s="11">
        <f>[1]!Tabla3[[#This Row],[Valor Tran]]/([1]!Tabla3[[#This Row],[DISTANCIA (km)]]*2)</f>
        <v>8772.8455865129763</v>
      </c>
      <c r="J8" s="31"/>
      <c r="K8" s="29">
        <v>1</v>
      </c>
      <c r="L8" s="32">
        <v>40000</v>
      </c>
      <c r="M8" s="32">
        <v>40000</v>
      </c>
      <c r="N8" s="32">
        <v>410500</v>
      </c>
      <c r="O8" s="13">
        <f>[1]!Tabla3[[#This Row],[VLR. TOTAL FACT.]]-[1]!Tabla3[[#This Row],[VLR. TRANSPORTE]]</f>
        <v>370500</v>
      </c>
      <c r="P8" s="29">
        <v>1</v>
      </c>
      <c r="Q8" s="29" t="s">
        <v>34</v>
      </c>
    </row>
    <row r="9" spans="1:17" ht="27.6" thickBot="1" x14ac:dyDescent="0.35">
      <c r="A9" s="29">
        <v>48122</v>
      </c>
      <c r="B9" s="30" t="s">
        <v>35</v>
      </c>
      <c r="C9" s="29" t="s">
        <v>17</v>
      </c>
      <c r="D9" s="29" t="s">
        <v>36</v>
      </c>
      <c r="E9" s="29" t="s">
        <v>33</v>
      </c>
      <c r="F9" s="29">
        <v>8</v>
      </c>
      <c r="G9" s="14" t="str">
        <f>_xlfn.XLOOKUP([1]!Tabla3[[#This Row],[ID]],[1]!Tabla2[ID],[1]!Tabla2[Corregimiento],"NA")</f>
        <v>El Palmar</v>
      </c>
      <c r="H9" s="16">
        <f>_xlfn.XLOOKUP([1]!Tabla3[[#This Row],[LUGAR ENVÍO]],[1]!Tabla9[[Nombre ]],[1]!Tabla9[Distancia],"NA")</f>
        <v>2.2797620000000003</v>
      </c>
      <c r="I9" s="17">
        <f>[1]!Tabla3[[#This Row],[Valor Tran]]/([1]!Tabla3[[#This Row],[DISTANCIA (km)]]*2)</f>
        <v>8772.8455865129763</v>
      </c>
      <c r="J9" s="31"/>
      <c r="K9" s="29">
        <v>1</v>
      </c>
      <c r="L9" s="32">
        <v>40000</v>
      </c>
      <c r="M9" s="32">
        <v>40000</v>
      </c>
      <c r="N9" s="32">
        <v>412700</v>
      </c>
      <c r="O9" s="19">
        <f>[1]!Tabla3[[#This Row],[VLR. TOTAL FACT.]]-[1]!Tabla3[[#This Row],[VLR. TRANSPORTE]]</f>
        <v>372700</v>
      </c>
      <c r="P9" s="29">
        <v>1</v>
      </c>
      <c r="Q9" s="29" t="s">
        <v>25</v>
      </c>
    </row>
    <row r="10" spans="1:17" ht="15" thickBot="1" x14ac:dyDescent="0.35">
      <c r="A10" s="29">
        <v>55590</v>
      </c>
      <c r="B10" s="30" t="s">
        <v>37</v>
      </c>
      <c r="C10" s="29" t="s">
        <v>17</v>
      </c>
      <c r="D10" s="29" t="s">
        <v>38</v>
      </c>
      <c r="E10" s="29" t="s">
        <v>33</v>
      </c>
      <c r="F10" s="29">
        <v>8</v>
      </c>
      <c r="G10" s="8" t="str">
        <f>_xlfn.XLOOKUP([1]!Tabla3[[#This Row],[ID]],[1]!Tabla2[ID],[1]!Tabla2[Corregimiento],"NA")</f>
        <v>El Palmar</v>
      </c>
      <c r="H10" s="10">
        <f>_xlfn.XLOOKUP([1]!Tabla3[[#This Row],[LUGAR ENVÍO]],[1]!Tabla9[[Nombre ]],[1]!Tabla9[Distancia],"NA")</f>
        <v>2.2797620000000003</v>
      </c>
      <c r="I10" s="11">
        <f>[1]!Tabla3[[#This Row],[Valor Tran]]/([1]!Tabla3[[#This Row],[DISTANCIA (km)]]*2)</f>
        <v>8772.8455865129763</v>
      </c>
      <c r="J10" s="31"/>
      <c r="K10" s="29">
        <v>1</v>
      </c>
      <c r="L10" s="32">
        <v>40000</v>
      </c>
      <c r="M10" s="32">
        <v>40000</v>
      </c>
      <c r="N10" s="32">
        <v>437200</v>
      </c>
      <c r="O10" s="13">
        <f>[1]!Tabla3[[#This Row],[VLR. TOTAL FACT.]]-[1]!Tabla3[[#This Row],[VLR. TRANSPORTE]]</f>
        <v>397200</v>
      </c>
      <c r="P10" s="29">
        <v>1</v>
      </c>
      <c r="Q10" s="29" t="s">
        <v>22</v>
      </c>
    </row>
    <row r="11" spans="1:17" ht="15" thickBot="1" x14ac:dyDescent="0.35">
      <c r="A11" s="33">
        <v>49737</v>
      </c>
      <c r="B11" s="34" t="s">
        <v>39</v>
      </c>
      <c r="C11" s="33" t="s">
        <v>17</v>
      </c>
      <c r="D11" s="33" t="s">
        <v>40</v>
      </c>
      <c r="E11" s="35" t="s">
        <v>33</v>
      </c>
      <c r="F11" s="33">
        <v>8</v>
      </c>
      <c r="G11" s="14" t="str">
        <f>_xlfn.XLOOKUP([1]!Tabla3[[#This Row],[ID]],[1]!Tabla2[ID],[1]!Tabla2[Corregimiento],"NA")</f>
        <v>El Palmar</v>
      </c>
      <c r="H11" s="16">
        <f>_xlfn.XLOOKUP([1]!Tabla3[[#This Row],[LUGAR ENVÍO]],[1]!Tabla9[[Nombre ]],[1]!Tabla9[Distancia],"NA")</f>
        <v>2.2797620000000003</v>
      </c>
      <c r="I11" s="17">
        <f>[1]!Tabla3[[#This Row],[Valor Tran]]/([1]!Tabla3[[#This Row],[DISTANCIA (km)]]*2)</f>
        <v>9869.4512848270988</v>
      </c>
      <c r="J11" s="36"/>
      <c r="K11" s="33">
        <v>1</v>
      </c>
      <c r="L11" s="37">
        <v>45000</v>
      </c>
      <c r="M11" s="37">
        <v>45000</v>
      </c>
      <c r="N11" s="37">
        <v>443600</v>
      </c>
      <c r="O11" s="19">
        <f>[1]!Tabla3[[#This Row],[VLR. TOTAL FACT.]]-[1]!Tabla3[[#This Row],[VLR. TRANSPORTE]]</f>
        <v>398600</v>
      </c>
      <c r="P11" s="33">
        <v>1</v>
      </c>
      <c r="Q11" s="33" t="s">
        <v>34</v>
      </c>
    </row>
    <row r="12" spans="1:17" ht="27.6" thickBot="1" x14ac:dyDescent="0.35">
      <c r="A12" s="20">
        <v>47087</v>
      </c>
      <c r="B12" s="21">
        <v>45966</v>
      </c>
      <c r="C12" s="20" t="s">
        <v>17</v>
      </c>
      <c r="D12" s="20" t="s">
        <v>41</v>
      </c>
      <c r="E12" s="22" t="s">
        <v>33</v>
      </c>
      <c r="F12" s="20">
        <v>4</v>
      </c>
      <c r="G12" s="20" t="str">
        <f>_xlfn.XLOOKUP([1]!Tabla3[[#This Row],[ID]],[1]!Tabla2[ID],[1]!Tabla2[Corregimiento],"NA")</f>
        <v>El Carmen</v>
      </c>
      <c r="H12" s="10">
        <f>_xlfn.XLOOKUP([1]!Tabla3[[#This Row],[LUGAR ENVÍO]],[1]!Tabla9[[Nombre ]],[1]!Tabla9[Distancia],"NA")</f>
        <v>2.2797620000000003</v>
      </c>
      <c r="I12" s="23">
        <f>[1]!Tabla3[[#This Row],[Valor Tran]]/([1]!Tabla3[[#This Row],[DISTANCIA (km)]]*2)</f>
        <v>8772.8455865129763</v>
      </c>
      <c r="J12" s="24"/>
      <c r="K12" s="20">
        <v>1</v>
      </c>
      <c r="L12" s="25">
        <v>40000</v>
      </c>
      <c r="M12" s="25">
        <f>[1]!Tabla3[[#This Row],[VLR. TRANSPORTE]]/[1]!Tabla3[[#This Row],[Numero de Transportes]]</f>
        <v>40000</v>
      </c>
      <c r="N12" s="25">
        <v>450100</v>
      </c>
      <c r="O12" s="25">
        <f>[1]!Tabla3[[#This Row],[VLR. TOTAL FACT.]]-[1]!Tabla3[[#This Row],[VLR. TRANSPORTE]]</f>
        <v>410100</v>
      </c>
      <c r="P12" s="20">
        <v>1</v>
      </c>
      <c r="Q12" s="20" t="s">
        <v>34</v>
      </c>
    </row>
    <row r="13" spans="1:17" ht="27.6" thickBot="1" x14ac:dyDescent="0.35">
      <c r="A13" s="33">
        <v>34670</v>
      </c>
      <c r="B13" s="34" t="s">
        <v>42</v>
      </c>
      <c r="C13" s="33" t="s">
        <v>27</v>
      </c>
      <c r="D13" s="33" t="s">
        <v>43</v>
      </c>
      <c r="E13" s="33" t="s">
        <v>33</v>
      </c>
      <c r="F13" s="33">
        <v>8</v>
      </c>
      <c r="G13" s="14" t="str">
        <f>_xlfn.XLOOKUP([1]!Tabla3[[#This Row],[ID]],[1]!Tabla2[ID],[1]!Tabla2[Corregimiento],"NA")</f>
        <v>El Palmar</v>
      </c>
      <c r="H13" s="16">
        <f>_xlfn.XLOOKUP([1]!Tabla3[[#This Row],[LUGAR ENVÍO]],[1]!Tabla9[[Nombre ]],[1]!Tabla9[Distancia],"NA")</f>
        <v>2.2797620000000003</v>
      </c>
      <c r="I13" s="17">
        <f>[1]!Tabla3[[#This Row],[Valor Tran]]/([1]!Tabla3[[#This Row],[DISTANCIA (km)]]*2)</f>
        <v>8772.8455865129763</v>
      </c>
      <c r="J13" s="36"/>
      <c r="K13" s="33">
        <v>1</v>
      </c>
      <c r="L13" s="37">
        <v>40000</v>
      </c>
      <c r="M13" s="37">
        <v>40000</v>
      </c>
      <c r="N13" s="37">
        <v>479900</v>
      </c>
      <c r="O13" s="19">
        <f>[1]!Tabla3[[#This Row],[VLR. TOTAL FACT.]]-[1]!Tabla3[[#This Row],[VLR. TRANSPORTE]]</f>
        <v>439900</v>
      </c>
      <c r="P13" s="33">
        <v>1</v>
      </c>
      <c r="Q13" s="33" t="s">
        <v>22</v>
      </c>
    </row>
    <row r="14" spans="1:17" ht="27.6" thickBot="1" x14ac:dyDescent="0.35">
      <c r="A14" s="8">
        <v>30518</v>
      </c>
      <c r="B14" s="9">
        <v>45974</v>
      </c>
      <c r="C14" s="8" t="s">
        <v>27</v>
      </c>
      <c r="D14" s="8" t="s">
        <v>44</v>
      </c>
      <c r="E14" s="8" t="s">
        <v>45</v>
      </c>
      <c r="F14" s="8">
        <v>4</v>
      </c>
      <c r="G14" s="8" t="str">
        <f>_xlfn.XLOOKUP([1]!Tabla3[[#This Row],[ID]],[1]!Tabla2[ID],[1]!Tabla2[Corregimiento],"NA")</f>
        <v>El Carmen</v>
      </c>
      <c r="H14" s="10">
        <f>_xlfn.XLOOKUP([1]!Tabla3[[#This Row],[LUGAR ENVÍO]],[1]!Tabla9[[Nombre ]],[1]!Tabla9[Distancia],"NA")</f>
        <v>5.7570000000000006</v>
      </c>
      <c r="I14" s="11">
        <f>[1]!Tabla3[[#This Row],[Valor Tran]]/([1]!Tabla3[[#This Row],[DISTANCIA (km)]]*2)</f>
        <v>3474.0316136876841</v>
      </c>
      <c r="J14" s="12"/>
      <c r="K14" s="8">
        <v>1</v>
      </c>
      <c r="L14" s="13">
        <v>40000</v>
      </c>
      <c r="M14" s="13">
        <f>[1]!Tabla3[[#This Row],[VLR. TRANSPORTE]]/[1]!Tabla3[[#This Row],[Numero de Transportes]]</f>
        <v>40000</v>
      </c>
      <c r="N14" s="13">
        <v>192000</v>
      </c>
      <c r="O14" s="13">
        <f>[1]!Tabla3[[#This Row],[VLR. TOTAL FACT.]]-[1]!Tabla3[[#This Row],[VLR. TRANSPORTE]]</f>
        <v>152000</v>
      </c>
      <c r="P14" s="8">
        <v>0</v>
      </c>
      <c r="Q14" s="8" t="s">
        <v>22</v>
      </c>
    </row>
    <row r="15" spans="1:17" ht="27.6" thickBot="1" x14ac:dyDescent="0.35">
      <c r="A15" s="14">
        <v>58924</v>
      </c>
      <c r="B15" s="28">
        <v>45980</v>
      </c>
      <c r="C15" s="14" t="s">
        <v>17</v>
      </c>
      <c r="D15" s="14" t="s">
        <v>46</v>
      </c>
      <c r="E15" s="38" t="s">
        <v>45</v>
      </c>
      <c r="F15" s="14">
        <v>4</v>
      </c>
      <c r="G15" s="14" t="str">
        <f>_xlfn.XLOOKUP([1]!Tabla3[[#This Row],[ID]],[1]!Tabla2[ID],[1]!Tabla2[Corregimiento],"NA")</f>
        <v>El Carmen</v>
      </c>
      <c r="H15" s="16">
        <f>_xlfn.XLOOKUP([1]!Tabla3[[#This Row],[LUGAR ENVÍO]],[1]!Tabla9[[Nombre ]],[1]!Tabla9[Distancia],"NA")</f>
        <v>5.7570000000000006</v>
      </c>
      <c r="I15" s="17">
        <f>[1]!Tabla3[[#This Row],[Valor Tran]]/([1]!Tabla3[[#This Row],[DISTANCIA (km)]]*2)</f>
        <v>4342.5395171096052</v>
      </c>
      <c r="J15" s="18"/>
      <c r="K15" s="14">
        <v>1</v>
      </c>
      <c r="L15" s="19">
        <v>50000</v>
      </c>
      <c r="M15" s="19">
        <f>[1]!Tabla3[[#This Row],[VLR. TRANSPORTE]]/[1]!Tabla3[[#This Row],[Numero de Transportes]]</f>
        <v>50000</v>
      </c>
      <c r="N15" s="19">
        <v>242000</v>
      </c>
      <c r="O15" s="19">
        <f>[1]!Tabla3[[#This Row],[VLR. TOTAL FACT.]]-[1]!Tabla3[[#This Row],[VLR. TRANSPORTE]]</f>
        <v>192000</v>
      </c>
      <c r="P15" s="14">
        <v>0</v>
      </c>
      <c r="Q15" s="14" t="s">
        <v>22</v>
      </c>
    </row>
    <row r="16" spans="1:17" ht="27.6" thickBot="1" x14ac:dyDescent="0.35">
      <c r="A16" s="8">
        <v>48280</v>
      </c>
      <c r="B16" s="9">
        <v>45982</v>
      </c>
      <c r="C16" s="8" t="s">
        <v>17</v>
      </c>
      <c r="D16" s="8" t="s">
        <v>47</v>
      </c>
      <c r="E16" s="8" t="s">
        <v>45</v>
      </c>
      <c r="F16" s="8">
        <v>4</v>
      </c>
      <c r="G16" s="8" t="str">
        <f>_xlfn.XLOOKUP([1]!Tabla3[[#This Row],[ID]],[1]!Tabla2[ID],[1]!Tabla2[Corregimiento],"NA")</f>
        <v>El Carmen</v>
      </c>
      <c r="H16" s="10">
        <f>_xlfn.XLOOKUP([1]!Tabla3[[#This Row],[LUGAR ENVÍO]],[1]!Tabla9[[Nombre ]],[1]!Tabla9[Distancia],"NA")</f>
        <v>5.7570000000000006</v>
      </c>
      <c r="I16" s="11">
        <f>[1]!Tabla3[[#This Row],[Valor Tran]]/([1]!Tabla3[[#This Row],[DISTANCIA (km)]]*2)</f>
        <v>2605.5237102657634</v>
      </c>
      <c r="J16" s="12"/>
      <c r="K16" s="8">
        <v>1</v>
      </c>
      <c r="L16" s="13">
        <v>30000</v>
      </c>
      <c r="M16" s="13">
        <f>[1]!Tabla3[[#This Row],[VLR. TRANSPORTE]]/[1]!Tabla3[[#This Row],[Numero de Transportes]]</f>
        <v>30000</v>
      </c>
      <c r="N16" s="13">
        <v>575700</v>
      </c>
      <c r="O16" s="13">
        <f>[1]!Tabla3[[#This Row],[VLR. TOTAL FACT.]]-[1]!Tabla3[[#This Row],[VLR. TRANSPORTE]]</f>
        <v>545700</v>
      </c>
      <c r="P16" s="8">
        <v>0</v>
      </c>
      <c r="Q16" s="8" t="s">
        <v>25</v>
      </c>
    </row>
    <row r="17" spans="1:17" ht="27.6" thickBot="1" x14ac:dyDescent="0.35">
      <c r="A17" s="14">
        <v>58571</v>
      </c>
      <c r="B17" s="28">
        <v>45989</v>
      </c>
      <c r="C17" s="14" t="s">
        <v>17</v>
      </c>
      <c r="D17" s="14" t="s">
        <v>48</v>
      </c>
      <c r="E17" s="39" t="s">
        <v>45</v>
      </c>
      <c r="F17" s="14">
        <v>4</v>
      </c>
      <c r="G17" s="14" t="str">
        <f>_xlfn.XLOOKUP([1]!Tabla3[[#This Row],[ID]],[1]!Tabla2[ID],[1]!Tabla2[Corregimiento],"NA")</f>
        <v>El Carmen</v>
      </c>
      <c r="H17" s="16">
        <f>_xlfn.XLOOKUP([1]!Tabla3[[#This Row],[LUGAR ENVÍO]],[1]!Tabla9[[Nombre ]],[1]!Tabla9[Distancia],"NA")</f>
        <v>5.7570000000000006</v>
      </c>
      <c r="I17" s="17">
        <f>[1]!Tabla3[[#This Row],[Valor Tran]]/([1]!Tabla3[[#This Row],[DISTANCIA (km)]]*2)</f>
        <v>5211.0474205315268</v>
      </c>
      <c r="J17" s="18"/>
      <c r="K17" s="14">
        <v>1</v>
      </c>
      <c r="L17" s="19">
        <v>60000</v>
      </c>
      <c r="M17" s="19">
        <f>[1]!Tabla3[[#This Row],[VLR. TRANSPORTE]]/[1]!Tabla3[[#This Row],[Numero de Transportes]]</f>
        <v>60000</v>
      </c>
      <c r="N17" s="19">
        <v>1045000</v>
      </c>
      <c r="O17" s="19">
        <f>[1]!Tabla3[[#This Row],[VLR. TOTAL FACT.]]-[1]!Tabla3[[#This Row],[VLR. TRANSPORTE]]</f>
        <v>985000</v>
      </c>
      <c r="P17" s="14">
        <v>1</v>
      </c>
      <c r="Q17" s="14" t="s">
        <v>49</v>
      </c>
    </row>
    <row r="18" spans="1:17" ht="27.6" thickBot="1" x14ac:dyDescent="0.35">
      <c r="A18" s="33">
        <v>51291</v>
      </c>
      <c r="B18" s="34" t="s">
        <v>50</v>
      </c>
      <c r="C18" s="33" t="s">
        <v>27</v>
      </c>
      <c r="D18" s="33" t="s">
        <v>51</v>
      </c>
      <c r="E18" s="33" t="s">
        <v>45</v>
      </c>
      <c r="F18" s="33">
        <v>4</v>
      </c>
      <c r="G18" s="8" t="str">
        <f>_xlfn.XLOOKUP([1]!Tabla3[[#This Row],[ID]],[1]!Tabla2[ID],[1]!Tabla2[Corregimiento],"NA")</f>
        <v>El Carmen</v>
      </c>
      <c r="H18" s="10">
        <f>_xlfn.XLOOKUP([1]!Tabla3[[#This Row],[LUGAR ENVÍO]],[1]!Tabla9[[Nombre ]],[1]!Tabla9[Distancia],"NA")</f>
        <v>5.7570000000000006</v>
      </c>
      <c r="I18" s="11">
        <f>[1]!Tabla3[[#This Row],[Valor Tran]]/([1]!Tabla3[[#This Row],[DISTANCIA (km)]]*2)</f>
        <v>6948.0632273753681</v>
      </c>
      <c r="J18" s="36"/>
      <c r="K18" s="33">
        <v>1</v>
      </c>
      <c r="L18" s="37">
        <v>80000</v>
      </c>
      <c r="M18" s="37">
        <v>80000</v>
      </c>
      <c r="N18" s="37">
        <v>1245200</v>
      </c>
      <c r="O18" s="13">
        <f>[1]!Tabla3[[#This Row],[VLR. TOTAL FACT.]]-[1]!Tabla3[[#This Row],[VLR. TRANSPORTE]]</f>
        <v>1165200</v>
      </c>
      <c r="P18" s="33">
        <v>1</v>
      </c>
      <c r="Q18" s="33" t="s">
        <v>34</v>
      </c>
    </row>
    <row r="19" spans="1:17" ht="27.6" thickBot="1" x14ac:dyDescent="0.35">
      <c r="A19" s="14">
        <v>59047</v>
      </c>
      <c r="B19" s="28">
        <v>45989</v>
      </c>
      <c r="C19" s="14" t="s">
        <v>17</v>
      </c>
      <c r="D19" s="14" t="s">
        <v>46</v>
      </c>
      <c r="E19" s="14" t="s">
        <v>45</v>
      </c>
      <c r="F19" s="14">
        <v>4</v>
      </c>
      <c r="G19" s="14" t="str">
        <f>_xlfn.XLOOKUP([1]!Tabla3[[#This Row],[ID]],[1]!Tabla2[ID],[1]!Tabla2[Corregimiento],"NA")</f>
        <v>El Carmen</v>
      </c>
      <c r="H19" s="16">
        <f>_xlfn.XLOOKUP([1]!Tabla3[[#This Row],[LUGAR ENVÍO]],[1]!Tabla9[[Nombre ]],[1]!Tabla9[Distancia],"NA")</f>
        <v>5.7570000000000006</v>
      </c>
      <c r="I19" s="17">
        <f>[1]!Tabla3[[#This Row],[Valor Tran]]/([1]!Tabla3[[#This Row],[DISTANCIA (km)]]*2)</f>
        <v>13896.126454750736</v>
      </c>
      <c r="J19" s="18"/>
      <c r="K19" s="14">
        <v>1</v>
      </c>
      <c r="L19" s="19">
        <v>160000</v>
      </c>
      <c r="M19" s="19">
        <f>[1]!Tabla3[[#This Row],[VLR. TRANSPORTE]]/[1]!Tabla3[[#This Row],[Numero de Transportes]]</f>
        <v>160000</v>
      </c>
      <c r="N19" s="19">
        <v>1704900</v>
      </c>
      <c r="O19" s="19">
        <f>[1]!Tabla3[[#This Row],[VLR. TOTAL FACT.]]-[1]!Tabla3[[#This Row],[VLR. TRANSPORTE]]</f>
        <v>1544900</v>
      </c>
      <c r="P19" s="14">
        <v>1</v>
      </c>
      <c r="Q19" s="14" t="s">
        <v>22</v>
      </c>
    </row>
    <row r="20" spans="1:17" ht="27.6" thickBot="1" x14ac:dyDescent="0.35">
      <c r="A20" s="8">
        <v>46906</v>
      </c>
      <c r="B20" s="9">
        <v>45966</v>
      </c>
      <c r="C20" s="8" t="s">
        <v>17</v>
      </c>
      <c r="D20" s="8" t="s">
        <v>44</v>
      </c>
      <c r="E20" s="8" t="s">
        <v>45</v>
      </c>
      <c r="F20" s="8">
        <v>4</v>
      </c>
      <c r="G20" s="8" t="str">
        <f>_xlfn.XLOOKUP([1]!Tabla3[[#This Row],[ID]],[1]!Tabla2[ID],[1]!Tabla2[Corregimiento],"NA")</f>
        <v>El Carmen</v>
      </c>
      <c r="H20" s="10">
        <f>_xlfn.XLOOKUP([1]!Tabla3[[#This Row],[LUGAR ENVÍO]],[1]!Tabla9[[Nombre ]],[1]!Tabla9[Distancia],"NA")</f>
        <v>5.7570000000000006</v>
      </c>
      <c r="I20" s="11">
        <f>[1]!Tabla3[[#This Row],[Valor Tran]]/([1]!Tabla3[[#This Row],[DISTANCIA (km)]]*2)</f>
        <v>6948.0632273753681</v>
      </c>
      <c r="J20" s="12"/>
      <c r="K20" s="8">
        <v>2</v>
      </c>
      <c r="L20" s="13">
        <v>160000</v>
      </c>
      <c r="M20" s="13">
        <f>[1]!Tabla3[[#This Row],[VLR. TRANSPORTE]]/[1]!Tabla3[[#This Row],[Numero de Transportes]]</f>
        <v>80000</v>
      </c>
      <c r="N20" s="13">
        <v>1915000</v>
      </c>
      <c r="O20" s="13">
        <f>[1]!Tabla3[[#This Row],[VLR. TOTAL FACT.]]-[1]!Tabla3[[#This Row],[VLR. TRANSPORTE]]</f>
        <v>1755000</v>
      </c>
      <c r="P20" s="8">
        <v>1</v>
      </c>
      <c r="Q20" s="8" t="s">
        <v>25</v>
      </c>
    </row>
    <row r="21" spans="1:17" ht="27.6" thickBot="1" x14ac:dyDescent="0.35">
      <c r="A21" s="14">
        <v>46903</v>
      </c>
      <c r="B21" s="28">
        <v>45967</v>
      </c>
      <c r="C21" s="14" t="s">
        <v>17</v>
      </c>
      <c r="D21" s="14" t="s">
        <v>52</v>
      </c>
      <c r="E21" s="14" t="s">
        <v>53</v>
      </c>
      <c r="F21" s="14">
        <v>22</v>
      </c>
      <c r="G21" s="14" t="str">
        <f>_xlfn.XLOOKUP([1]!Tabla3[[#This Row],[ID]],[1]!Tabla2[ID],[1]!Tabla2[Corregimiento],"NA")</f>
        <v>San Bernardo</v>
      </c>
      <c r="H21" s="16">
        <f>_xlfn.XLOOKUP([1]!Tabla3[[#This Row],[LUGAR ENVÍO]],[1]!Tabla9[[Nombre ]],[1]!Tabla9[Distancia],"NA")</f>
        <v>9.4380000000000024</v>
      </c>
      <c r="I21" s="17">
        <f>[1]!Tabla3[[#This Row],[Valor Tran]]/([1]!Tabla3[[#This Row],[DISTANCIA (km)]]*2)</f>
        <v>2648.8662852299208</v>
      </c>
      <c r="J21" s="18"/>
      <c r="K21" s="14">
        <v>1</v>
      </c>
      <c r="L21" s="19">
        <v>50000</v>
      </c>
      <c r="M21" s="19">
        <f>[1]!Tabla3[[#This Row],[VLR. TRANSPORTE]]/[1]!Tabla3[[#This Row],[Numero de Transportes]]</f>
        <v>50000</v>
      </c>
      <c r="N21" s="19">
        <v>428000</v>
      </c>
      <c r="O21" s="19">
        <f>[1]!Tabla3[[#This Row],[VLR. TOTAL FACT.]]-[1]!Tabla3[[#This Row],[VLR. TRANSPORTE]]</f>
        <v>378000</v>
      </c>
      <c r="P21" s="14">
        <v>0</v>
      </c>
      <c r="Q21" s="14" t="s">
        <v>25</v>
      </c>
    </row>
    <row r="22" spans="1:17" ht="27.6" thickBot="1" x14ac:dyDescent="0.35">
      <c r="A22" s="8">
        <v>30503</v>
      </c>
      <c r="B22" s="9">
        <v>45973</v>
      </c>
      <c r="C22" s="8" t="s">
        <v>17</v>
      </c>
      <c r="D22" s="8" t="s">
        <v>54</v>
      </c>
      <c r="E22" s="8" t="s">
        <v>53</v>
      </c>
      <c r="F22" s="8">
        <v>22</v>
      </c>
      <c r="G22" s="8" t="str">
        <f>_xlfn.XLOOKUP([1]!Tabla3[[#This Row],[ID]],[1]!Tabla2[ID],[1]!Tabla2[Corregimiento],"NA")</f>
        <v>San Bernardo</v>
      </c>
      <c r="H22" s="10">
        <f>_xlfn.XLOOKUP([1]!Tabla3[[#This Row],[LUGAR ENVÍO]],[1]!Tabla9[[Nombre ]],[1]!Tabla9[Distancia],"NA")</f>
        <v>9.4380000000000024</v>
      </c>
      <c r="I22" s="11">
        <f>[1]!Tabla3[[#This Row],[Valor Tran]]/([1]!Tabla3[[#This Row],[DISTANCIA (km)]]*2)</f>
        <v>3178.6395422759051</v>
      </c>
      <c r="J22" s="12"/>
      <c r="K22" s="8">
        <v>1</v>
      </c>
      <c r="L22" s="13">
        <v>60000</v>
      </c>
      <c r="M22" s="13">
        <f>[1]!Tabla3[[#This Row],[VLR. TRANSPORTE]]/[1]!Tabla3[[#This Row],[Numero de Transportes]]</f>
        <v>60000</v>
      </c>
      <c r="N22" s="13">
        <v>750000</v>
      </c>
      <c r="O22" s="13">
        <f>[1]!Tabla3[[#This Row],[VLR. TOTAL FACT.]]-[1]!Tabla3[[#This Row],[VLR. TRANSPORTE]]</f>
        <v>690000</v>
      </c>
      <c r="P22" s="8">
        <v>0</v>
      </c>
      <c r="Q22" s="8" t="s">
        <v>49</v>
      </c>
    </row>
    <row r="23" spans="1:17" ht="27.6" thickBot="1" x14ac:dyDescent="0.35">
      <c r="A23" s="14">
        <v>58870</v>
      </c>
      <c r="B23" s="15">
        <v>45985</v>
      </c>
      <c r="C23" s="14" t="s">
        <v>17</v>
      </c>
      <c r="D23" s="14" t="s">
        <v>55</v>
      </c>
      <c r="E23" s="14" t="s">
        <v>53</v>
      </c>
      <c r="F23" s="14">
        <v>22</v>
      </c>
      <c r="G23" s="14" t="str">
        <f>_xlfn.XLOOKUP([1]!Tabla3[[#This Row],[ID]],[1]!Tabla2[ID],[1]!Tabla2[Corregimiento],"NA")</f>
        <v>San Bernardo</v>
      </c>
      <c r="H23" s="16">
        <f>_xlfn.XLOOKUP([1]!Tabla3[[#This Row],[LUGAR ENVÍO]],[1]!Tabla9[[Nombre ]],[1]!Tabla9[Distancia],"NA")</f>
        <v>9.4380000000000024</v>
      </c>
      <c r="I23" s="17">
        <f>[1]!Tabla3[[#This Row],[Valor Tran]]/([1]!Tabla3[[#This Row],[DISTANCIA (km)]]*2)</f>
        <v>1589.3197711379526</v>
      </c>
      <c r="J23" s="18"/>
      <c r="K23" s="14">
        <v>2</v>
      </c>
      <c r="L23" s="19">
        <v>60000</v>
      </c>
      <c r="M23" s="19">
        <f>[1]!Tabla3[[#This Row],[VLR. TRANSPORTE]]/[1]!Tabla3[[#This Row],[Numero de Transportes]]</f>
        <v>30000</v>
      </c>
      <c r="N23" s="19">
        <v>829000</v>
      </c>
      <c r="O23" s="19">
        <f>[1]!Tabla3[[#This Row],[VLR. TOTAL FACT.]]-[1]!Tabla3[[#This Row],[VLR. TRANSPORTE]]</f>
        <v>769000</v>
      </c>
      <c r="P23" s="14">
        <v>1</v>
      </c>
      <c r="Q23" s="14" t="s">
        <v>34</v>
      </c>
    </row>
    <row r="24" spans="1:17" ht="27.6" thickBot="1" x14ac:dyDescent="0.35">
      <c r="A24" s="8">
        <v>57102</v>
      </c>
      <c r="B24" s="9">
        <v>45989</v>
      </c>
      <c r="C24" s="8" t="s">
        <v>17</v>
      </c>
      <c r="D24" s="8" t="s">
        <v>56</v>
      </c>
      <c r="E24" s="8" t="s">
        <v>53</v>
      </c>
      <c r="F24" s="8">
        <v>22</v>
      </c>
      <c r="G24" s="8" t="str">
        <f>_xlfn.XLOOKUP([1]!Tabla3[[#This Row],[ID]],[1]!Tabla2[ID],[1]!Tabla2[Corregimiento],"NA")</f>
        <v>San Bernardo</v>
      </c>
      <c r="H24" s="10">
        <f>_xlfn.XLOOKUP([1]!Tabla3[[#This Row],[LUGAR ENVÍO]],[1]!Tabla9[[Nombre ]],[1]!Tabla9[Distancia],"NA")</f>
        <v>9.4380000000000024</v>
      </c>
      <c r="I24" s="11">
        <f>[1]!Tabla3[[#This Row],[Valor Tran]]/([1]!Tabla3[[#This Row],[DISTANCIA (km)]]*2)</f>
        <v>3178.6395422759051</v>
      </c>
      <c r="J24" s="12"/>
      <c r="K24" s="8">
        <v>1</v>
      </c>
      <c r="L24" s="13">
        <v>60000</v>
      </c>
      <c r="M24" s="13">
        <f>[1]!Tabla3[[#This Row],[VLR. TRANSPORTE]]/[1]!Tabla3[[#This Row],[Numero de Transportes]]</f>
        <v>60000</v>
      </c>
      <c r="N24" s="13">
        <v>1186000</v>
      </c>
      <c r="O24" s="13">
        <f>[1]!Tabla3[[#This Row],[VLR. TOTAL FACT.]]-[1]!Tabla3[[#This Row],[VLR. TRANSPORTE]]</f>
        <v>1126000</v>
      </c>
      <c r="P24" s="8">
        <v>0</v>
      </c>
      <c r="Q24" s="8" t="s">
        <v>22</v>
      </c>
    </row>
    <row r="25" spans="1:17" ht="27.6" thickBot="1" x14ac:dyDescent="0.35">
      <c r="A25" s="14">
        <v>30560</v>
      </c>
      <c r="B25" s="28">
        <v>45979</v>
      </c>
      <c r="C25" s="14" t="s">
        <v>17</v>
      </c>
      <c r="D25" s="14" t="s">
        <v>23</v>
      </c>
      <c r="E25" s="14" t="s">
        <v>53</v>
      </c>
      <c r="F25" s="14">
        <v>22</v>
      </c>
      <c r="G25" s="14" t="str">
        <f>_xlfn.XLOOKUP([1]!Tabla3[[#This Row],[ID]],[1]!Tabla2[ID],[1]!Tabla2[Corregimiento],"NA")</f>
        <v>San Bernardo</v>
      </c>
      <c r="H25" s="16">
        <f>_xlfn.XLOOKUP([1]!Tabla3[[#This Row],[LUGAR ENVÍO]],[1]!Tabla9[[Nombre ]],[1]!Tabla9[Distancia],"NA")</f>
        <v>9.4380000000000024</v>
      </c>
      <c r="I25" s="17">
        <f>[1]!Tabla3[[#This Row],[Valor Tran]]/([1]!Tabla3[[#This Row],[DISTANCIA (km)]]*2)</f>
        <v>3178.6395422759051</v>
      </c>
      <c r="J25" s="18"/>
      <c r="K25" s="14">
        <v>1</v>
      </c>
      <c r="L25" s="19">
        <v>60000</v>
      </c>
      <c r="M25" s="19">
        <f>[1]!Tabla3[[#This Row],[VLR. TRANSPORTE]]/[1]!Tabla3[[#This Row],[Numero de Transportes]]</f>
        <v>60000</v>
      </c>
      <c r="N25" s="19">
        <v>1479500</v>
      </c>
      <c r="O25" s="19">
        <f>[1]!Tabla3[[#This Row],[VLR. TOTAL FACT.]]-[1]!Tabla3[[#This Row],[VLR. TRANSPORTE]]</f>
        <v>1419500</v>
      </c>
      <c r="P25" s="14">
        <v>0</v>
      </c>
      <c r="Q25" s="14" t="s">
        <v>57</v>
      </c>
    </row>
    <row r="26" spans="1:17" ht="27.6" thickBot="1" x14ac:dyDescent="0.35">
      <c r="A26" s="8">
        <v>58552</v>
      </c>
      <c r="B26" s="9">
        <v>45977</v>
      </c>
      <c r="C26" s="8" t="s">
        <v>27</v>
      </c>
      <c r="D26" s="8" t="s">
        <v>58</v>
      </c>
      <c r="E26" s="40" t="s">
        <v>59</v>
      </c>
      <c r="F26" s="8">
        <v>2</v>
      </c>
      <c r="G26" s="8" t="str">
        <f>_xlfn.XLOOKUP([1]!Tabla3[[#This Row],[ID]],[1]!Tabla2[ID],[1]!Tabla2[Corregimiento],"NA")</f>
        <v>Borrero Ayerbe</v>
      </c>
      <c r="H26" s="10">
        <f>_xlfn.XLOOKUP([1]!Tabla3[[#This Row],[LUGAR ENVÍO]],[1]!Tabla9[[Nombre ]],[1]!Tabla9[Distancia],"NA")</f>
        <v>0.44900000000000007</v>
      </c>
      <c r="I26" s="11">
        <f>[1]!Tabla3[[#This Row],[Valor Tran]]/([1]!Tabla3[[#This Row],[DISTANCIA (km)]]*2)</f>
        <v>27839.643652561244</v>
      </c>
      <c r="J26" s="12"/>
      <c r="K26" s="8">
        <v>1</v>
      </c>
      <c r="L26" s="13">
        <v>25000</v>
      </c>
      <c r="M26" s="13">
        <f>[1]!Tabla3[[#This Row],[VLR. TRANSPORTE]]/[1]!Tabla3[[#This Row],[Numero de Transportes]]</f>
        <v>25000</v>
      </c>
      <c r="N26" s="13">
        <v>590000</v>
      </c>
      <c r="O26" s="13">
        <f>[1]!Tabla3[[#This Row],[VLR. TOTAL FACT.]]-[1]!Tabla3[[#This Row],[VLR. TRANSPORTE]]</f>
        <v>565000</v>
      </c>
      <c r="P26" s="8">
        <v>1</v>
      </c>
      <c r="Q26" s="8" t="s">
        <v>22</v>
      </c>
    </row>
    <row r="27" spans="1:17" ht="27.6" thickBot="1" x14ac:dyDescent="0.35">
      <c r="A27" s="33">
        <v>58977</v>
      </c>
      <c r="B27" s="34" t="s">
        <v>60</v>
      </c>
      <c r="C27" s="33" t="s">
        <v>17</v>
      </c>
      <c r="D27" s="33" t="s">
        <v>61</v>
      </c>
      <c r="E27" s="33" t="s">
        <v>59</v>
      </c>
      <c r="F27" s="33">
        <v>2</v>
      </c>
      <c r="G27" s="14" t="str">
        <f>_xlfn.XLOOKUP([1]!Tabla3[[#This Row],[ID]],[1]!Tabla2[ID],[1]!Tabla2[Corregimiento],"NA")</f>
        <v>Borrero Ayerbe</v>
      </c>
      <c r="H27" s="16">
        <f>_xlfn.XLOOKUP([1]!Tabla3[[#This Row],[LUGAR ENVÍO]],[1]!Tabla9[[Nombre ]],[1]!Tabla9[Distancia],"NA")</f>
        <v>0.44900000000000007</v>
      </c>
      <c r="I27" s="17">
        <f>[1]!Tabla3[[#This Row],[Valor Tran]]/([1]!Tabla3[[#This Row],[DISTANCIA (km)]]*2)</f>
        <v>33407.572383073493</v>
      </c>
      <c r="J27" s="36"/>
      <c r="K27" s="33">
        <v>1</v>
      </c>
      <c r="L27" s="37">
        <v>30000</v>
      </c>
      <c r="M27" s="37">
        <v>30000</v>
      </c>
      <c r="N27" s="37">
        <v>627100</v>
      </c>
      <c r="O27" s="19">
        <f>[1]!Tabla3[[#This Row],[VLR. TOTAL FACT.]]-[1]!Tabla3[[#This Row],[VLR. TRANSPORTE]]</f>
        <v>597100</v>
      </c>
      <c r="P27" s="33">
        <v>1</v>
      </c>
      <c r="Q27" s="33" t="s">
        <v>22</v>
      </c>
    </row>
    <row r="28" spans="1:17" ht="27.6" thickBot="1" x14ac:dyDescent="0.35">
      <c r="A28" s="8">
        <v>58706</v>
      </c>
      <c r="B28" s="26">
        <v>45984</v>
      </c>
      <c r="C28" s="8" t="s">
        <v>17</v>
      </c>
      <c r="D28" s="8" t="s">
        <v>62</v>
      </c>
      <c r="E28" s="27" t="s">
        <v>59</v>
      </c>
      <c r="F28" s="8">
        <v>2</v>
      </c>
      <c r="G28" s="8" t="str">
        <f>_xlfn.XLOOKUP([1]!Tabla3[[#This Row],[ID]],[1]!Tabla2[ID],[1]!Tabla2[Corregimiento],"NA")</f>
        <v>Borrero Ayerbe</v>
      </c>
      <c r="H28" s="10">
        <f>_xlfn.XLOOKUP([1]!Tabla3[[#This Row],[LUGAR ENVÍO]],[1]!Tabla9[[Nombre ]],[1]!Tabla9[Distancia],"NA")</f>
        <v>0.44900000000000007</v>
      </c>
      <c r="I28" s="11">
        <f>[1]!Tabla3[[#This Row],[Valor Tran]]/([1]!Tabla3[[#This Row],[DISTANCIA (km)]]*2)</f>
        <v>55679.287305122489</v>
      </c>
      <c r="J28" s="12"/>
      <c r="K28" s="8">
        <v>3</v>
      </c>
      <c r="L28" s="13">
        <v>150000</v>
      </c>
      <c r="M28" s="13">
        <f>[1]!Tabla3[[#This Row],[VLR. TRANSPORTE]]/[1]!Tabla3[[#This Row],[Numero de Transportes]]</f>
        <v>50000</v>
      </c>
      <c r="N28" s="13">
        <v>1342000</v>
      </c>
      <c r="O28" s="13">
        <f>[1]!Tabla3[[#This Row],[VLR. TOTAL FACT.]]-[1]!Tabla3[[#This Row],[VLR. TRANSPORTE]]</f>
        <v>1192000</v>
      </c>
      <c r="P28" s="8">
        <v>1</v>
      </c>
      <c r="Q28" s="8" t="s">
        <v>34</v>
      </c>
    </row>
    <row r="29" spans="1:17" ht="27.6" thickBot="1" x14ac:dyDescent="0.35">
      <c r="A29" s="33">
        <v>46572</v>
      </c>
      <c r="B29" s="34" t="s">
        <v>63</v>
      </c>
      <c r="C29" s="33" t="s">
        <v>17</v>
      </c>
      <c r="D29" s="33" t="s">
        <v>64</v>
      </c>
      <c r="E29" s="33" t="s">
        <v>65</v>
      </c>
      <c r="F29" s="33">
        <v>22</v>
      </c>
      <c r="G29" s="14" t="str">
        <f>_xlfn.XLOOKUP([1]!Tabla3[[#This Row],[ID]],[1]!Tabla2[ID],[1]!Tabla2[Corregimiento],"NA")</f>
        <v>San Bernardo</v>
      </c>
      <c r="H29" s="16">
        <f>_xlfn.XLOOKUP([1]!Tabla3[[#This Row],[LUGAR ENVÍO]],[1]!Tabla9[[Nombre ]],[1]!Tabla9[Distancia],"NA")</f>
        <v>2.2689999999999992</v>
      </c>
      <c r="I29" s="17">
        <f>[1]!Tabla3[[#This Row],[Valor Tran]]/([1]!Tabla3[[#This Row],[DISTANCIA (km)]]*2)</f>
        <v>15425.297487880129</v>
      </c>
      <c r="J29" s="36"/>
      <c r="K29" s="33">
        <v>1</v>
      </c>
      <c r="L29" s="37">
        <v>70000</v>
      </c>
      <c r="M29" s="37">
        <v>70000</v>
      </c>
      <c r="N29" s="37">
        <v>441600</v>
      </c>
      <c r="O29" s="19">
        <f>[1]!Tabla3[[#This Row],[VLR. TOTAL FACT.]]-[1]!Tabla3[[#This Row],[VLR. TRANSPORTE]]</f>
        <v>371600</v>
      </c>
      <c r="P29" s="33">
        <v>1</v>
      </c>
      <c r="Q29" s="33" t="s">
        <v>22</v>
      </c>
    </row>
    <row r="30" spans="1:17" ht="27.6" thickBot="1" x14ac:dyDescent="0.35">
      <c r="A30" s="29">
        <v>51992</v>
      </c>
      <c r="B30" s="30" t="s">
        <v>63</v>
      </c>
      <c r="C30" s="29" t="s">
        <v>17</v>
      </c>
      <c r="D30" s="29" t="s">
        <v>66</v>
      </c>
      <c r="E30" s="41" t="s">
        <v>65</v>
      </c>
      <c r="F30" s="29">
        <v>22</v>
      </c>
      <c r="G30" s="8" t="str">
        <f>_xlfn.XLOOKUP([1]!Tabla3[[#This Row],[ID]],[1]!Tabla2[ID],[1]!Tabla2[Corregimiento],"NA")</f>
        <v>San Bernardo</v>
      </c>
      <c r="H30" s="10">
        <f>_xlfn.XLOOKUP([1]!Tabla3[[#This Row],[LUGAR ENVÍO]],[1]!Tabla9[[Nombre ]],[1]!Tabla9[Distancia],"NA")</f>
        <v>2.2689999999999992</v>
      </c>
      <c r="I30" s="11">
        <f>[1]!Tabla3[[#This Row],[Valor Tran]]/([1]!Tabla3[[#This Row],[DISTANCIA (km)]]*2)</f>
        <v>17628.911414720147</v>
      </c>
      <c r="J30" s="31"/>
      <c r="K30" s="29">
        <v>1</v>
      </c>
      <c r="L30" s="32">
        <v>80000</v>
      </c>
      <c r="M30" s="32">
        <v>80000</v>
      </c>
      <c r="N30" s="32">
        <v>491200</v>
      </c>
      <c r="O30" s="13">
        <f>[1]!Tabla3[[#This Row],[VLR. TOTAL FACT.]]-[1]!Tabla3[[#This Row],[VLR. TRANSPORTE]]</f>
        <v>411200</v>
      </c>
      <c r="P30" s="29">
        <v>1</v>
      </c>
      <c r="Q30" s="29" t="s">
        <v>25</v>
      </c>
    </row>
    <row r="31" spans="1:17" ht="27.6" thickBot="1" x14ac:dyDescent="0.35">
      <c r="A31" s="14">
        <v>0</v>
      </c>
      <c r="B31" s="28">
        <v>45983</v>
      </c>
      <c r="C31" s="14" t="s">
        <v>17</v>
      </c>
      <c r="D31" s="14" t="s">
        <v>67</v>
      </c>
      <c r="E31" s="42" t="s">
        <v>68</v>
      </c>
      <c r="F31" s="14">
        <v>2</v>
      </c>
      <c r="G31" s="14" t="str">
        <f>_xlfn.XLOOKUP([1]!Tabla3[[#This Row],[ID]],[1]!Tabla2[ID],[1]!Tabla2[Corregimiento],"NA")</f>
        <v>Borrero Ayerbe</v>
      </c>
      <c r="H31" s="16">
        <f>_xlfn.XLOOKUP([1]!Tabla3[[#This Row],[LUGAR ENVÍO]],[1]!Tabla9[[Nombre ]],[1]!Tabla9[Distancia],"NA")</f>
        <v>2.2689999999999992</v>
      </c>
      <c r="I31" s="43">
        <f>[1]!Tabla3[[#This Row],[Valor Tran]]/([1]!Tabla3[[#This Row],[DISTANCIA (km)]]*2)</f>
        <v>15425.297487880129</v>
      </c>
      <c r="J31" s="18"/>
      <c r="K31" s="14">
        <v>1</v>
      </c>
      <c r="L31" s="19">
        <v>70000</v>
      </c>
      <c r="M31" s="19">
        <f>[1]!Tabla3[[#This Row],[VLR. TRANSPORTE]]/[1]!Tabla3[[#This Row],[Numero de Transportes]]</f>
        <v>70000</v>
      </c>
      <c r="N31" s="19">
        <v>541100</v>
      </c>
      <c r="O31" s="19">
        <f>[1]!Tabla3[[#This Row],[VLR. TOTAL FACT.]]-[1]!Tabla3[[#This Row],[VLR. TRANSPORTE]]</f>
        <v>471100</v>
      </c>
      <c r="P31" s="14">
        <v>1</v>
      </c>
      <c r="Q31" s="14" t="s">
        <v>23</v>
      </c>
    </row>
    <row r="32" spans="1:17" ht="27.6" thickBot="1" x14ac:dyDescent="0.35">
      <c r="A32" s="29">
        <v>57498</v>
      </c>
      <c r="B32" s="30" t="s">
        <v>69</v>
      </c>
      <c r="C32" s="29" t="s">
        <v>17</v>
      </c>
      <c r="D32" s="29" t="s">
        <v>64</v>
      </c>
      <c r="E32" s="41" t="s">
        <v>65</v>
      </c>
      <c r="F32" s="29">
        <v>22</v>
      </c>
      <c r="G32" s="8" t="str">
        <f>_xlfn.XLOOKUP([1]!Tabla3[[#This Row],[ID]],[1]!Tabla2[ID],[1]!Tabla2[Corregimiento],"NA")</f>
        <v>San Bernardo</v>
      </c>
      <c r="H32" s="10">
        <f>_xlfn.XLOOKUP([1]!Tabla3[[#This Row],[LUGAR ENVÍO]],[1]!Tabla9[[Nombre ]],[1]!Tabla9[Distancia],"NA")</f>
        <v>2.2689999999999992</v>
      </c>
      <c r="I32" s="11">
        <f>[1]!Tabla3[[#This Row],[Valor Tran]]/([1]!Tabla3[[#This Row],[DISTANCIA (km)]]*2)</f>
        <v>15425.297487880129</v>
      </c>
      <c r="J32" s="31"/>
      <c r="K32" s="29">
        <v>1</v>
      </c>
      <c r="L32" s="32">
        <v>70000</v>
      </c>
      <c r="M32" s="32">
        <v>70000</v>
      </c>
      <c r="N32" s="32">
        <v>558600</v>
      </c>
      <c r="O32" s="13">
        <f>[1]!Tabla3[[#This Row],[VLR. TOTAL FACT.]]-[1]!Tabla3[[#This Row],[VLR. TRANSPORTE]]</f>
        <v>488600</v>
      </c>
      <c r="P32" s="29">
        <v>1</v>
      </c>
      <c r="Q32" s="29" t="s">
        <v>22</v>
      </c>
    </row>
    <row r="33" spans="1:17" ht="27.6" thickBot="1" x14ac:dyDescent="0.35">
      <c r="A33" s="29">
        <v>47307</v>
      </c>
      <c r="B33" s="30" t="s">
        <v>70</v>
      </c>
      <c r="C33" s="29" t="s">
        <v>17</v>
      </c>
      <c r="D33" s="29" t="s">
        <v>71</v>
      </c>
      <c r="E33" s="29" t="s">
        <v>65</v>
      </c>
      <c r="F33" s="29">
        <v>22</v>
      </c>
      <c r="G33" s="14" t="str">
        <f>_xlfn.XLOOKUP([1]!Tabla3[[#This Row],[ID]],[1]!Tabla2[ID],[1]!Tabla2[Corregimiento],"NA")</f>
        <v>San Bernardo</v>
      </c>
      <c r="H33" s="16">
        <f>_xlfn.XLOOKUP([1]!Tabla3[[#This Row],[LUGAR ENVÍO]],[1]!Tabla9[[Nombre ]],[1]!Tabla9[Distancia],"NA")</f>
        <v>2.2689999999999992</v>
      </c>
      <c r="I33" s="17">
        <f>[1]!Tabla3[[#This Row],[Valor Tran]]/([1]!Tabla3[[#This Row],[DISTANCIA (km)]]*2)</f>
        <v>15425.297487880129</v>
      </c>
      <c r="J33" s="31"/>
      <c r="K33" s="29">
        <v>1</v>
      </c>
      <c r="L33" s="32">
        <v>70000</v>
      </c>
      <c r="M33" s="32">
        <v>70000</v>
      </c>
      <c r="N33" s="32">
        <v>626400</v>
      </c>
      <c r="O33" s="19">
        <f>[1]!Tabla3[[#This Row],[VLR. TOTAL FACT.]]-[1]!Tabla3[[#This Row],[VLR. TRANSPORTE]]</f>
        <v>556400</v>
      </c>
      <c r="P33" s="29">
        <v>1</v>
      </c>
      <c r="Q33" s="29" t="s">
        <v>22</v>
      </c>
    </row>
    <row r="34" spans="1:17" ht="27.6" thickBot="1" x14ac:dyDescent="0.35">
      <c r="A34" s="33">
        <v>58146</v>
      </c>
      <c r="B34" s="34" t="s">
        <v>72</v>
      </c>
      <c r="C34" s="33" t="s">
        <v>17</v>
      </c>
      <c r="D34" s="33" t="s">
        <v>73</v>
      </c>
      <c r="E34" s="33" t="s">
        <v>65</v>
      </c>
      <c r="F34" s="33">
        <v>22</v>
      </c>
      <c r="G34" s="8" t="str">
        <f>_xlfn.XLOOKUP([1]!Tabla3[[#This Row],[ID]],[1]!Tabla2[ID],[1]!Tabla2[Corregimiento],"NA")</f>
        <v>San Bernardo</v>
      </c>
      <c r="H34" s="10">
        <f>_xlfn.XLOOKUP([1]!Tabla3[[#This Row],[LUGAR ENVÍO]],[1]!Tabla9[[Nombre ]],[1]!Tabla9[Distancia],"NA")</f>
        <v>2.2689999999999992</v>
      </c>
      <c r="I34" s="11">
        <f>[1]!Tabla3[[#This Row],[Valor Tran]]/([1]!Tabla3[[#This Row],[DISTANCIA (km)]]*2)</f>
        <v>15425.297487880129</v>
      </c>
      <c r="J34" s="36"/>
      <c r="K34" s="33">
        <v>1</v>
      </c>
      <c r="L34" s="37">
        <v>70000</v>
      </c>
      <c r="M34" s="37">
        <v>70000</v>
      </c>
      <c r="N34" s="37">
        <v>648300</v>
      </c>
      <c r="O34" s="13">
        <f>[1]!Tabla3[[#This Row],[VLR. TOTAL FACT.]]-[1]!Tabla3[[#This Row],[VLR. TRANSPORTE]]</f>
        <v>578300</v>
      </c>
      <c r="P34" s="33">
        <v>1</v>
      </c>
      <c r="Q34" s="33" t="s">
        <v>22</v>
      </c>
    </row>
    <row r="35" spans="1:17" ht="27.6" thickBot="1" x14ac:dyDescent="0.35">
      <c r="A35" s="14">
        <v>58837</v>
      </c>
      <c r="B35" s="15">
        <v>45995</v>
      </c>
      <c r="C35" s="14" t="s">
        <v>17</v>
      </c>
      <c r="D35" s="14" t="s">
        <v>74</v>
      </c>
      <c r="E35" s="14" t="s">
        <v>68</v>
      </c>
      <c r="F35" s="14">
        <v>2</v>
      </c>
      <c r="G35" s="14" t="str">
        <f>_xlfn.XLOOKUP([1]!Tabla3[[#This Row],[ID]],[1]!Tabla2[ID],[1]!Tabla2[Corregimiento],"NA")</f>
        <v>Borrero Ayerbe</v>
      </c>
      <c r="H35" s="16">
        <f>_xlfn.XLOOKUP([1]!Tabla3[[#This Row],[LUGAR ENVÍO]],[1]!Tabla9[[Nombre ]],[1]!Tabla9[Distancia],"NA")</f>
        <v>2.2689999999999992</v>
      </c>
      <c r="I35" s="17">
        <f>[1]!Tabla3[[#This Row],[Valor Tran]]/([1]!Tabla3[[#This Row],[DISTANCIA (km)]]*2)</f>
        <v>6610.8417805200552</v>
      </c>
      <c r="J35" s="18"/>
      <c r="K35" s="14">
        <v>1</v>
      </c>
      <c r="L35" s="19">
        <v>30000</v>
      </c>
      <c r="M35" s="19">
        <f>[1]!Tabla3[[#This Row],[VLR. TRANSPORTE]]/[1]!Tabla3[[#This Row],[Numero de Transportes]]</f>
        <v>30000</v>
      </c>
      <c r="N35" s="19">
        <v>2391000</v>
      </c>
      <c r="O35" s="19">
        <f>[1]!Tabla3[[#This Row],[VLR. TOTAL FACT.]]-[1]!Tabla3[[#This Row],[VLR. TRANSPORTE]]</f>
        <v>2361000</v>
      </c>
      <c r="P35" s="14">
        <v>1</v>
      </c>
      <c r="Q35" s="14" t="s">
        <v>25</v>
      </c>
    </row>
    <row r="36" spans="1:17" ht="27.6" thickBot="1" x14ac:dyDescent="0.35">
      <c r="A36" s="8">
        <v>47219</v>
      </c>
      <c r="B36" s="9">
        <v>45971</v>
      </c>
      <c r="C36" s="8" t="s">
        <v>17</v>
      </c>
      <c r="D36" s="8" t="s">
        <v>75</v>
      </c>
      <c r="E36" s="27" t="s">
        <v>76</v>
      </c>
      <c r="F36" s="8">
        <v>12</v>
      </c>
      <c r="G36" s="8" t="str">
        <f>_xlfn.XLOOKUP([1]!Tabla3[[#This Row],[ID]],[1]!Tabla2[ID],[1]!Tabla2[Corregimiento],"NA")</f>
        <v>El Salado</v>
      </c>
      <c r="H36" s="10">
        <f>_xlfn.XLOOKUP([1]!Tabla3[[#This Row],[LUGAR ENVÍO]],[1]!Tabla9[[Nombre ]],[1]!Tabla9[Distancia],"NA")</f>
        <v>13.07</v>
      </c>
      <c r="I36" s="11">
        <f>[1]!Tabla3[[#This Row],[Valor Tran]]/([1]!Tabla3[[#This Row],[DISTANCIA (km)]]*2)</f>
        <v>1530.221882172915</v>
      </c>
      <c r="J36" s="12"/>
      <c r="K36" s="8">
        <v>1</v>
      </c>
      <c r="L36" s="13">
        <v>40000</v>
      </c>
      <c r="M36" s="13">
        <f>[1]!Tabla3[[#This Row],[VLR. TRANSPORTE]]/[1]!Tabla3[[#This Row],[Numero de Transportes]]</f>
        <v>40000</v>
      </c>
      <c r="N36" s="13">
        <v>401900</v>
      </c>
      <c r="O36" s="13">
        <f>[1]!Tabla3[[#This Row],[VLR. TOTAL FACT.]]-[1]!Tabla3[[#This Row],[VLR. TRANSPORTE]]</f>
        <v>361900</v>
      </c>
      <c r="P36" s="8">
        <v>1</v>
      </c>
      <c r="Q36" s="8" t="s">
        <v>77</v>
      </c>
    </row>
    <row r="37" spans="1:17" ht="27.6" thickBot="1" x14ac:dyDescent="0.35">
      <c r="A37" s="14">
        <v>48298</v>
      </c>
      <c r="B37" s="28">
        <v>45982</v>
      </c>
      <c r="C37" s="14" t="s">
        <v>17</v>
      </c>
      <c r="D37" s="14" t="s">
        <v>78</v>
      </c>
      <c r="E37" s="39" t="s">
        <v>76</v>
      </c>
      <c r="F37" s="14">
        <v>12</v>
      </c>
      <c r="G37" s="14" t="str">
        <f>_xlfn.XLOOKUP([1]!Tabla3[[#This Row],[ID]],[1]!Tabla2[ID],[1]!Tabla2[Corregimiento],"NA")</f>
        <v>El Salado</v>
      </c>
      <c r="H37" s="16">
        <f>_xlfn.XLOOKUP([1]!Tabla3[[#This Row],[LUGAR ENVÍO]],[1]!Tabla9[[Nombre ]],[1]!Tabla9[Distancia],"NA")</f>
        <v>13.07</v>
      </c>
      <c r="I37" s="17">
        <f>[1]!Tabla3[[#This Row],[Valor Tran]]/([1]!Tabla3[[#This Row],[DISTANCIA (km)]]*2)</f>
        <v>2677.8882938026013</v>
      </c>
      <c r="J37" s="18"/>
      <c r="K37" s="14">
        <v>1</v>
      </c>
      <c r="L37" s="19">
        <v>70000</v>
      </c>
      <c r="M37" s="19">
        <f>[1]!Tabla3[[#This Row],[VLR. TRANSPORTE]]/[1]!Tabla3[[#This Row],[Numero de Transportes]]</f>
        <v>70000</v>
      </c>
      <c r="N37" s="19">
        <v>542500</v>
      </c>
      <c r="O37" s="19">
        <f>[1]!Tabla3[[#This Row],[VLR. TOTAL FACT.]]-[1]!Tabla3[[#This Row],[VLR. TRANSPORTE]]</f>
        <v>472500</v>
      </c>
      <c r="P37" s="14">
        <v>1</v>
      </c>
      <c r="Q37" s="14" t="s">
        <v>22</v>
      </c>
    </row>
    <row r="38" spans="1:17" ht="27.6" thickBot="1" x14ac:dyDescent="0.35">
      <c r="A38" s="33">
        <v>50256</v>
      </c>
      <c r="B38" s="34" t="s">
        <v>79</v>
      </c>
      <c r="C38" s="33" t="s">
        <v>17</v>
      </c>
      <c r="D38" s="33" t="s">
        <v>80</v>
      </c>
      <c r="E38" s="44" t="s">
        <v>76</v>
      </c>
      <c r="F38" s="33">
        <v>12</v>
      </c>
      <c r="G38" s="8" t="str">
        <f>_xlfn.XLOOKUP([1]!Tabla3[[#This Row],[ID]],[1]!Tabla2[ID],[1]!Tabla2[Corregimiento],"NA")</f>
        <v>El Salado</v>
      </c>
      <c r="H38" s="10">
        <f>_xlfn.XLOOKUP([1]!Tabla3[[#This Row],[LUGAR ENVÍO]],[1]!Tabla9[[Nombre ]],[1]!Tabla9[Distancia],"NA")</f>
        <v>13.07</v>
      </c>
      <c r="I38" s="11">
        <f>[1]!Tabla3[[#This Row],[Valor Tran]]/([1]!Tabla3[[#This Row],[DISTANCIA (km)]]*2)</f>
        <v>1530.221882172915</v>
      </c>
      <c r="J38" s="36"/>
      <c r="K38" s="33">
        <v>2</v>
      </c>
      <c r="L38" s="37">
        <v>80000</v>
      </c>
      <c r="M38" s="37">
        <v>40000</v>
      </c>
      <c r="N38" s="37">
        <v>633400</v>
      </c>
      <c r="O38" s="13">
        <f>[1]!Tabla3[[#This Row],[VLR. TOTAL FACT.]]-[1]!Tabla3[[#This Row],[VLR. TRANSPORTE]]</f>
        <v>553400</v>
      </c>
      <c r="P38" s="33">
        <v>1</v>
      </c>
      <c r="Q38" s="33" t="s">
        <v>25</v>
      </c>
    </row>
    <row r="39" spans="1:17" ht="27.6" thickBot="1" x14ac:dyDescent="0.35">
      <c r="A39" s="14">
        <v>46985</v>
      </c>
      <c r="B39" s="28">
        <v>45968</v>
      </c>
      <c r="C39" s="14" t="s">
        <v>17</v>
      </c>
      <c r="D39" s="14" t="s">
        <v>81</v>
      </c>
      <c r="E39" s="14" t="s">
        <v>76</v>
      </c>
      <c r="F39" s="14">
        <v>12</v>
      </c>
      <c r="G39" s="14" t="str">
        <f>_xlfn.XLOOKUP([1]!Tabla3[[#This Row],[ID]],[1]!Tabla2[ID],[1]!Tabla2[Corregimiento],"NA")</f>
        <v>El Salado</v>
      </c>
      <c r="H39" s="16">
        <f>_xlfn.XLOOKUP([1]!Tabla3[[#This Row],[LUGAR ENVÍO]],[1]!Tabla9[[Nombre ]],[1]!Tabla9[Distancia],"NA")</f>
        <v>13.07</v>
      </c>
      <c r="I39" s="17">
        <f>[1]!Tabla3[[#This Row],[Valor Tran]]/([1]!Tabla3[[#This Row],[DISTANCIA (km)]]*2)</f>
        <v>1912.7773527161437</v>
      </c>
      <c r="J39" s="18"/>
      <c r="K39" s="14">
        <v>1</v>
      </c>
      <c r="L39" s="19">
        <v>50000</v>
      </c>
      <c r="M39" s="19">
        <f>[1]!Tabla3[[#This Row],[VLR. TRANSPORTE]]/[1]!Tabla3[[#This Row],[Numero de Transportes]]</f>
        <v>50000</v>
      </c>
      <c r="N39" s="19">
        <v>961900</v>
      </c>
      <c r="O39" s="19">
        <f>[1]!Tabla3[[#This Row],[VLR. TOTAL FACT.]]-[1]!Tabla3[[#This Row],[VLR. TRANSPORTE]]</f>
        <v>911900</v>
      </c>
      <c r="P39" s="14">
        <v>0</v>
      </c>
      <c r="Q39" s="14" t="s">
        <v>25</v>
      </c>
    </row>
    <row r="40" spans="1:17" ht="27.6" thickBot="1" x14ac:dyDescent="0.35">
      <c r="A40" s="29">
        <v>46966</v>
      </c>
      <c r="B40" s="30" t="s">
        <v>82</v>
      </c>
      <c r="C40" s="29" t="s">
        <v>17</v>
      </c>
      <c r="D40" s="29" t="s">
        <v>83</v>
      </c>
      <c r="E40" s="29" t="s">
        <v>76</v>
      </c>
      <c r="F40" s="29">
        <v>12</v>
      </c>
      <c r="G40" s="8" t="str">
        <f>_xlfn.XLOOKUP([1]!Tabla3[[#This Row],[ID]],[1]!Tabla2[ID],[1]!Tabla2[Corregimiento],"NA")</f>
        <v>El Salado</v>
      </c>
      <c r="H40" s="10">
        <f>_xlfn.XLOOKUP([1]!Tabla3[[#This Row],[LUGAR ENVÍO]],[1]!Tabla9[[Nombre ]],[1]!Tabla9[Distancia],"NA")</f>
        <v>13.07</v>
      </c>
      <c r="I40" s="11">
        <f>[1]!Tabla3[[#This Row],[Valor Tran]]/([1]!Tabla3[[#This Row],[DISTANCIA (km)]]*2)</f>
        <v>2677.8882938026013</v>
      </c>
      <c r="J40" s="31"/>
      <c r="K40" s="29">
        <v>1</v>
      </c>
      <c r="L40" s="32">
        <v>70000</v>
      </c>
      <c r="M40" s="32">
        <v>70000</v>
      </c>
      <c r="N40" s="32">
        <v>1105700</v>
      </c>
      <c r="O40" s="13">
        <f>[1]!Tabla3[[#This Row],[VLR. TOTAL FACT.]]-[1]!Tabla3[[#This Row],[VLR. TRANSPORTE]]</f>
        <v>1035700</v>
      </c>
      <c r="P40" s="29">
        <v>1</v>
      </c>
      <c r="Q40" s="29" t="s">
        <v>22</v>
      </c>
    </row>
    <row r="41" spans="1:17" ht="27.6" thickBot="1" x14ac:dyDescent="0.35">
      <c r="A41" s="14">
        <v>30495</v>
      </c>
      <c r="B41" s="28">
        <v>45981</v>
      </c>
      <c r="C41" s="14" t="s">
        <v>17</v>
      </c>
      <c r="D41" s="14" t="s">
        <v>73</v>
      </c>
      <c r="E41" s="14" t="s">
        <v>76</v>
      </c>
      <c r="F41" s="14">
        <v>12</v>
      </c>
      <c r="G41" s="14" t="str">
        <f>_xlfn.XLOOKUP([1]!Tabla3[[#This Row],[ID]],[1]!Tabla2[ID],[1]!Tabla2[Corregimiento],"NA")</f>
        <v>El Salado</v>
      </c>
      <c r="H41" s="16">
        <f>_xlfn.XLOOKUP([1]!Tabla3[[#This Row],[LUGAR ENVÍO]],[1]!Tabla9[[Nombre ]],[1]!Tabla9[Distancia],"NA")</f>
        <v>13.07</v>
      </c>
      <c r="I41" s="17">
        <f>[1]!Tabla3[[#This Row],[Valor Tran]]/([1]!Tabla3[[#This Row],[DISTANCIA (km)]]*2)</f>
        <v>2677.8882938026013</v>
      </c>
      <c r="J41" s="18"/>
      <c r="K41" s="14">
        <v>1</v>
      </c>
      <c r="L41" s="19">
        <v>70000</v>
      </c>
      <c r="M41" s="19">
        <f>[1]!Tabla3[[#This Row],[VLR. TRANSPORTE]]/[1]!Tabla3[[#This Row],[Numero de Transportes]]</f>
        <v>70000</v>
      </c>
      <c r="N41" s="19">
        <v>1343900</v>
      </c>
      <c r="O41" s="19">
        <f>[1]!Tabla3[[#This Row],[VLR. TOTAL FACT.]]-[1]!Tabla3[[#This Row],[VLR. TRANSPORTE]]</f>
        <v>1273900</v>
      </c>
      <c r="P41" s="14">
        <v>1</v>
      </c>
      <c r="Q41" s="14" t="s">
        <v>57</v>
      </c>
    </row>
    <row r="42" spans="1:17" ht="27.6" thickBot="1" x14ac:dyDescent="0.35">
      <c r="A42" s="8">
        <v>57099</v>
      </c>
      <c r="B42" s="9">
        <v>45962</v>
      </c>
      <c r="C42" s="8" t="s">
        <v>17</v>
      </c>
      <c r="D42" s="8" t="s">
        <v>84</v>
      </c>
      <c r="E42" s="45" t="s">
        <v>76</v>
      </c>
      <c r="F42" s="8">
        <v>12</v>
      </c>
      <c r="G42" s="8" t="str">
        <f>_xlfn.XLOOKUP([1]!Tabla3[[#This Row],[ID]],[1]!Tabla2[ID],[1]!Tabla2[Corregimiento],"NA")</f>
        <v>El Salado</v>
      </c>
      <c r="H42" s="10">
        <f>_xlfn.XLOOKUP([1]!Tabla3[[#This Row],[LUGAR ENVÍO]],[1]!Tabla9[[Nombre ]],[1]!Tabla9[Distancia],"NA")</f>
        <v>13.07</v>
      </c>
      <c r="I42" s="11">
        <f>[1]!Tabla3[[#This Row],[Valor Tran]]/([1]!Tabla3[[#This Row],[DISTANCIA (km)]]*2)</f>
        <v>2295.3328232593726</v>
      </c>
      <c r="J42" s="12"/>
      <c r="K42" s="8">
        <v>2</v>
      </c>
      <c r="L42" s="13">
        <v>120000</v>
      </c>
      <c r="M42" s="13">
        <f>[1]!Tabla3[[#This Row],[VLR. TRANSPORTE]]/[1]!Tabla3[[#This Row],[Numero de Transportes]]</f>
        <v>60000</v>
      </c>
      <c r="N42" s="13">
        <v>1605000</v>
      </c>
      <c r="O42" s="13">
        <f>[1]!Tabla3[[#This Row],[VLR. TOTAL FACT.]]-[1]!Tabla3[[#This Row],[VLR. TRANSPORTE]]</f>
        <v>1485000</v>
      </c>
      <c r="P42" s="8">
        <v>0</v>
      </c>
      <c r="Q42" s="8" t="s">
        <v>49</v>
      </c>
    </row>
    <row r="43" spans="1:17" ht="27.6" thickBot="1" x14ac:dyDescent="0.35">
      <c r="A43" s="14">
        <v>58976</v>
      </c>
      <c r="B43" s="28">
        <v>45985</v>
      </c>
      <c r="C43" s="14" t="s">
        <v>27</v>
      </c>
      <c r="D43" s="14" t="s">
        <v>85</v>
      </c>
      <c r="E43" s="42" t="s">
        <v>86</v>
      </c>
      <c r="F43" s="14">
        <v>6</v>
      </c>
      <c r="G43" s="14" t="str">
        <f>_xlfn.XLOOKUP([1]!Tabla3[[#This Row],[ID]],[1]!Tabla2[ID],[1]!Tabla2[Corregimiento],"NA")</f>
        <v>El Limonar</v>
      </c>
      <c r="H43" s="16">
        <f>_xlfn.XLOOKUP([1]!Tabla3[[#This Row],[LUGAR ENVÍO]],[1]!Tabla9[[Nombre ]],[1]!Tabla9[Distancia],"NA")</f>
        <v>7.6033179999999998</v>
      </c>
      <c r="I43" s="17">
        <f>[1]!Tabla3[[#This Row],[Valor Tran]]/([1]!Tabla3[[#This Row],[DISTANCIA (km)]]*2)</f>
        <v>4603.2534743384404</v>
      </c>
      <c r="J43" s="18"/>
      <c r="K43" s="14">
        <v>1</v>
      </c>
      <c r="L43" s="19">
        <v>70000</v>
      </c>
      <c r="M43" s="19">
        <f>[1]!Tabla3[[#This Row],[VLR. TRANSPORTE]]/[1]!Tabla3[[#This Row],[Numero de Transportes]]</f>
        <v>70000</v>
      </c>
      <c r="N43" s="19">
        <v>841000</v>
      </c>
      <c r="O43" s="19">
        <f>[1]!Tabla3[[#This Row],[VLR. TOTAL FACT.]]-[1]!Tabla3[[#This Row],[VLR. TRANSPORTE]]</f>
        <v>771000</v>
      </c>
      <c r="P43" s="14">
        <v>1</v>
      </c>
      <c r="Q43" s="14" t="s">
        <v>22</v>
      </c>
    </row>
    <row r="44" spans="1:17" ht="27.6" thickBot="1" x14ac:dyDescent="0.35">
      <c r="A44" s="46">
        <v>46592</v>
      </c>
      <c r="B44" s="47">
        <v>45964</v>
      </c>
      <c r="C44" s="46" t="s">
        <v>17</v>
      </c>
      <c r="D44" s="46" t="s">
        <v>87</v>
      </c>
      <c r="E44" s="42" t="s">
        <v>86</v>
      </c>
      <c r="F44" s="46">
        <v>6</v>
      </c>
      <c r="G44" s="46" t="str">
        <f>_xlfn.XLOOKUP([1]!Tabla3[[#This Row],[ID]],[1]!Tabla2[ID],[1]!Tabla2[Corregimiento],"NA")</f>
        <v>El Limonar</v>
      </c>
      <c r="H44" s="10">
        <f>_xlfn.XLOOKUP([1]!Tabla3[[#This Row],[LUGAR ENVÍO]],[1]!Tabla9[[Nombre ]],[1]!Tabla9[Distancia],"NA")</f>
        <v>7.6033179999999998</v>
      </c>
      <c r="I44" s="48">
        <f>[1]!Tabla3[[#This Row],[Valor Tran]]/([1]!Tabla3[[#This Row],[DISTANCIA (km)]]*2)</f>
        <v>3945.6458351472347</v>
      </c>
      <c r="J44" s="49"/>
      <c r="K44" s="46">
        <v>1</v>
      </c>
      <c r="L44" s="50">
        <v>60000</v>
      </c>
      <c r="M44" s="50">
        <f>[1]!Tabla3[[#This Row],[VLR. TRANSPORTE]]/[1]!Tabla3[[#This Row],[Numero de Transportes]]</f>
        <v>60000</v>
      </c>
      <c r="N44" s="50">
        <v>846000</v>
      </c>
      <c r="O44" s="13">
        <f>[1]!Tabla3[[#This Row],[VLR. TOTAL FACT.]]-[1]!Tabla3[[#This Row],[VLR. TRANSPORTE]]</f>
        <v>786000</v>
      </c>
      <c r="P44" s="46">
        <v>1</v>
      </c>
      <c r="Q44" s="46" t="s">
        <v>25</v>
      </c>
    </row>
    <row r="45" spans="1:17" ht="27.6" thickBot="1" x14ac:dyDescent="0.35">
      <c r="A45" s="33">
        <v>55784</v>
      </c>
      <c r="B45" s="34" t="s">
        <v>70</v>
      </c>
      <c r="C45" s="33" t="s">
        <v>17</v>
      </c>
      <c r="D45" s="33" t="s">
        <v>88</v>
      </c>
      <c r="E45" s="40" t="s">
        <v>86</v>
      </c>
      <c r="F45" s="33">
        <v>6</v>
      </c>
      <c r="G45" s="14" t="str">
        <f>_xlfn.XLOOKUP([1]!Tabla3[[#This Row],[ID]],[1]!Tabla2[ID],[1]!Tabla2[Corregimiento],"NA")</f>
        <v>El Limonar</v>
      </c>
      <c r="H45" s="16">
        <f>_xlfn.XLOOKUP([1]!Tabla3[[#This Row],[LUGAR ENVÍO]],[1]!Tabla9[[Nombre ]],[1]!Tabla9[Distancia],"NA")</f>
        <v>7.6033179999999998</v>
      </c>
      <c r="I45" s="17">
        <f>[1]!Tabla3[[#This Row],[Valor Tran]]/([1]!Tabla3[[#This Row],[DISTANCIA (km)]]*2)</f>
        <v>4603.2534743384404</v>
      </c>
      <c r="J45" s="36"/>
      <c r="K45" s="33">
        <v>1</v>
      </c>
      <c r="L45" s="37">
        <v>70000</v>
      </c>
      <c r="M45" s="37">
        <v>70000</v>
      </c>
      <c r="N45" s="37">
        <v>895600</v>
      </c>
      <c r="O45" s="19">
        <f>[1]!Tabla3[[#This Row],[VLR. TOTAL FACT.]]-[1]!Tabla3[[#This Row],[VLR. TRANSPORTE]]</f>
        <v>825600</v>
      </c>
      <c r="P45" s="33">
        <v>1</v>
      </c>
      <c r="Q45" s="33" t="s">
        <v>22</v>
      </c>
    </row>
    <row r="46" spans="1:17" ht="27.6" thickBot="1" x14ac:dyDescent="0.35">
      <c r="A46" s="46">
        <v>58524</v>
      </c>
      <c r="B46" s="47">
        <v>45976</v>
      </c>
      <c r="C46" s="46" t="s">
        <v>27</v>
      </c>
      <c r="D46" s="46" t="s">
        <v>89</v>
      </c>
      <c r="E46" s="46" t="s">
        <v>90</v>
      </c>
      <c r="F46" s="46">
        <v>4</v>
      </c>
      <c r="G46" s="46" t="str">
        <f>_xlfn.XLOOKUP([1]!Tabla3[[#This Row],[ID]],[1]!Tabla2[ID],[1]!Tabla2[Corregimiento],"NA")</f>
        <v>El Carmen</v>
      </c>
      <c r="H46" s="10">
        <f>_xlfn.XLOOKUP([1]!Tabla3[[#This Row],[LUGAR ENVÍO]],[1]!Tabla9[[Nombre ]],[1]!Tabla9[Distancia],"NA")</f>
        <v>4.7339999999999982</v>
      </c>
      <c r="I46" s="48">
        <f>[1]!Tabla3[[#This Row],[Valor Tran]]/([1]!Tabla3[[#This Row],[DISTANCIA (km)]]*2)</f>
        <v>4224.757076468105</v>
      </c>
      <c r="J46" s="49"/>
      <c r="K46" s="46">
        <v>1</v>
      </c>
      <c r="L46" s="50">
        <v>40000</v>
      </c>
      <c r="M46" s="50">
        <f>[1]!Tabla3[[#This Row],[VLR. TRANSPORTE]]/[1]!Tabla3[[#This Row],[Numero de Transportes]]</f>
        <v>40000</v>
      </c>
      <c r="N46" s="50">
        <v>288000</v>
      </c>
      <c r="O46" s="13">
        <f>[1]!Tabla3[[#This Row],[VLR. TOTAL FACT.]]-[1]!Tabla3[[#This Row],[VLR. TRANSPORTE]]</f>
        <v>248000</v>
      </c>
      <c r="P46" s="46">
        <v>0</v>
      </c>
      <c r="Q46" s="46" t="s">
        <v>22</v>
      </c>
    </row>
    <row r="47" spans="1:17" ht="27.6" thickBot="1" x14ac:dyDescent="0.35">
      <c r="A47" s="14">
        <v>58868</v>
      </c>
      <c r="B47" s="15">
        <v>45998</v>
      </c>
      <c r="C47" s="14" t="s">
        <v>17</v>
      </c>
      <c r="D47" s="14" t="s">
        <v>91</v>
      </c>
      <c r="E47" s="38" t="s">
        <v>90</v>
      </c>
      <c r="F47" s="14">
        <v>4</v>
      </c>
      <c r="G47" s="14" t="str">
        <f>_xlfn.XLOOKUP([1]!Tabla3[[#This Row],[ID]],[1]!Tabla2[ID],[1]!Tabla2[Corregimiento],"NA")</f>
        <v>El Carmen</v>
      </c>
      <c r="H47" s="16">
        <f>_xlfn.XLOOKUP([1]!Tabla3[[#This Row],[LUGAR ENVÍO]],[1]!Tabla9[[Nombre ]],[1]!Tabla9[Distancia],"NA")</f>
        <v>4.7339999999999982</v>
      </c>
      <c r="I47" s="17">
        <f>[1]!Tabla3[[#This Row],[Valor Tran]]/([1]!Tabla3[[#This Row],[DISTANCIA (km)]]*2)</f>
        <v>6337.135614702157</v>
      </c>
      <c r="J47" s="18"/>
      <c r="K47" s="14">
        <v>1</v>
      </c>
      <c r="L47" s="19">
        <v>60000</v>
      </c>
      <c r="M47" s="19">
        <f>[1]!Tabla3[[#This Row],[VLR. TRANSPORTE]]/[1]!Tabla3[[#This Row],[Numero de Transportes]]</f>
        <v>60000</v>
      </c>
      <c r="N47" s="19">
        <v>3389000</v>
      </c>
      <c r="O47" s="19">
        <f>[1]!Tabla3[[#This Row],[VLR. TOTAL FACT.]]-[1]!Tabla3[[#This Row],[VLR. TRANSPORTE]]</f>
        <v>3329000</v>
      </c>
      <c r="P47" s="14">
        <v>1</v>
      </c>
      <c r="Q47" s="14" t="s">
        <v>25</v>
      </c>
    </row>
    <row r="48" spans="1:17" ht="27.6" thickBot="1" x14ac:dyDescent="0.35">
      <c r="A48" s="46">
        <v>58704</v>
      </c>
      <c r="B48" s="51">
        <v>45996</v>
      </c>
      <c r="C48" s="46" t="s">
        <v>17</v>
      </c>
      <c r="D48" s="46" t="s">
        <v>67</v>
      </c>
      <c r="E48" s="27" t="s">
        <v>90</v>
      </c>
      <c r="F48" s="46">
        <v>4</v>
      </c>
      <c r="G48" s="46" t="str">
        <f>_xlfn.XLOOKUP([1]!Tabla3[[#This Row],[ID]],[1]!Tabla2[ID],[1]!Tabla2[Corregimiento],"NA")</f>
        <v>El Carmen</v>
      </c>
      <c r="H48" s="10">
        <f>_xlfn.XLOOKUP([1]!Tabla3[[#This Row],[LUGAR ENVÍO]],[1]!Tabla9[[Nombre ]],[1]!Tabla9[Distancia],"NA")</f>
        <v>4.7339999999999982</v>
      </c>
      <c r="I48" s="48">
        <f>[1]!Tabla3[[#This Row],[Valor Tran]]/([1]!Tabla3[[#This Row],[DISTANCIA (km)]]*2)</f>
        <v>1584.2839036755392</v>
      </c>
      <c r="J48" s="49"/>
      <c r="K48" s="46">
        <v>1</v>
      </c>
      <c r="L48" s="50">
        <v>15000</v>
      </c>
      <c r="M48" s="50">
        <f>[1]!Tabla3[[#This Row],[VLR. TRANSPORTE]]/[1]!Tabla3[[#This Row],[Numero de Transportes]]</f>
        <v>15000</v>
      </c>
      <c r="N48" s="50">
        <v>3633000</v>
      </c>
      <c r="O48" s="13">
        <f>[1]!Tabla3[[#This Row],[VLR. TOTAL FACT.]]-[1]!Tabla3[[#This Row],[VLR. TRANSPORTE]]</f>
        <v>3618000</v>
      </c>
      <c r="P48" s="46">
        <v>0</v>
      </c>
      <c r="Q48" s="46" t="s">
        <v>25</v>
      </c>
    </row>
    <row r="49" spans="1:17" ht="27.6" thickBot="1" x14ac:dyDescent="0.35">
      <c r="A49" s="29">
        <v>56686</v>
      </c>
      <c r="B49" s="30" t="s">
        <v>92</v>
      </c>
      <c r="C49" s="29" t="s">
        <v>17</v>
      </c>
      <c r="D49" s="29" t="s">
        <v>18</v>
      </c>
      <c r="E49" s="40" t="s">
        <v>93</v>
      </c>
      <c r="F49" s="29">
        <v>4</v>
      </c>
      <c r="G49" s="14" t="str">
        <f>_xlfn.XLOOKUP([1]!Tabla3[[#This Row],[ID]],[1]!Tabla2[ID],[1]!Tabla2[Corregimiento],"NA")</f>
        <v>El Carmen</v>
      </c>
      <c r="H49" s="16">
        <f>_xlfn.XLOOKUP([1]!Tabla3[[#This Row],[LUGAR ENVÍO]],[1]!Tabla9[[Nombre ]],[1]!Tabla9[Distancia],"NA")</f>
        <v>2.3290000000000006</v>
      </c>
      <c r="I49" s="17">
        <f>[1]!Tabla3[[#This Row],[Valor Tran]]/([1]!Tabla3[[#This Row],[DISTANCIA (km)]]*2)</f>
        <v>6440.5324173464987</v>
      </c>
      <c r="J49" s="31"/>
      <c r="K49" s="29">
        <v>1</v>
      </c>
      <c r="L49" s="32">
        <v>30000</v>
      </c>
      <c r="M49" s="32">
        <v>30000</v>
      </c>
      <c r="N49" s="32">
        <v>592700</v>
      </c>
      <c r="O49" s="19">
        <f>[1]!Tabla3[[#This Row],[VLR. TOTAL FACT.]]-[1]!Tabla3[[#This Row],[VLR. TRANSPORTE]]</f>
        <v>562700</v>
      </c>
      <c r="P49" s="29">
        <v>1</v>
      </c>
      <c r="Q49" s="29" t="s">
        <v>22</v>
      </c>
    </row>
    <row r="50" spans="1:17" ht="27.6" thickBot="1" x14ac:dyDescent="0.35">
      <c r="A50" s="52">
        <v>58344</v>
      </c>
      <c r="B50" s="53" t="s">
        <v>82</v>
      </c>
      <c r="C50" s="52" t="s">
        <v>17</v>
      </c>
      <c r="D50" s="52" t="s">
        <v>94</v>
      </c>
      <c r="E50" s="54" t="s">
        <v>93</v>
      </c>
      <c r="F50" s="52">
        <v>4</v>
      </c>
      <c r="G50" s="46" t="str">
        <f>_xlfn.XLOOKUP([1]!Tabla3[[#This Row],[ID]],[1]!Tabla2[ID],[1]!Tabla2[Corregimiento],"NA")</f>
        <v>El Carmen</v>
      </c>
      <c r="H50" s="10">
        <f>_xlfn.XLOOKUP([1]!Tabla3[[#This Row],[LUGAR ENVÍO]],[1]!Tabla9[[Nombre ]],[1]!Tabla9[Distancia],"NA")</f>
        <v>2.3290000000000006</v>
      </c>
      <c r="I50" s="48">
        <f>[1]!Tabla3[[#This Row],[Valor Tran]]/([1]!Tabla3[[#This Row],[DISTANCIA (km)]]*2)</f>
        <v>6440.5324173464987</v>
      </c>
      <c r="J50" s="55"/>
      <c r="K50" s="52">
        <v>1</v>
      </c>
      <c r="L50" s="56">
        <v>30000</v>
      </c>
      <c r="M50" s="56">
        <v>30000</v>
      </c>
      <c r="N50" s="56">
        <v>612900</v>
      </c>
      <c r="O50" s="13">
        <f>[1]!Tabla3[[#This Row],[VLR. TOTAL FACT.]]-[1]!Tabla3[[#This Row],[VLR. TRANSPORTE]]</f>
        <v>582900</v>
      </c>
      <c r="P50" s="52">
        <v>1</v>
      </c>
      <c r="Q50" s="52" t="s">
        <v>25</v>
      </c>
    </row>
    <row r="51" spans="1:17" ht="27.6" thickBot="1" x14ac:dyDescent="0.35">
      <c r="A51" s="29">
        <v>47342</v>
      </c>
      <c r="B51" s="30" t="s">
        <v>95</v>
      </c>
      <c r="C51" s="29" t="s">
        <v>17</v>
      </c>
      <c r="D51" s="29" t="s">
        <v>96</v>
      </c>
      <c r="E51" s="57" t="s">
        <v>93</v>
      </c>
      <c r="F51" s="29">
        <v>4</v>
      </c>
      <c r="G51" s="14" t="str">
        <f>_xlfn.XLOOKUP([1]!Tabla3[[#This Row],[ID]],[1]!Tabla2[ID],[1]!Tabla2[Corregimiento],"NA")</f>
        <v>El Carmen</v>
      </c>
      <c r="H51" s="16">
        <f>_xlfn.XLOOKUP([1]!Tabla3[[#This Row],[LUGAR ENVÍO]],[1]!Tabla9[[Nombre ]],[1]!Tabla9[Distancia],"NA")</f>
        <v>2.3290000000000006</v>
      </c>
      <c r="I51" s="17">
        <f>[1]!Tabla3[[#This Row],[Valor Tran]]/([1]!Tabla3[[#This Row],[DISTANCIA (km)]]*2)</f>
        <v>6440.5324173464987</v>
      </c>
      <c r="J51" s="31"/>
      <c r="K51" s="29">
        <v>1</v>
      </c>
      <c r="L51" s="32">
        <v>30000</v>
      </c>
      <c r="M51" s="32">
        <v>30000</v>
      </c>
      <c r="N51" s="32">
        <v>637600</v>
      </c>
      <c r="O51" s="19">
        <f>[1]!Tabla3[[#This Row],[VLR. TOTAL FACT.]]-[1]!Tabla3[[#This Row],[VLR. TRANSPORTE]]</f>
        <v>607600</v>
      </c>
      <c r="P51" s="29">
        <v>1</v>
      </c>
      <c r="Q51" s="29" t="s">
        <v>22</v>
      </c>
    </row>
    <row r="52" spans="1:17" ht="15" thickBot="1" x14ac:dyDescent="0.35">
      <c r="A52" s="46">
        <v>58270</v>
      </c>
      <c r="B52" s="47">
        <v>45985</v>
      </c>
      <c r="C52" s="46" t="s">
        <v>27</v>
      </c>
      <c r="D52" s="46" t="s">
        <v>97</v>
      </c>
      <c r="E52" s="54" t="s">
        <v>93</v>
      </c>
      <c r="F52" s="46">
        <v>4</v>
      </c>
      <c r="G52" s="46" t="str">
        <f>_xlfn.XLOOKUP([1]!Tabla3[[#This Row],[ID]],[1]!Tabla2[ID],[1]!Tabla2[Corregimiento],"NA")</f>
        <v>El Carmen</v>
      </c>
      <c r="H52" s="10">
        <f>_xlfn.XLOOKUP([1]!Tabla3[[#This Row],[LUGAR ENVÍO]],[1]!Tabla9[[Nombre ]],[1]!Tabla9[Distancia],"NA")</f>
        <v>2.3290000000000006</v>
      </c>
      <c r="I52" s="48">
        <f>[1]!Tabla3[[#This Row],[Valor Tran]]/([1]!Tabla3[[#This Row],[DISTANCIA (km)]]*2)</f>
        <v>6440.5324173464987</v>
      </c>
      <c r="J52" s="49"/>
      <c r="K52" s="46">
        <v>1</v>
      </c>
      <c r="L52" s="50">
        <v>30000</v>
      </c>
      <c r="M52" s="50">
        <f>[1]!Tabla3[[#This Row],[VLR. TRANSPORTE]]/[1]!Tabla3[[#This Row],[Numero de Transportes]]</f>
        <v>30000</v>
      </c>
      <c r="N52" s="50">
        <v>656000</v>
      </c>
      <c r="O52" s="13">
        <f>[1]!Tabla3[[#This Row],[VLR. TOTAL FACT.]]-[1]!Tabla3[[#This Row],[VLR. TRANSPORTE]]</f>
        <v>626000</v>
      </c>
      <c r="P52" s="46">
        <v>1</v>
      </c>
      <c r="Q52" s="46" t="s">
        <v>22</v>
      </c>
    </row>
    <row r="53" spans="1:17" ht="27.6" thickBot="1" x14ac:dyDescent="0.35">
      <c r="A53" s="14">
        <v>58722</v>
      </c>
      <c r="B53" s="15">
        <v>45986</v>
      </c>
      <c r="C53" s="14" t="s">
        <v>17</v>
      </c>
      <c r="D53" s="14" t="s">
        <v>98</v>
      </c>
      <c r="E53" s="38" t="s">
        <v>93</v>
      </c>
      <c r="F53" s="14">
        <v>4</v>
      </c>
      <c r="G53" s="14" t="str">
        <f>_xlfn.XLOOKUP([1]!Tabla3[[#This Row],[ID]],[1]!Tabla2[ID],[1]!Tabla2[Corregimiento],"NA")</f>
        <v>El Carmen</v>
      </c>
      <c r="H53" s="16">
        <f>_xlfn.XLOOKUP([1]!Tabla3[[#This Row],[LUGAR ENVÍO]],[1]!Tabla9[[Nombre ]],[1]!Tabla9[Distancia],"NA")</f>
        <v>2.3290000000000006</v>
      </c>
      <c r="I53" s="17">
        <f>[1]!Tabla3[[#This Row],[Valor Tran]]/([1]!Tabla3[[#This Row],[DISTANCIA (km)]]*2)</f>
        <v>4293.6882782309995</v>
      </c>
      <c r="J53" s="18"/>
      <c r="K53" s="14">
        <v>1</v>
      </c>
      <c r="L53" s="19">
        <v>20000</v>
      </c>
      <c r="M53" s="19">
        <f>[1]!Tabla3[[#This Row],[VLR. TRANSPORTE]]/[1]!Tabla3[[#This Row],[Numero de Transportes]]</f>
        <v>20000</v>
      </c>
      <c r="N53" s="19">
        <v>4505000</v>
      </c>
      <c r="O53" s="19">
        <f>[1]!Tabla3[[#This Row],[VLR. TOTAL FACT.]]-[1]!Tabla3[[#This Row],[VLR. TRANSPORTE]]</f>
        <v>4485000</v>
      </c>
      <c r="P53" s="14">
        <v>1</v>
      </c>
      <c r="Q53" s="14" t="s">
        <v>22</v>
      </c>
    </row>
    <row r="54" spans="1:17" ht="27.6" thickBot="1" x14ac:dyDescent="0.35">
      <c r="A54" s="46">
        <v>47572</v>
      </c>
      <c r="B54" s="47">
        <v>45974</v>
      </c>
      <c r="C54" s="46" t="s">
        <v>17</v>
      </c>
      <c r="D54" s="46" t="s">
        <v>99</v>
      </c>
      <c r="E54" s="54" t="s">
        <v>100</v>
      </c>
      <c r="F54" s="46">
        <v>2</v>
      </c>
      <c r="G54" s="46" t="str">
        <f>_xlfn.XLOOKUP([1]!Tabla3[[#This Row],[ID]],[1]!Tabla2[ID],[1]!Tabla2[Corregimiento],"NA")</f>
        <v>Borrero Ayerbe</v>
      </c>
      <c r="H54" s="10">
        <f>_xlfn.XLOOKUP([1]!Tabla3[[#This Row],[LUGAR ENVÍO]],[1]!Tabla9[[Nombre ]],[1]!Tabla9[Distancia],"NA")</f>
        <v>2.6666500000000002</v>
      </c>
      <c r="I54" s="48">
        <f>[1]!Tabla3[[#This Row],[Valor Tran]]/([1]!Tabla3[[#This Row],[DISTANCIA (km)]]*2)</f>
        <v>5625.0351564697276</v>
      </c>
      <c r="J54" s="49"/>
      <c r="K54" s="46">
        <v>1</v>
      </c>
      <c r="L54" s="50">
        <v>30000</v>
      </c>
      <c r="M54" s="50">
        <f>[1]!Tabla3[[#This Row],[VLR. TRANSPORTE]]/[1]!Tabla3[[#This Row],[Numero de Transportes]]</f>
        <v>30000</v>
      </c>
      <c r="N54" s="50">
        <v>164000</v>
      </c>
      <c r="O54" s="13">
        <f>[1]!Tabla3[[#This Row],[VLR. TOTAL FACT.]]-[1]!Tabla3[[#This Row],[VLR. TRANSPORTE]]</f>
        <v>134000</v>
      </c>
      <c r="P54" s="46">
        <v>0</v>
      </c>
      <c r="Q54" s="46" t="s">
        <v>25</v>
      </c>
    </row>
    <row r="55" spans="1:17" ht="40.799999999999997" thickBot="1" x14ac:dyDescent="0.35">
      <c r="A55" s="14">
        <v>30489</v>
      </c>
      <c r="B55" s="28">
        <v>45981</v>
      </c>
      <c r="C55" s="14" t="s">
        <v>17</v>
      </c>
      <c r="D55" s="14" t="s">
        <v>101</v>
      </c>
      <c r="E55" s="42" t="s">
        <v>100</v>
      </c>
      <c r="F55" s="14">
        <v>2</v>
      </c>
      <c r="G55" s="14" t="str">
        <f>_xlfn.XLOOKUP([1]!Tabla3[[#This Row],[ID]],[1]!Tabla2[ID],[1]!Tabla2[Corregimiento],"NA")</f>
        <v>Borrero Ayerbe</v>
      </c>
      <c r="H55" s="16">
        <f>_xlfn.XLOOKUP([1]!Tabla3[[#This Row],[LUGAR ENVÍO]],[1]!Tabla9[[Nombre ]],[1]!Tabla9[Distancia],"NA")</f>
        <v>2.6666500000000002</v>
      </c>
      <c r="I55" s="17">
        <f>[1]!Tabla3[[#This Row],[Valor Tran]]/([1]!Tabla3[[#This Row],[DISTANCIA (km)]]*2)</f>
        <v>5625.0351564697276</v>
      </c>
      <c r="J55" s="18"/>
      <c r="K55" s="14">
        <v>1</v>
      </c>
      <c r="L55" s="19">
        <v>30000</v>
      </c>
      <c r="M55" s="19">
        <f>[1]!Tabla3[[#This Row],[VLR. TRANSPORTE]]/[1]!Tabla3[[#This Row],[Numero de Transportes]]</f>
        <v>30000</v>
      </c>
      <c r="N55" s="19">
        <v>220000</v>
      </c>
      <c r="O55" s="19">
        <f>[1]!Tabla3[[#This Row],[VLR. TOTAL FACT.]]-[1]!Tabla3[[#This Row],[VLR. TRANSPORTE]]</f>
        <v>190000</v>
      </c>
      <c r="P55" s="14">
        <v>0</v>
      </c>
      <c r="Q55" s="14" t="s">
        <v>34</v>
      </c>
    </row>
    <row r="56" spans="1:17" ht="27.6" thickBot="1" x14ac:dyDescent="0.35">
      <c r="A56" s="46">
        <v>30586</v>
      </c>
      <c r="B56" s="47">
        <v>45980</v>
      </c>
      <c r="C56" s="46" t="s">
        <v>17</v>
      </c>
      <c r="D56" s="46" t="s">
        <v>83</v>
      </c>
      <c r="E56" s="40" t="s">
        <v>100</v>
      </c>
      <c r="F56" s="46">
        <v>2</v>
      </c>
      <c r="G56" s="46" t="str">
        <f>_xlfn.XLOOKUP([1]!Tabla3[[#This Row],[ID]],[1]!Tabla2[ID],[1]!Tabla2[Corregimiento],"NA")</f>
        <v>Borrero Ayerbe</v>
      </c>
      <c r="H56" s="10">
        <f>_xlfn.XLOOKUP([1]!Tabla3[[#This Row],[LUGAR ENVÍO]],[1]!Tabla9[[Nombre ]],[1]!Tabla9[Distancia],"NA")</f>
        <v>2.6666500000000002</v>
      </c>
      <c r="I56" s="48">
        <f>[1]!Tabla3[[#This Row],[Valor Tran]]/([1]!Tabla3[[#This Row],[DISTANCIA (km)]]*2)</f>
        <v>9375.0585941162117</v>
      </c>
      <c r="J56" s="49"/>
      <c r="K56" s="46">
        <v>1</v>
      </c>
      <c r="L56" s="50">
        <v>50000</v>
      </c>
      <c r="M56" s="50">
        <f>[1]!Tabla3[[#This Row],[VLR. TRANSPORTE]]/[1]!Tabla3[[#This Row],[Numero de Transportes]]</f>
        <v>50000</v>
      </c>
      <c r="N56" s="50">
        <v>303000</v>
      </c>
      <c r="O56" s="13">
        <f>[1]!Tabla3[[#This Row],[VLR. TOTAL FACT.]]-[1]!Tabla3[[#This Row],[VLR. TRANSPORTE]]</f>
        <v>253000</v>
      </c>
      <c r="P56" s="46">
        <v>0</v>
      </c>
      <c r="Q56" s="46" t="s">
        <v>49</v>
      </c>
    </row>
    <row r="57" spans="1:17" ht="27.6" thickBot="1" x14ac:dyDescent="0.35">
      <c r="A57" s="14">
        <v>58813</v>
      </c>
      <c r="B57" s="15">
        <v>45997</v>
      </c>
      <c r="C57" s="14" t="s">
        <v>17</v>
      </c>
      <c r="D57" s="14" t="s">
        <v>41</v>
      </c>
      <c r="E57" s="14" t="s">
        <v>100</v>
      </c>
      <c r="F57" s="14">
        <v>2</v>
      </c>
      <c r="G57" s="14" t="str">
        <f>_xlfn.XLOOKUP([1]!Tabla3[[#This Row],[ID]],[1]!Tabla2[ID],[1]!Tabla2[Corregimiento],"NA")</f>
        <v>Borrero Ayerbe</v>
      </c>
      <c r="H57" s="16">
        <f>_xlfn.XLOOKUP([1]!Tabla3[[#This Row],[LUGAR ENVÍO]],[1]!Tabla9[[Nombre ]],[1]!Tabla9[Distancia],"NA")</f>
        <v>2.6666500000000002</v>
      </c>
      <c r="I57" s="17">
        <f>[1]!Tabla3[[#This Row],[Valor Tran]]/([1]!Tabla3[[#This Row],[DISTANCIA (km)]]*2)</f>
        <v>13125.082031762697</v>
      </c>
      <c r="J57" s="18"/>
      <c r="K57" s="14">
        <v>1</v>
      </c>
      <c r="L57" s="19">
        <v>70000</v>
      </c>
      <c r="M57" s="19">
        <f>[1]!Tabla3[[#This Row],[VLR. TRANSPORTE]]/[1]!Tabla3[[#This Row],[Numero de Transportes]]</f>
        <v>70000</v>
      </c>
      <c r="N57" s="19">
        <v>621000</v>
      </c>
      <c r="O57" s="19">
        <f>[1]!Tabla3[[#This Row],[VLR. TOTAL FACT.]]-[1]!Tabla3[[#This Row],[VLR. TRANSPORTE]]</f>
        <v>551000</v>
      </c>
      <c r="P57" s="14">
        <v>1</v>
      </c>
      <c r="Q57" s="14" t="s">
        <v>22</v>
      </c>
    </row>
    <row r="58" spans="1:17" ht="27.6" thickBot="1" x14ac:dyDescent="0.35">
      <c r="A58" s="46">
        <v>47292</v>
      </c>
      <c r="B58" s="47">
        <v>45970</v>
      </c>
      <c r="C58" s="46" t="s">
        <v>17</v>
      </c>
      <c r="D58" s="46" t="s">
        <v>102</v>
      </c>
      <c r="E58" s="57" t="s">
        <v>100</v>
      </c>
      <c r="F58" s="46">
        <v>2</v>
      </c>
      <c r="G58" s="46" t="str">
        <f>_xlfn.XLOOKUP([1]!Tabla3[[#This Row],[ID]],[1]!Tabla2[ID],[1]!Tabla2[Corregimiento],"NA")</f>
        <v>Borrero Ayerbe</v>
      </c>
      <c r="H58" s="10">
        <f>_xlfn.XLOOKUP([1]!Tabla3[[#This Row],[LUGAR ENVÍO]],[1]!Tabla9[[Nombre ]],[1]!Tabla9[Distancia],"NA")</f>
        <v>2.6666500000000002</v>
      </c>
      <c r="I58" s="48">
        <f>[1]!Tabla3[[#This Row],[Valor Tran]]/([1]!Tabla3[[#This Row],[DISTANCIA (km)]]*2)</f>
        <v>11250.070312939455</v>
      </c>
      <c r="J58" s="49"/>
      <c r="K58" s="46">
        <v>1</v>
      </c>
      <c r="L58" s="50">
        <v>60000</v>
      </c>
      <c r="M58" s="50">
        <f>[1]!Tabla3[[#This Row],[VLR. TRANSPORTE]]/[1]!Tabla3[[#This Row],[Numero de Transportes]]</f>
        <v>60000</v>
      </c>
      <c r="N58" s="50">
        <v>736800</v>
      </c>
      <c r="O58" s="13">
        <f>[1]!Tabla3[[#This Row],[VLR. TOTAL FACT.]]-[1]!Tabla3[[#This Row],[VLR. TRANSPORTE]]</f>
        <v>676800</v>
      </c>
      <c r="P58" s="46">
        <v>1</v>
      </c>
      <c r="Q58" s="46" t="s">
        <v>25</v>
      </c>
    </row>
    <row r="59" spans="1:17" ht="27.6" thickBot="1" x14ac:dyDescent="0.35">
      <c r="A59" s="14">
        <v>48527</v>
      </c>
      <c r="B59" s="28">
        <v>45983</v>
      </c>
      <c r="C59" s="14" t="s">
        <v>17</v>
      </c>
      <c r="D59" s="14" t="s">
        <v>103</v>
      </c>
      <c r="E59" s="57" t="s">
        <v>100</v>
      </c>
      <c r="F59" s="14">
        <v>2</v>
      </c>
      <c r="G59" s="14" t="str">
        <f>_xlfn.XLOOKUP([1]!Tabla3[[#This Row],[ID]],[1]!Tabla2[ID],[1]!Tabla2[Corregimiento],"NA")</f>
        <v>Borrero Ayerbe</v>
      </c>
      <c r="H59" s="16">
        <f>_xlfn.XLOOKUP([1]!Tabla3[[#This Row],[LUGAR ENVÍO]],[1]!Tabla9[[Nombre ]],[1]!Tabla9[Distancia],"NA")</f>
        <v>2.6666500000000002</v>
      </c>
      <c r="I59" s="17">
        <f>[1]!Tabla3[[#This Row],[Valor Tran]]/([1]!Tabla3[[#This Row],[DISTANCIA (km)]]*2)</f>
        <v>11250.070312939455</v>
      </c>
      <c r="J59" s="18"/>
      <c r="K59" s="14">
        <v>1</v>
      </c>
      <c r="L59" s="19">
        <v>60000</v>
      </c>
      <c r="M59" s="19">
        <f>[1]!Tabla3[[#This Row],[VLR. TRANSPORTE]]/[1]!Tabla3[[#This Row],[Numero de Transportes]]</f>
        <v>60000</v>
      </c>
      <c r="N59" s="19">
        <v>838000</v>
      </c>
      <c r="O59" s="19">
        <f>[1]!Tabla3[[#This Row],[VLR. TOTAL FACT.]]-[1]!Tabla3[[#This Row],[VLR. TRANSPORTE]]</f>
        <v>778000</v>
      </c>
      <c r="P59" s="14">
        <v>1</v>
      </c>
      <c r="Q59" s="14" t="s">
        <v>25</v>
      </c>
    </row>
    <row r="60" spans="1:17" ht="27.6" thickBot="1" x14ac:dyDescent="0.35">
      <c r="A60" s="52">
        <v>36307</v>
      </c>
      <c r="B60" s="53" t="s">
        <v>95</v>
      </c>
      <c r="C60" s="52" t="s">
        <v>27</v>
      </c>
      <c r="D60" s="52" t="s">
        <v>96</v>
      </c>
      <c r="E60" s="54" t="s">
        <v>100</v>
      </c>
      <c r="F60" s="52">
        <v>2</v>
      </c>
      <c r="G60" s="46" t="str">
        <f>_xlfn.XLOOKUP([1]!Tabla3[[#This Row],[ID]],[1]!Tabla2[ID],[1]!Tabla2[Corregimiento],"NA")</f>
        <v>Borrero Ayerbe</v>
      </c>
      <c r="H60" s="10">
        <f>_xlfn.XLOOKUP([1]!Tabla3[[#This Row],[LUGAR ENVÍO]],[1]!Tabla9[[Nombre ]],[1]!Tabla9[Distancia],"NA")</f>
        <v>2.6666500000000002</v>
      </c>
      <c r="I60" s="48">
        <f>[1]!Tabla3[[#This Row],[Valor Tran]]/([1]!Tabla3[[#This Row],[DISTANCIA (km)]]*2)</f>
        <v>11250.070312939455</v>
      </c>
      <c r="J60" s="55"/>
      <c r="K60" s="52">
        <v>2</v>
      </c>
      <c r="L60" s="56">
        <v>120000</v>
      </c>
      <c r="M60" s="56">
        <v>60000</v>
      </c>
      <c r="N60" s="56">
        <v>1301500</v>
      </c>
      <c r="O60" s="13">
        <f>[1]!Tabla3[[#This Row],[VLR. TOTAL FACT.]]-[1]!Tabla3[[#This Row],[VLR. TRANSPORTE]]</f>
        <v>1181500</v>
      </c>
      <c r="P60" s="52">
        <v>1</v>
      </c>
      <c r="Q60" s="52" t="s">
        <v>34</v>
      </c>
    </row>
    <row r="61" spans="1:17" ht="27.6" thickBot="1" x14ac:dyDescent="0.35">
      <c r="A61" s="14">
        <v>58313</v>
      </c>
      <c r="B61" s="28">
        <v>45972</v>
      </c>
      <c r="C61" s="14" t="s">
        <v>17</v>
      </c>
      <c r="D61" s="14" t="s">
        <v>104</v>
      </c>
      <c r="E61" s="40" t="s">
        <v>100</v>
      </c>
      <c r="F61" s="14">
        <v>2</v>
      </c>
      <c r="G61" s="14" t="str">
        <f>_xlfn.XLOOKUP([1]!Tabla3[[#This Row],[ID]],[1]!Tabla2[ID],[1]!Tabla2[Corregimiento],"NA")</f>
        <v>Borrero Ayerbe</v>
      </c>
      <c r="H61" s="16">
        <f>_xlfn.XLOOKUP([1]!Tabla3[[#This Row],[LUGAR ENVÍO]],[1]!Tabla9[[Nombre ]],[1]!Tabla9[Distancia],"NA")</f>
        <v>2.6666500000000002</v>
      </c>
      <c r="I61" s="17">
        <f>[1]!Tabla3[[#This Row],[Valor Tran]]/([1]!Tabla3[[#This Row],[DISTANCIA (km)]]*2)</f>
        <v>11250.070312939455</v>
      </c>
      <c r="J61" s="18"/>
      <c r="K61" s="14">
        <v>1</v>
      </c>
      <c r="L61" s="19">
        <v>60000</v>
      </c>
      <c r="M61" s="19">
        <f>[1]!Tabla3[[#This Row],[VLR. TRANSPORTE]]/[1]!Tabla3[[#This Row],[Numero de Transportes]]</f>
        <v>60000</v>
      </c>
      <c r="N61" s="19">
        <v>1630800</v>
      </c>
      <c r="O61" s="19">
        <f>[1]!Tabla3[[#This Row],[VLR. TOTAL FACT.]]-[1]!Tabla3[[#This Row],[VLR. TRANSPORTE]]</f>
        <v>1570800</v>
      </c>
      <c r="P61" s="14">
        <v>1</v>
      </c>
      <c r="Q61" s="14" t="s">
        <v>22</v>
      </c>
    </row>
    <row r="62" spans="1:17" ht="27.6" thickBot="1" x14ac:dyDescent="0.35">
      <c r="A62" s="46">
        <v>58802</v>
      </c>
      <c r="B62" s="51">
        <v>45986</v>
      </c>
      <c r="C62" s="46" t="s">
        <v>27</v>
      </c>
      <c r="D62" s="46" t="s">
        <v>36</v>
      </c>
      <c r="E62" s="46" t="s">
        <v>100</v>
      </c>
      <c r="F62" s="46">
        <v>2</v>
      </c>
      <c r="G62" s="46" t="str">
        <f>_xlfn.XLOOKUP([1]!Tabla3[[#This Row],[ID]],[1]!Tabla2[ID],[1]!Tabla2[Corregimiento],"NA")</f>
        <v>Borrero Ayerbe</v>
      </c>
      <c r="H62" s="10">
        <f>_xlfn.XLOOKUP([1]!Tabla3[[#This Row],[LUGAR ENVÍO]],[1]!Tabla9[[Nombre ]],[1]!Tabla9[Distancia],"NA")</f>
        <v>2.6666500000000002</v>
      </c>
      <c r="I62" s="48">
        <f>[1]!Tabla3[[#This Row],[Valor Tran]]/([1]!Tabla3[[#This Row],[DISTANCIA (km)]]*2)</f>
        <v>2812.5175782348638</v>
      </c>
      <c r="J62" s="49"/>
      <c r="K62" s="46">
        <v>1</v>
      </c>
      <c r="L62" s="50">
        <v>15000</v>
      </c>
      <c r="M62" s="50">
        <f>[1]!Tabla3[[#This Row],[VLR. TRANSPORTE]]/[1]!Tabla3[[#This Row],[Numero de Transportes]]</f>
        <v>15000</v>
      </c>
      <c r="N62" s="50">
        <v>4270000</v>
      </c>
      <c r="O62" s="13">
        <f>[1]!Tabla3[[#This Row],[VLR. TOTAL FACT.]]-[1]!Tabla3[[#This Row],[VLR. TRANSPORTE]]</f>
        <v>4255000</v>
      </c>
      <c r="P62" s="46">
        <v>1</v>
      </c>
      <c r="Q62" s="46" t="s">
        <v>25</v>
      </c>
    </row>
    <row r="63" spans="1:17" ht="27.6" thickBot="1" x14ac:dyDescent="0.35">
      <c r="A63" s="29">
        <v>48951</v>
      </c>
      <c r="B63" s="30" t="s">
        <v>105</v>
      </c>
      <c r="C63" s="29" t="s">
        <v>27</v>
      </c>
      <c r="D63" s="29" t="s">
        <v>66</v>
      </c>
      <c r="E63" s="29" t="s">
        <v>106</v>
      </c>
      <c r="F63" s="29">
        <v>4</v>
      </c>
      <c r="G63" s="14" t="str">
        <f>_xlfn.XLOOKUP([1]!Tabla3[[#This Row],[ID]],[1]!Tabla2[ID],[1]!Tabla2[Corregimiento],"NA")</f>
        <v>El Carmen</v>
      </c>
      <c r="H63" s="16">
        <f>_xlfn.XLOOKUP([1]!Tabla3[[#This Row],[LUGAR ENVÍO]],[1]!Tabla9[[Nombre ]],[1]!Tabla9[Distancia],"NA")</f>
        <v>2.6410000000000009</v>
      </c>
      <c r="I63" s="17">
        <f>[1]!Tabla3[[#This Row],[Valor Tran]]/([1]!Tabla3[[#This Row],[DISTANCIA (km)]]*2)</f>
        <v>7572.88905717531</v>
      </c>
      <c r="J63" s="31"/>
      <c r="K63" s="29">
        <v>1</v>
      </c>
      <c r="L63" s="32">
        <v>40000</v>
      </c>
      <c r="M63" s="32">
        <v>40000</v>
      </c>
      <c r="N63" s="32">
        <v>472500</v>
      </c>
      <c r="O63" s="19">
        <f>[1]!Tabla3[[#This Row],[VLR. TOTAL FACT.]]-[1]!Tabla3[[#This Row],[VLR. TRANSPORTE]]</f>
        <v>432500</v>
      </c>
      <c r="P63" s="29">
        <v>1</v>
      </c>
      <c r="Q63" s="29" t="s">
        <v>25</v>
      </c>
    </row>
    <row r="64" spans="1:17" ht="27.6" thickBot="1" x14ac:dyDescent="0.35">
      <c r="A64" s="58">
        <v>52866</v>
      </c>
      <c r="B64" s="59" t="s">
        <v>82</v>
      </c>
      <c r="C64" s="58" t="s">
        <v>17</v>
      </c>
      <c r="D64" s="58" t="s">
        <v>107</v>
      </c>
      <c r="E64" s="44" t="s">
        <v>106</v>
      </c>
      <c r="F64" s="58">
        <v>4</v>
      </c>
      <c r="G64" s="46" t="str">
        <f>_xlfn.XLOOKUP([1]!Tabla3[[#This Row],[ID]],[1]!Tabla2[ID],[1]!Tabla2[Corregimiento],"NA")</f>
        <v>El Carmen</v>
      </c>
      <c r="H64" s="10">
        <f>_xlfn.XLOOKUP([1]!Tabla3[[#This Row],[LUGAR ENVÍO]],[1]!Tabla9[[Nombre ]],[1]!Tabla9[Distancia],"NA")</f>
        <v>2.6410000000000009</v>
      </c>
      <c r="I64" s="48">
        <f>[1]!Tabla3[[#This Row],[Valor Tran]]/([1]!Tabla3[[#This Row],[DISTANCIA (km)]]*2)</f>
        <v>7572.88905717531</v>
      </c>
      <c r="J64" s="60"/>
      <c r="K64" s="58">
        <v>1</v>
      </c>
      <c r="L64" s="61">
        <v>40000</v>
      </c>
      <c r="M64" s="61">
        <v>40000</v>
      </c>
      <c r="N64" s="61">
        <v>486200</v>
      </c>
      <c r="O64" s="13">
        <f>[1]!Tabla3[[#This Row],[VLR. TOTAL FACT.]]-[1]!Tabla3[[#This Row],[VLR. TRANSPORTE]]</f>
        <v>446200</v>
      </c>
      <c r="P64" s="58">
        <v>1</v>
      </c>
      <c r="Q64" s="58" t="s">
        <v>22</v>
      </c>
    </row>
    <row r="65" spans="1:17" ht="27.6" thickBot="1" x14ac:dyDescent="0.35">
      <c r="A65" s="14">
        <v>58352</v>
      </c>
      <c r="B65" s="28">
        <v>45987</v>
      </c>
      <c r="C65" s="14" t="s">
        <v>17</v>
      </c>
      <c r="D65" s="14" t="s">
        <v>108</v>
      </c>
      <c r="E65" s="38" t="s">
        <v>106</v>
      </c>
      <c r="F65" s="14">
        <v>8</v>
      </c>
      <c r="G65" s="14" t="str">
        <f>_xlfn.XLOOKUP([1]!Tabla3[[#This Row],[ID]],[1]!Tabla2[ID],[1]!Tabla2[Corregimiento],"NA")</f>
        <v>El Palmar</v>
      </c>
      <c r="H65" s="16">
        <f>_xlfn.XLOOKUP([1]!Tabla3[[#This Row],[LUGAR ENVÍO]],[1]!Tabla9[[Nombre ]],[1]!Tabla9[Distancia],"NA")</f>
        <v>2.6410000000000009</v>
      </c>
      <c r="I65" s="17">
        <f>[1]!Tabla3[[#This Row],[Valor Tran]]/([1]!Tabla3[[#This Row],[DISTANCIA (km)]]*2)</f>
        <v>7572.88905717531</v>
      </c>
      <c r="J65" s="18"/>
      <c r="K65" s="14">
        <v>1</v>
      </c>
      <c r="L65" s="19">
        <v>40000</v>
      </c>
      <c r="M65" s="19">
        <f>[1]!Tabla3[[#This Row],[VLR. TRANSPORTE]]/[1]!Tabla3[[#This Row],[Numero de Transportes]]</f>
        <v>40000</v>
      </c>
      <c r="N65" s="19">
        <v>533000</v>
      </c>
      <c r="O65" s="19">
        <f>[1]!Tabla3[[#This Row],[VLR. TOTAL FACT.]]-[1]!Tabla3[[#This Row],[VLR. TRANSPORTE]]</f>
        <v>493000</v>
      </c>
      <c r="P65" s="14">
        <v>1</v>
      </c>
      <c r="Q65" s="14" t="s">
        <v>49</v>
      </c>
    </row>
    <row r="66" spans="1:17" ht="27.6" thickBot="1" x14ac:dyDescent="0.35">
      <c r="A66" s="58">
        <v>51245</v>
      </c>
      <c r="B66" s="59" t="s">
        <v>35</v>
      </c>
      <c r="C66" s="58" t="s">
        <v>17</v>
      </c>
      <c r="D66" s="58" t="s">
        <v>48</v>
      </c>
      <c r="E66" s="35" t="s">
        <v>106</v>
      </c>
      <c r="F66" s="58">
        <v>4</v>
      </c>
      <c r="G66" s="46" t="str">
        <f>_xlfn.XLOOKUP([1]!Tabla3[[#This Row],[ID]],[1]!Tabla2[ID],[1]!Tabla2[Corregimiento],"NA")</f>
        <v>El Carmen</v>
      </c>
      <c r="H66" s="10">
        <f>_xlfn.XLOOKUP([1]!Tabla3[[#This Row],[LUGAR ENVÍO]],[1]!Tabla9[[Nombre ]],[1]!Tabla9[Distancia],"NA")</f>
        <v>2.6410000000000009</v>
      </c>
      <c r="I66" s="48">
        <f>[1]!Tabla3[[#This Row],[Valor Tran]]/([1]!Tabla3[[#This Row],[DISTANCIA (km)]]*2)</f>
        <v>7572.88905717531</v>
      </c>
      <c r="J66" s="60"/>
      <c r="K66" s="58">
        <v>1</v>
      </c>
      <c r="L66" s="61">
        <v>40000</v>
      </c>
      <c r="M66" s="61">
        <v>40000</v>
      </c>
      <c r="N66" s="61">
        <v>605800</v>
      </c>
      <c r="O66" s="13">
        <f>[1]!Tabla3[[#This Row],[VLR. TOTAL FACT.]]-[1]!Tabla3[[#This Row],[VLR. TRANSPORTE]]</f>
        <v>565800</v>
      </c>
      <c r="P66" s="58">
        <v>1</v>
      </c>
      <c r="Q66" s="58" t="s">
        <v>22</v>
      </c>
    </row>
    <row r="67" spans="1:17" ht="27.6" thickBot="1" x14ac:dyDescent="0.35">
      <c r="A67" s="14">
        <v>59128</v>
      </c>
      <c r="B67" s="28">
        <v>45988</v>
      </c>
      <c r="C67" s="14" t="s">
        <v>17</v>
      </c>
      <c r="D67" s="14" t="s">
        <v>23</v>
      </c>
      <c r="E67" s="38" t="s">
        <v>106</v>
      </c>
      <c r="F67" s="14">
        <v>4</v>
      </c>
      <c r="G67" s="14" t="str">
        <f>_xlfn.XLOOKUP([1]!Tabla3[[#This Row],[ID]],[1]!Tabla2[ID],[1]!Tabla2[Corregimiento],"NA")</f>
        <v>El Carmen</v>
      </c>
      <c r="H67" s="16">
        <f>_xlfn.XLOOKUP([1]!Tabla3[[#This Row],[LUGAR ENVÍO]],[1]!Tabla9[[Nombre ]],[1]!Tabla9[Distancia],"NA")</f>
        <v>2.6410000000000009</v>
      </c>
      <c r="I67" s="17">
        <f>[1]!Tabla3[[#This Row],[Valor Tran]]/([1]!Tabla3[[#This Row],[DISTANCIA (km)]]*2)</f>
        <v>7572.88905717531</v>
      </c>
      <c r="J67" s="18"/>
      <c r="K67" s="14">
        <v>1</v>
      </c>
      <c r="L67" s="19">
        <v>40000</v>
      </c>
      <c r="M67" s="19">
        <f>[1]!Tabla3[[#This Row],[VLR. TRANSPORTE]]/[1]!Tabla3[[#This Row],[Numero de Transportes]]</f>
        <v>40000</v>
      </c>
      <c r="N67" s="19">
        <v>665000</v>
      </c>
      <c r="O67" s="19">
        <f>[1]!Tabla3[[#This Row],[VLR. TOTAL FACT.]]-[1]!Tabla3[[#This Row],[VLR. TRANSPORTE]]</f>
        <v>625000</v>
      </c>
      <c r="P67" s="14">
        <v>0</v>
      </c>
      <c r="Q67" s="14" t="s">
        <v>49</v>
      </c>
    </row>
    <row r="68" spans="1:17" ht="27.6" thickBot="1" x14ac:dyDescent="0.35">
      <c r="A68" s="46">
        <v>46700</v>
      </c>
      <c r="B68" s="47">
        <v>45965</v>
      </c>
      <c r="C68" s="46" t="s">
        <v>17</v>
      </c>
      <c r="D68" s="46" t="s">
        <v>109</v>
      </c>
      <c r="E68" s="54" t="s">
        <v>110</v>
      </c>
      <c r="F68" s="46">
        <v>2</v>
      </c>
      <c r="G68" s="46" t="str">
        <f>_xlfn.XLOOKUP([1]!Tabla3[[#This Row],[ID]],[1]!Tabla2[ID],[1]!Tabla2[Corregimiento],"NA")</f>
        <v>Borrero Ayerbe</v>
      </c>
      <c r="H68" s="10">
        <f>_xlfn.XLOOKUP([1]!Tabla3[[#This Row],[LUGAR ENVÍO]],[1]!Tabla9[[Nombre ]],[1]!Tabla9[Distancia],"NA")</f>
        <v>9.826848</v>
      </c>
      <c r="I68" s="48">
        <f>[1]!Tabla3[[#This Row],[Valor Tran]]/([1]!Tabla3[[#This Row],[DISTANCIA (km)]]*2)</f>
        <v>2544.0507475031668</v>
      </c>
      <c r="J68" s="49"/>
      <c r="K68" s="46">
        <v>1</v>
      </c>
      <c r="L68" s="50">
        <v>50000</v>
      </c>
      <c r="M68" s="50">
        <f>[1]!Tabla3[[#This Row],[VLR. TRANSPORTE]]/[1]!Tabla3[[#This Row],[Numero de Transportes]]</f>
        <v>50000</v>
      </c>
      <c r="N68" s="50">
        <v>138500</v>
      </c>
      <c r="O68" s="13">
        <f>[1]!Tabla3[[#This Row],[VLR. TOTAL FACT.]]-[1]!Tabla3[[#This Row],[VLR. TRANSPORTE]]</f>
        <v>88500</v>
      </c>
      <c r="P68" s="46">
        <v>0</v>
      </c>
      <c r="Q68" s="46" t="s">
        <v>25</v>
      </c>
    </row>
    <row r="69" spans="1:17" ht="27.6" thickBot="1" x14ac:dyDescent="0.35">
      <c r="A69" s="14">
        <v>46946</v>
      </c>
      <c r="B69" s="28">
        <v>45968</v>
      </c>
      <c r="C69" s="14" t="s">
        <v>17</v>
      </c>
      <c r="D69" s="14" t="s">
        <v>111</v>
      </c>
      <c r="E69" s="14" t="s">
        <v>110</v>
      </c>
      <c r="F69" s="14">
        <v>4</v>
      </c>
      <c r="G69" s="14" t="str">
        <f>_xlfn.XLOOKUP([1]!Tabla3[[#This Row],[ID]],[1]!Tabla2[ID],[1]!Tabla2[Corregimiento],"NA")</f>
        <v>El Carmen</v>
      </c>
      <c r="H69" s="16">
        <f>_xlfn.XLOOKUP([1]!Tabla3[[#This Row],[LUGAR ENVÍO]],[1]!Tabla9[[Nombre ]],[1]!Tabla9[Distancia],"NA")</f>
        <v>9.826848</v>
      </c>
      <c r="I69" s="17">
        <f>[1]!Tabla3[[#This Row],[Valor Tran]]/([1]!Tabla3[[#This Row],[DISTANCIA (km)]]*2)</f>
        <v>6614.5319435082338</v>
      </c>
      <c r="J69" s="18"/>
      <c r="K69" s="14">
        <v>1</v>
      </c>
      <c r="L69" s="19">
        <v>130000</v>
      </c>
      <c r="M69" s="19">
        <f>[1]!Tabla3[[#This Row],[VLR. TRANSPORTE]]/[1]!Tabla3[[#This Row],[Numero de Transportes]]</f>
        <v>130000</v>
      </c>
      <c r="N69" s="19">
        <v>1458000</v>
      </c>
      <c r="O69" s="19">
        <f>[1]!Tabla3[[#This Row],[VLR. TOTAL FACT.]]-[1]!Tabla3[[#This Row],[VLR. TRANSPORTE]]</f>
        <v>1328000</v>
      </c>
      <c r="P69" s="14">
        <v>1</v>
      </c>
      <c r="Q69" s="14" t="s">
        <v>112</v>
      </c>
    </row>
    <row r="70" spans="1:17" ht="27.6" thickBot="1" x14ac:dyDescent="0.35">
      <c r="A70" s="46">
        <v>30441</v>
      </c>
      <c r="B70" s="47">
        <v>45971</v>
      </c>
      <c r="C70" s="46" t="s">
        <v>17</v>
      </c>
      <c r="D70" s="46" t="s">
        <v>113</v>
      </c>
      <c r="E70" s="62" t="s">
        <v>114</v>
      </c>
      <c r="F70" s="46">
        <v>4</v>
      </c>
      <c r="G70" s="46" t="str">
        <f>_xlfn.XLOOKUP([1]!Tabla3[[#This Row],[ID]],[1]!Tabla2[ID],[1]!Tabla2[Corregimiento],"NA")</f>
        <v>El Carmen</v>
      </c>
      <c r="H70" s="10">
        <f>_xlfn.XLOOKUP([1]!Tabla3[[#This Row],[LUGAR ENVÍO]],[1]!Tabla9[[Nombre ]],[1]!Tabla9[Distancia],"NA")</f>
        <v>2.7099999999999986</v>
      </c>
      <c r="I70" s="48">
        <f>[1]!Tabla3[[#This Row],[Valor Tran]]/([1]!Tabla3[[#This Row],[DISTANCIA (km)]]*2)</f>
        <v>11070.110701107016</v>
      </c>
      <c r="J70" s="49"/>
      <c r="K70" s="46">
        <v>1</v>
      </c>
      <c r="L70" s="50">
        <v>60000</v>
      </c>
      <c r="M70" s="50">
        <f>[1]!Tabla3[[#This Row],[VLR. TRANSPORTE]]/[1]!Tabla3[[#This Row],[Numero de Transportes]]</f>
        <v>60000</v>
      </c>
      <c r="N70" s="50">
        <v>258000</v>
      </c>
      <c r="O70" s="13">
        <f>[1]!Tabla3[[#This Row],[VLR. TOTAL FACT.]]-[1]!Tabla3[[#This Row],[VLR. TRANSPORTE]]</f>
        <v>198000</v>
      </c>
      <c r="P70" s="46">
        <v>1</v>
      </c>
      <c r="Q70" s="46" t="s">
        <v>49</v>
      </c>
    </row>
    <row r="71" spans="1:17" ht="27.6" thickBot="1" x14ac:dyDescent="0.35">
      <c r="A71" s="33">
        <v>52758</v>
      </c>
      <c r="B71" s="34" t="s">
        <v>39</v>
      </c>
      <c r="C71" s="33" t="s">
        <v>17</v>
      </c>
      <c r="D71" s="33" t="s">
        <v>71</v>
      </c>
      <c r="E71" s="40" t="s">
        <v>114</v>
      </c>
      <c r="F71" s="33">
        <v>4</v>
      </c>
      <c r="G71" s="14" t="str">
        <f>_xlfn.XLOOKUP([1]!Tabla3[[#This Row],[ID]],[1]!Tabla2[ID],[1]!Tabla2[Corregimiento],"NA")</f>
        <v>El Carmen</v>
      </c>
      <c r="H71" s="16">
        <f>_xlfn.XLOOKUP([1]!Tabla3[[#This Row],[LUGAR ENVÍO]],[1]!Tabla9[[Nombre ]],[1]!Tabla9[Distancia],"NA")</f>
        <v>2.7099999999999986</v>
      </c>
      <c r="I71" s="17">
        <f>[1]!Tabla3[[#This Row],[Valor Tran]]/([1]!Tabla3[[#This Row],[DISTANCIA (km)]]*2)</f>
        <v>7380.0738007380114</v>
      </c>
      <c r="J71" s="36"/>
      <c r="K71" s="33">
        <v>1</v>
      </c>
      <c r="L71" s="37">
        <v>40000</v>
      </c>
      <c r="M71" s="37">
        <v>40000</v>
      </c>
      <c r="N71" s="37">
        <v>346100</v>
      </c>
      <c r="O71" s="19">
        <f>[1]!Tabla3[[#This Row],[VLR. TOTAL FACT.]]-[1]!Tabla3[[#This Row],[VLR. TRANSPORTE]]</f>
        <v>306100</v>
      </c>
      <c r="P71" s="33">
        <v>1</v>
      </c>
      <c r="Q71" s="33" t="s">
        <v>25</v>
      </c>
    </row>
    <row r="72" spans="1:17" ht="27.6" thickBot="1" x14ac:dyDescent="0.35">
      <c r="A72" s="46">
        <v>57849</v>
      </c>
      <c r="B72" s="47">
        <v>45972</v>
      </c>
      <c r="C72" s="46" t="s">
        <v>17</v>
      </c>
      <c r="D72" s="46" t="s">
        <v>115</v>
      </c>
      <c r="E72" s="27" t="s">
        <v>114</v>
      </c>
      <c r="F72" s="46">
        <v>4</v>
      </c>
      <c r="G72" s="46" t="str">
        <f>_xlfn.XLOOKUP([1]!Tabla3[[#This Row],[ID]],[1]!Tabla2[ID],[1]!Tabla2[Corregimiento],"NA")</f>
        <v>El Carmen</v>
      </c>
      <c r="H72" s="10">
        <f>_xlfn.XLOOKUP([1]!Tabla3[[#This Row],[LUGAR ENVÍO]],[1]!Tabla9[[Nombre ]],[1]!Tabla9[Distancia],"NA")</f>
        <v>2.7099999999999986</v>
      </c>
      <c r="I72" s="48">
        <f>[1]!Tabla3[[#This Row],[Valor Tran]]/([1]!Tabla3[[#This Row],[DISTANCIA (km)]]*2)</f>
        <v>11070.110701107016</v>
      </c>
      <c r="J72" s="49"/>
      <c r="K72" s="46">
        <v>1</v>
      </c>
      <c r="L72" s="50">
        <v>60000</v>
      </c>
      <c r="M72" s="50">
        <f>[1]!Tabla3[[#This Row],[VLR. TRANSPORTE]]/[1]!Tabla3[[#This Row],[Numero de Transportes]]</f>
        <v>60000</v>
      </c>
      <c r="N72" s="50">
        <v>400000</v>
      </c>
      <c r="O72" s="13">
        <f>[1]!Tabla3[[#This Row],[VLR. TOTAL FACT.]]-[1]!Tabla3[[#This Row],[VLR. TRANSPORTE]]</f>
        <v>340000</v>
      </c>
      <c r="P72" s="46">
        <v>1</v>
      </c>
      <c r="Q72" s="46" t="s">
        <v>57</v>
      </c>
    </row>
    <row r="73" spans="1:17" ht="27.6" thickBot="1" x14ac:dyDescent="0.35">
      <c r="A73" s="14">
        <v>46605</v>
      </c>
      <c r="B73" s="28">
        <v>45963</v>
      </c>
      <c r="C73" s="14" t="s">
        <v>17</v>
      </c>
      <c r="D73" s="14" t="s">
        <v>116</v>
      </c>
      <c r="E73" s="14" t="s">
        <v>114</v>
      </c>
      <c r="F73" s="14">
        <v>4</v>
      </c>
      <c r="G73" s="14" t="str">
        <f>_xlfn.XLOOKUP([1]!Tabla3[[#This Row],[ID]],[1]!Tabla2[ID],[1]!Tabla2[Corregimiento],"NA")</f>
        <v>El Carmen</v>
      </c>
      <c r="H73" s="16">
        <f>_xlfn.XLOOKUP([1]!Tabla3[[#This Row],[LUGAR ENVÍO]],[1]!Tabla9[[Nombre ]],[1]!Tabla9[Distancia],"NA")</f>
        <v>2.7099999999999986</v>
      </c>
      <c r="I73" s="17">
        <f>[1]!Tabla3[[#This Row],[Valor Tran]]/([1]!Tabla3[[#This Row],[DISTANCIA (km)]]*2)</f>
        <v>11070.110701107016</v>
      </c>
      <c r="J73" s="18"/>
      <c r="K73" s="14">
        <v>1</v>
      </c>
      <c r="L73" s="19">
        <v>60000</v>
      </c>
      <c r="M73" s="19">
        <f>[1]!Tabla3[[#This Row],[VLR. TRANSPORTE]]/[1]!Tabla3[[#This Row],[Numero de Transportes]]</f>
        <v>60000</v>
      </c>
      <c r="N73" s="19">
        <v>419500</v>
      </c>
      <c r="O73" s="19">
        <f>[1]!Tabla3[[#This Row],[VLR. TOTAL FACT.]]-[1]!Tabla3[[#This Row],[VLR. TRANSPORTE]]</f>
        <v>359500</v>
      </c>
      <c r="P73" s="14">
        <v>1</v>
      </c>
      <c r="Q73" s="14" t="s">
        <v>25</v>
      </c>
    </row>
    <row r="74" spans="1:17" ht="27.6" thickBot="1" x14ac:dyDescent="0.35">
      <c r="A74" s="46">
        <v>48324</v>
      </c>
      <c r="B74" s="47">
        <v>45983</v>
      </c>
      <c r="C74" s="46" t="s">
        <v>17</v>
      </c>
      <c r="D74" s="46" t="s">
        <v>117</v>
      </c>
      <c r="E74" s="27" t="s">
        <v>114</v>
      </c>
      <c r="F74" s="46">
        <v>4</v>
      </c>
      <c r="G74" s="46" t="str">
        <f>_xlfn.XLOOKUP([1]!Tabla3[[#This Row],[ID]],[1]!Tabla2[ID],[1]!Tabla2[Corregimiento],"NA")</f>
        <v>El Carmen</v>
      </c>
      <c r="H74" s="10">
        <f>_xlfn.XLOOKUP([1]!Tabla3[[#This Row],[LUGAR ENVÍO]],[1]!Tabla9[[Nombre ]],[1]!Tabla9[Distancia],"NA")</f>
        <v>2.7099999999999986</v>
      </c>
      <c r="I74" s="63">
        <f>[1]!Tabla3[[#This Row],[Valor Tran]]/([1]!Tabla3[[#This Row],[DISTANCIA (km)]]*2)</f>
        <v>9225.0922509225147</v>
      </c>
      <c r="J74" s="49"/>
      <c r="K74" s="46">
        <v>1</v>
      </c>
      <c r="L74" s="50">
        <v>50000</v>
      </c>
      <c r="M74" s="50">
        <f>[1]!Tabla3[[#This Row],[VLR. TRANSPORTE]]/[1]!Tabla3[[#This Row],[Numero de Transportes]]</f>
        <v>50000</v>
      </c>
      <c r="N74" s="50">
        <v>515000</v>
      </c>
      <c r="O74" s="13">
        <f>[1]!Tabla3[[#This Row],[VLR. TOTAL FACT.]]-[1]!Tabla3[[#This Row],[VLR. TRANSPORTE]]</f>
        <v>465000</v>
      </c>
      <c r="P74" s="46">
        <v>0</v>
      </c>
      <c r="Q74" s="46" t="s">
        <v>77</v>
      </c>
    </row>
    <row r="75" spans="1:17" ht="15" thickBot="1" x14ac:dyDescent="0.35">
      <c r="A75" s="14">
        <v>57737</v>
      </c>
      <c r="B75" s="28">
        <v>45966</v>
      </c>
      <c r="C75" s="14" t="s">
        <v>17</v>
      </c>
      <c r="D75" s="14" t="s">
        <v>118</v>
      </c>
      <c r="E75" s="64" t="s">
        <v>119</v>
      </c>
      <c r="F75" s="14">
        <v>4</v>
      </c>
      <c r="G75" s="14" t="str">
        <f>_xlfn.XLOOKUP([1]!Tabla3[[#This Row],[ID]],[1]!Tabla2[ID],[1]!Tabla2[Corregimiento],"NA")</f>
        <v>El Carmen</v>
      </c>
      <c r="H75" s="16">
        <f>_xlfn.XLOOKUP([1]!Tabla3[[#This Row],[LUGAR ENVÍO]],[1]!Tabla9[[Nombre ]],[1]!Tabla9[Distancia],"NA")</f>
        <v>4.8000390000000017</v>
      </c>
      <c r="I75" s="17">
        <f>[1]!Tabla3[[#This Row],[Valor Tran]]/([1]!Tabla3[[#This Row],[DISTANCIA (km)]]*2)</f>
        <v>5208.2910159688263</v>
      </c>
      <c r="J75" s="18"/>
      <c r="K75" s="14">
        <v>1</v>
      </c>
      <c r="L75" s="19">
        <v>50000</v>
      </c>
      <c r="M75" s="19">
        <f>[1]!Tabla3[[#This Row],[VLR. TRANSPORTE]]/[1]!Tabla3[[#This Row],[Numero de Transportes]]</f>
        <v>50000</v>
      </c>
      <c r="N75" s="19">
        <v>304500</v>
      </c>
      <c r="O75" s="19">
        <f>[1]!Tabla3[[#This Row],[VLR. TOTAL FACT.]]-[1]!Tabla3[[#This Row],[VLR. TRANSPORTE]]</f>
        <v>254500</v>
      </c>
      <c r="P75" s="14">
        <v>1</v>
      </c>
      <c r="Q75" s="14" t="s">
        <v>22</v>
      </c>
    </row>
    <row r="76" spans="1:17" ht="27.6" thickBot="1" x14ac:dyDescent="0.35">
      <c r="A76" s="46">
        <v>47439</v>
      </c>
      <c r="B76" s="47">
        <v>45972</v>
      </c>
      <c r="C76" s="46" t="s">
        <v>17</v>
      </c>
      <c r="D76" s="46" t="s">
        <v>120</v>
      </c>
      <c r="E76" s="54" t="s">
        <v>119</v>
      </c>
      <c r="F76" s="46">
        <v>4</v>
      </c>
      <c r="G76" s="46" t="str">
        <f>_xlfn.XLOOKUP([1]!Tabla3[[#This Row],[ID]],[1]!Tabla2[ID],[1]!Tabla2[Corregimiento],"NA")</f>
        <v>El Carmen</v>
      </c>
      <c r="H76" s="10">
        <f>_xlfn.XLOOKUP([1]!Tabla3[[#This Row],[LUGAR ENVÍO]],[1]!Tabla9[[Nombre ]],[1]!Tabla9[Distancia],"NA")</f>
        <v>4.8000390000000017</v>
      </c>
      <c r="I76" s="48">
        <f>[1]!Tabla3[[#This Row],[Valor Tran]]/([1]!Tabla3[[#This Row],[DISTANCIA (km)]]*2)</f>
        <v>7291.6074223563573</v>
      </c>
      <c r="J76" s="49"/>
      <c r="K76" s="46">
        <v>1</v>
      </c>
      <c r="L76" s="50">
        <v>70000</v>
      </c>
      <c r="M76" s="50">
        <f>[1]!Tabla3[[#This Row],[VLR. TRANSPORTE]]/[1]!Tabla3[[#This Row],[Numero de Transportes]]</f>
        <v>70000</v>
      </c>
      <c r="N76" s="50">
        <v>420400</v>
      </c>
      <c r="O76" s="13">
        <f>[1]!Tabla3[[#This Row],[VLR. TOTAL FACT.]]-[1]!Tabla3[[#This Row],[VLR. TRANSPORTE]]</f>
        <v>350400</v>
      </c>
      <c r="P76" s="46">
        <v>1</v>
      </c>
      <c r="Q76" s="46" t="s">
        <v>34</v>
      </c>
    </row>
    <row r="77" spans="1:17" ht="27.6" thickBot="1" x14ac:dyDescent="0.35">
      <c r="A77" s="29">
        <v>53251</v>
      </c>
      <c r="B77" s="30" t="s">
        <v>60</v>
      </c>
      <c r="C77" s="29" t="s">
        <v>17</v>
      </c>
      <c r="D77" s="29" t="s">
        <v>107</v>
      </c>
      <c r="E77" s="40" t="s">
        <v>119</v>
      </c>
      <c r="F77" s="29">
        <v>4</v>
      </c>
      <c r="G77" s="14" t="str">
        <f>_xlfn.XLOOKUP([1]!Tabla3[[#This Row],[ID]],[1]!Tabla2[ID],[1]!Tabla2[Corregimiento],"NA")</f>
        <v>El Carmen</v>
      </c>
      <c r="H77" s="16">
        <f>_xlfn.XLOOKUP([1]!Tabla3[[#This Row],[LUGAR ENVÍO]],[1]!Tabla9[[Nombre ]],[1]!Tabla9[Distancia],"NA")</f>
        <v>4.8000390000000017</v>
      </c>
      <c r="I77" s="17">
        <f>[1]!Tabla3[[#This Row],[Valor Tran]]/([1]!Tabla3[[#This Row],[DISTANCIA (km)]]*2)</f>
        <v>6249.9492191625923</v>
      </c>
      <c r="J77" s="31"/>
      <c r="K77" s="29">
        <v>1</v>
      </c>
      <c r="L77" s="32">
        <v>60000</v>
      </c>
      <c r="M77" s="32">
        <v>60000</v>
      </c>
      <c r="N77" s="32">
        <v>717900</v>
      </c>
      <c r="O77" s="19">
        <f>[1]!Tabla3[[#This Row],[VLR. TOTAL FACT.]]-[1]!Tabla3[[#This Row],[VLR. TRANSPORTE]]</f>
        <v>657900</v>
      </c>
      <c r="P77" s="29">
        <v>1</v>
      </c>
      <c r="Q77" s="29" t="s">
        <v>22</v>
      </c>
    </row>
    <row r="78" spans="1:17" ht="15" thickBot="1" x14ac:dyDescent="0.35">
      <c r="A78" s="46">
        <v>58415</v>
      </c>
      <c r="B78" s="47">
        <v>45974</v>
      </c>
      <c r="C78" s="46" t="s">
        <v>17</v>
      </c>
      <c r="D78" s="46" t="s">
        <v>121</v>
      </c>
      <c r="E78" s="65" t="s">
        <v>119</v>
      </c>
      <c r="F78" s="46">
        <v>4</v>
      </c>
      <c r="G78" s="46" t="str">
        <f>_xlfn.XLOOKUP([1]!Tabla3[[#This Row],[ID]],[1]!Tabla2[ID],[1]!Tabla2[Corregimiento],"NA")</f>
        <v>El Carmen</v>
      </c>
      <c r="H78" s="10">
        <f>_xlfn.XLOOKUP([1]!Tabla3[[#This Row],[LUGAR ENVÍO]],[1]!Tabla9[[Nombre ]],[1]!Tabla9[Distancia],"NA")</f>
        <v>4.8000390000000017</v>
      </c>
      <c r="I78" s="48">
        <f>[1]!Tabla3[[#This Row],[Valor Tran]]/([1]!Tabla3[[#This Row],[DISTANCIA (km)]]*2)</f>
        <v>6249.9492191625923</v>
      </c>
      <c r="J78" s="49"/>
      <c r="K78" s="46">
        <v>1</v>
      </c>
      <c r="L78" s="13">
        <v>60000</v>
      </c>
      <c r="M78" s="50">
        <f>[1]!Tabla3[[#This Row],[VLR. TRANSPORTE]]/[1]!Tabla3[[#This Row],[Numero de Transportes]]</f>
        <v>60000</v>
      </c>
      <c r="N78" s="50">
        <v>956000</v>
      </c>
      <c r="O78" s="13">
        <f>[1]!Tabla3[[#This Row],[VLR. TOTAL FACT.]]-[1]!Tabla3[[#This Row],[VLR. TRANSPORTE]]</f>
        <v>896000</v>
      </c>
      <c r="P78" s="46">
        <v>1</v>
      </c>
      <c r="Q78" s="46" t="s">
        <v>22</v>
      </c>
    </row>
    <row r="79" spans="1:17" ht="27.6" thickBot="1" x14ac:dyDescent="0.35">
      <c r="A79" s="20">
        <v>48228</v>
      </c>
      <c r="B79" s="21">
        <v>45972</v>
      </c>
      <c r="C79" s="20" t="s">
        <v>17</v>
      </c>
      <c r="D79" s="20" t="s">
        <v>122</v>
      </c>
      <c r="E79" s="40" t="s">
        <v>123</v>
      </c>
      <c r="F79" s="20">
        <v>2</v>
      </c>
      <c r="G79" s="20" t="str">
        <f>_xlfn.XLOOKUP([1]!Tabla3[[#This Row],[ID]],[1]!Tabla2[ID],[1]!Tabla2[Corregimiento],"NA")</f>
        <v>Borrero Ayerbe</v>
      </c>
      <c r="H79" s="16">
        <f>_xlfn.XLOOKUP([1]!Tabla3[[#This Row],[LUGAR ENVÍO]],[1]!Tabla9[[Nombre ]],[1]!Tabla9[Distancia],"NA")</f>
        <v>3.6839999999999993</v>
      </c>
      <c r="I79" s="66">
        <f>[1]!Tabla3[[#This Row],[Valor Tran]]/([1]!Tabla3[[#This Row],[DISTANCIA (km)]]*2)</f>
        <v>5428.8816503800226</v>
      </c>
      <c r="J79" s="24"/>
      <c r="K79" s="20">
        <v>1</v>
      </c>
      <c r="L79" s="25">
        <v>40000</v>
      </c>
      <c r="M79" s="25">
        <f>[1]!Tabla3[[#This Row],[VLR. TRANSPORTE]]/[1]!Tabla3[[#This Row],[Numero de Transportes]]</f>
        <v>40000</v>
      </c>
      <c r="N79" s="25">
        <v>181500</v>
      </c>
      <c r="O79" s="25">
        <f>[1]!Tabla3[[#This Row],[VLR. TOTAL FACT.]]-[1]!Tabla3[[#This Row],[VLR. TRANSPORTE]]</f>
        <v>141500</v>
      </c>
      <c r="P79" s="20">
        <v>0</v>
      </c>
      <c r="Q79" s="20" t="s">
        <v>34</v>
      </c>
    </row>
    <row r="80" spans="1:17" ht="27.6" thickBot="1" x14ac:dyDescent="0.35">
      <c r="A80" s="67">
        <v>59040</v>
      </c>
      <c r="B80" s="68">
        <v>45987</v>
      </c>
      <c r="C80" s="67" t="s">
        <v>17</v>
      </c>
      <c r="D80" s="67" t="s">
        <v>23</v>
      </c>
      <c r="E80" s="67" t="s">
        <v>124</v>
      </c>
      <c r="F80" s="67">
        <v>2</v>
      </c>
      <c r="G80" s="67" t="str">
        <f>_xlfn.XLOOKUP([1]!Tabla3[[#This Row],[ID]],[1]!Tabla2[ID],[1]!Tabla2[Corregimiento],"NA")</f>
        <v>Borrero Ayerbe</v>
      </c>
      <c r="H80" s="10">
        <f>_xlfn.XLOOKUP([1]!Tabla3[[#This Row],[LUGAR ENVÍO]],[1]!Tabla9[[Nombre ]],[1]!Tabla9[Distancia],"NA")</f>
        <v>1.1270000000000002</v>
      </c>
      <c r="I80" s="69">
        <f>[1]!Tabla3[[#This Row],[Valor Tran]]/([1]!Tabla3[[#This Row],[DISTANCIA (km)]]*2)</f>
        <v>4436.5572315882864</v>
      </c>
      <c r="J80" s="70"/>
      <c r="K80" s="67">
        <v>1</v>
      </c>
      <c r="L80" s="25">
        <v>10000</v>
      </c>
      <c r="M80" s="71">
        <f>[1]!Tabla3[[#This Row],[VLR. TRANSPORTE]]/[1]!Tabla3[[#This Row],[Numero de Transportes]]</f>
        <v>10000</v>
      </c>
      <c r="N80" s="71">
        <v>207000</v>
      </c>
      <c r="O80" s="25">
        <f>[1]!Tabla3[[#This Row],[VLR. TOTAL FACT.]]-[1]!Tabla3[[#This Row],[VLR. TRANSPORTE]]</f>
        <v>197000</v>
      </c>
      <c r="P80" s="67">
        <v>0</v>
      </c>
      <c r="Q80" s="67" t="s">
        <v>49</v>
      </c>
    </row>
    <row r="81" spans="1:17" ht="27.6" thickBot="1" x14ac:dyDescent="0.35">
      <c r="A81" s="14">
        <v>58796</v>
      </c>
      <c r="B81" s="15">
        <v>45987</v>
      </c>
      <c r="C81" s="14" t="s">
        <v>27</v>
      </c>
      <c r="D81" s="14" t="s">
        <v>98</v>
      </c>
      <c r="E81" s="14" t="s">
        <v>124</v>
      </c>
      <c r="F81" s="14">
        <v>2</v>
      </c>
      <c r="G81" s="14" t="str">
        <f>_xlfn.XLOOKUP([1]!Tabla3[[#This Row],[ID]],[1]!Tabla2[ID],[1]!Tabla2[Corregimiento],"NA")</f>
        <v>Borrero Ayerbe</v>
      </c>
      <c r="H81" s="16">
        <f>_xlfn.XLOOKUP([1]!Tabla3[[#This Row],[LUGAR ENVÍO]],[1]!Tabla9[[Nombre ]],[1]!Tabla9[Distancia],"NA")</f>
        <v>1.1270000000000002</v>
      </c>
      <c r="I81" s="17">
        <f>[1]!Tabla3[[#This Row],[Valor Tran]]/([1]!Tabla3[[#This Row],[DISTANCIA (km)]]*2)</f>
        <v>8873.1144631765728</v>
      </c>
      <c r="J81" s="18"/>
      <c r="K81" s="14">
        <v>1</v>
      </c>
      <c r="L81" s="19">
        <v>20000</v>
      </c>
      <c r="M81" s="19">
        <f>[1]!Tabla3[[#This Row],[VLR. TRANSPORTE]]/[1]!Tabla3[[#This Row],[Numero de Transportes]]</f>
        <v>20000</v>
      </c>
      <c r="N81" s="19">
        <v>2207000</v>
      </c>
      <c r="O81" s="19">
        <f>[1]!Tabla3[[#This Row],[VLR. TOTAL FACT.]]-[1]!Tabla3[[#This Row],[VLR. TRANSPORTE]]</f>
        <v>2187000</v>
      </c>
      <c r="P81" s="14">
        <v>1</v>
      </c>
      <c r="Q81" s="14" t="s">
        <v>25</v>
      </c>
    </row>
    <row r="82" spans="1:17" ht="27.6" thickBot="1" x14ac:dyDescent="0.35">
      <c r="A82" s="52">
        <v>41501</v>
      </c>
      <c r="B82" s="53" t="s">
        <v>70</v>
      </c>
      <c r="C82" s="52" t="s">
        <v>27</v>
      </c>
      <c r="D82" s="52" t="s">
        <v>46</v>
      </c>
      <c r="E82" s="52" t="s">
        <v>125</v>
      </c>
      <c r="F82" s="52">
        <v>8</v>
      </c>
      <c r="G82" s="46" t="str">
        <f>_xlfn.XLOOKUP([1]!Tabla3[[#This Row],[ID]],[1]!Tabla2[ID],[1]!Tabla2[Corregimiento],"NA")</f>
        <v>El Palmar</v>
      </c>
      <c r="H82" s="10">
        <f>_xlfn.XLOOKUP([1]!Tabla3[[#This Row],[LUGAR ENVÍO]],[1]!Tabla9[[Nombre ]],[1]!Tabla9[Distancia],"NA")</f>
        <v>4.4759999999999982</v>
      </c>
      <c r="I82" s="48">
        <f>[1]!Tabla3[[#This Row],[Valor Tran]]/([1]!Tabla3[[#This Row],[DISTANCIA (km)]]*2)</f>
        <v>8378.0160857908886</v>
      </c>
      <c r="J82" s="55"/>
      <c r="K82" s="52">
        <v>3</v>
      </c>
      <c r="L82" s="56">
        <v>225000</v>
      </c>
      <c r="M82" s="56">
        <v>75000</v>
      </c>
      <c r="N82" s="56">
        <v>593900</v>
      </c>
      <c r="O82" s="13">
        <f>[1]!Tabla3[[#This Row],[VLR. TOTAL FACT.]]-[1]!Tabla3[[#This Row],[VLR. TRANSPORTE]]</f>
        <v>368900</v>
      </c>
      <c r="P82" s="52">
        <v>1</v>
      </c>
      <c r="Q82" s="52" t="s">
        <v>25</v>
      </c>
    </row>
    <row r="83" spans="1:17" ht="27.6" thickBot="1" x14ac:dyDescent="0.35">
      <c r="A83" s="14">
        <v>48616</v>
      </c>
      <c r="B83" s="28">
        <v>45986</v>
      </c>
      <c r="C83" s="14" t="s">
        <v>17</v>
      </c>
      <c r="D83" s="14" t="s">
        <v>126</v>
      </c>
      <c r="E83" s="72" t="s">
        <v>125</v>
      </c>
      <c r="F83" s="14">
        <v>2</v>
      </c>
      <c r="G83" s="14" t="str">
        <f>_xlfn.XLOOKUP([1]!Tabla3[[#This Row],[ID]],[1]!Tabla2[ID],[1]!Tabla2[Corregimiento],"NA")</f>
        <v>Borrero Ayerbe</v>
      </c>
      <c r="H83" s="16">
        <f>_xlfn.XLOOKUP([1]!Tabla3[[#This Row],[LUGAR ENVÍO]],[1]!Tabla9[[Nombre ]],[1]!Tabla9[Distancia],"NA")</f>
        <v>4.4759999999999982</v>
      </c>
      <c r="I83" s="43">
        <f>[1]!Tabla3[[#This Row],[Valor Tran]]/([1]!Tabla3[[#This Row],[DISTANCIA (km)]]*2)</f>
        <v>7819.4816800714952</v>
      </c>
      <c r="J83" s="18"/>
      <c r="K83" s="14">
        <v>1</v>
      </c>
      <c r="L83" s="19">
        <v>70000</v>
      </c>
      <c r="M83" s="19">
        <f>[1]!Tabla3[[#This Row],[VLR. TRANSPORTE]]/[1]!Tabla3[[#This Row],[Numero de Transportes]]</f>
        <v>70000</v>
      </c>
      <c r="N83" s="19">
        <v>480300</v>
      </c>
      <c r="O83" s="19">
        <f>[1]!Tabla3[[#This Row],[VLR. TOTAL FACT.]]-[1]!Tabla3[[#This Row],[VLR. TRANSPORTE]]</f>
        <v>410300</v>
      </c>
      <c r="P83" s="14">
        <v>1</v>
      </c>
      <c r="Q83" s="14" t="s">
        <v>22</v>
      </c>
    </row>
    <row r="84" spans="1:17" ht="27.6" thickBot="1" x14ac:dyDescent="0.35">
      <c r="A84" s="58">
        <v>50115</v>
      </c>
      <c r="B84" s="59" t="s">
        <v>39</v>
      </c>
      <c r="C84" s="58" t="s">
        <v>17</v>
      </c>
      <c r="D84" s="58" t="s">
        <v>96</v>
      </c>
      <c r="E84" s="44" t="s">
        <v>125</v>
      </c>
      <c r="F84" s="58">
        <v>8</v>
      </c>
      <c r="G84" s="46" t="str">
        <f>_xlfn.XLOOKUP([1]!Tabla3[[#This Row],[ID]],[1]!Tabla2[ID],[1]!Tabla2[Corregimiento],"NA")</f>
        <v>El Palmar</v>
      </c>
      <c r="H84" s="10">
        <f>_xlfn.XLOOKUP([1]!Tabla3[[#This Row],[LUGAR ENVÍO]],[1]!Tabla9[[Nombre ]],[1]!Tabla9[Distancia],"NA")</f>
        <v>4.4759999999999982</v>
      </c>
      <c r="I84" s="48">
        <f>[1]!Tabla3[[#This Row],[Valor Tran]]/([1]!Tabla3[[#This Row],[DISTANCIA (km)]]*2)</f>
        <v>7819.4816800714952</v>
      </c>
      <c r="J84" s="60"/>
      <c r="K84" s="58">
        <v>1</v>
      </c>
      <c r="L84" s="37">
        <v>70000</v>
      </c>
      <c r="M84" s="61">
        <v>70000</v>
      </c>
      <c r="N84" s="61">
        <v>557500</v>
      </c>
      <c r="O84" s="13">
        <f>[1]!Tabla3[[#This Row],[VLR. TOTAL FACT.]]-[1]!Tabla3[[#This Row],[VLR. TRANSPORTE]]</f>
        <v>487500</v>
      </c>
      <c r="P84" s="58">
        <v>1</v>
      </c>
      <c r="Q84" s="58" t="s">
        <v>25</v>
      </c>
    </row>
    <row r="85" spans="1:17" ht="27.6" thickBot="1" x14ac:dyDescent="0.35">
      <c r="A85" s="14">
        <v>58809</v>
      </c>
      <c r="B85" s="15">
        <v>45993</v>
      </c>
      <c r="C85" s="14" t="s">
        <v>17</v>
      </c>
      <c r="D85" s="14" t="s">
        <v>127</v>
      </c>
      <c r="E85" s="14" t="s">
        <v>125</v>
      </c>
      <c r="F85" s="14">
        <v>2</v>
      </c>
      <c r="G85" s="14" t="str">
        <f>_xlfn.XLOOKUP([1]!Tabla3[[#This Row],[ID]],[1]!Tabla2[ID],[1]!Tabla2[Corregimiento],"NA")</f>
        <v>Borrero Ayerbe</v>
      </c>
      <c r="H85" s="16">
        <f>_xlfn.XLOOKUP([1]!Tabla3[[#This Row],[LUGAR ENVÍO]],[1]!Tabla9[[Nombre ]],[1]!Tabla9[Distancia],"NA")</f>
        <v>4.4759999999999982</v>
      </c>
      <c r="I85" s="17">
        <f>[1]!Tabla3[[#This Row],[Valor Tran]]/([1]!Tabla3[[#This Row],[DISTANCIA (km)]]*2)</f>
        <v>3351.2064343163552</v>
      </c>
      <c r="J85" s="18"/>
      <c r="K85" s="14">
        <v>3</v>
      </c>
      <c r="L85" s="19">
        <v>90000</v>
      </c>
      <c r="M85" s="19">
        <f>[1]!Tabla3[[#This Row],[VLR. TRANSPORTE]]/[1]!Tabla3[[#This Row],[Numero de Transportes]]</f>
        <v>30000</v>
      </c>
      <c r="N85" s="19">
        <v>1382000</v>
      </c>
      <c r="O85" s="19">
        <f>[1]!Tabla3[[#This Row],[VLR. TOTAL FACT.]]-[1]!Tabla3[[#This Row],[VLR. TRANSPORTE]]</f>
        <v>1292000</v>
      </c>
      <c r="P85" s="14">
        <v>1</v>
      </c>
      <c r="Q85" s="14" t="s">
        <v>34</v>
      </c>
    </row>
    <row r="86" spans="1:17" ht="27.6" thickBot="1" x14ac:dyDescent="0.35">
      <c r="A86" s="46">
        <v>58609</v>
      </c>
      <c r="B86" s="51">
        <v>45995</v>
      </c>
      <c r="C86" s="46" t="s">
        <v>17</v>
      </c>
      <c r="D86" s="46" t="s">
        <v>122</v>
      </c>
      <c r="E86" s="27" t="s">
        <v>125</v>
      </c>
      <c r="F86" s="46">
        <v>2</v>
      </c>
      <c r="G86" s="46" t="str">
        <f>_xlfn.XLOOKUP([1]!Tabla3[[#This Row],[ID]],[1]!Tabla2[ID],[1]!Tabla2[Corregimiento],"NA")</f>
        <v>Borrero Ayerbe</v>
      </c>
      <c r="H86" s="10">
        <f>_xlfn.XLOOKUP([1]!Tabla3[[#This Row],[LUGAR ENVÍO]],[1]!Tabla9[[Nombre ]],[1]!Tabla9[Distancia],"NA")</f>
        <v>4.4759999999999982</v>
      </c>
      <c r="I86" s="48">
        <f>[1]!Tabla3[[#This Row],[Valor Tran]]/([1]!Tabla3[[#This Row],[DISTANCIA (km)]]*2)</f>
        <v>2234.1376228775703</v>
      </c>
      <c r="J86" s="49"/>
      <c r="K86" s="46">
        <v>1</v>
      </c>
      <c r="L86" s="13">
        <v>20000</v>
      </c>
      <c r="M86" s="50">
        <f>[1]!Tabla3[[#This Row],[VLR. TRANSPORTE]]/[1]!Tabla3[[#This Row],[Numero de Transportes]]</f>
        <v>20000</v>
      </c>
      <c r="N86" s="50">
        <v>3259000</v>
      </c>
      <c r="O86" s="13">
        <f>[1]!Tabla3[[#This Row],[VLR. TOTAL FACT.]]-[1]!Tabla3[[#This Row],[VLR. TRANSPORTE]]</f>
        <v>3239000</v>
      </c>
      <c r="P86" s="46">
        <v>1</v>
      </c>
      <c r="Q86" s="46" t="s">
        <v>22</v>
      </c>
    </row>
    <row r="87" spans="1:17" ht="27.6" thickBot="1" x14ac:dyDescent="0.35">
      <c r="A87" s="14">
        <v>57636</v>
      </c>
      <c r="B87" s="28">
        <v>45962</v>
      </c>
      <c r="C87" s="14" t="s">
        <v>27</v>
      </c>
      <c r="D87" s="14" t="s">
        <v>62</v>
      </c>
      <c r="E87" s="57" t="s">
        <v>128</v>
      </c>
      <c r="F87" s="14">
        <v>2</v>
      </c>
      <c r="G87" s="14" t="str">
        <f>_xlfn.XLOOKUP([1]!Tabla3[[#This Row],[ID]],[1]!Tabla2[ID],[1]!Tabla2[Corregimiento],"NA")</f>
        <v>Borrero Ayerbe</v>
      </c>
      <c r="H87" s="16">
        <f>_xlfn.XLOOKUP([1]!Tabla3[[#This Row],[LUGAR ENVÍO]],[1]!Tabla9[[Nombre ]],[1]!Tabla9[Distancia],"NA")</f>
        <v>1.3099999999999998</v>
      </c>
      <c r="I87" s="17">
        <f>[1]!Tabla3[[#This Row],[Valor Tran]]/([1]!Tabla3[[#This Row],[DISTANCIA (km)]]*2)</f>
        <v>5725.1908396946574</v>
      </c>
      <c r="J87" s="18"/>
      <c r="K87" s="14">
        <v>1</v>
      </c>
      <c r="L87" s="19">
        <v>15000</v>
      </c>
      <c r="M87" s="19">
        <f>[1]!Tabla3[[#This Row],[VLR. TRANSPORTE]]/[1]!Tabla3[[#This Row],[Numero de Transportes]]</f>
        <v>15000</v>
      </c>
      <c r="N87" s="19">
        <v>526000</v>
      </c>
      <c r="O87" s="19">
        <f>[1]!Tabla3[[#This Row],[VLR. TOTAL FACT.]]-[1]!Tabla3[[#This Row],[VLR. TRANSPORTE]]</f>
        <v>511000</v>
      </c>
      <c r="P87" s="14">
        <v>0</v>
      </c>
      <c r="Q87" s="14" t="s">
        <v>22</v>
      </c>
    </row>
    <row r="88" spans="1:17" ht="27.6" thickBot="1" x14ac:dyDescent="0.35">
      <c r="A88" s="46">
        <v>58457</v>
      </c>
      <c r="B88" s="47">
        <v>45974</v>
      </c>
      <c r="C88" s="46" t="s">
        <v>27</v>
      </c>
      <c r="D88" s="46" t="s">
        <v>129</v>
      </c>
      <c r="E88" s="27" t="s">
        <v>130</v>
      </c>
      <c r="F88" s="46">
        <v>2</v>
      </c>
      <c r="G88" s="46" t="str">
        <f>_xlfn.XLOOKUP([1]!Tabla3[[#This Row],[ID]],[1]!Tabla2[ID],[1]!Tabla2[Corregimiento],"NA")</f>
        <v>Borrero Ayerbe</v>
      </c>
      <c r="H88" s="10">
        <f>_xlfn.XLOOKUP([1]!Tabla3[[#This Row],[LUGAR ENVÍO]],[1]!Tabla9[[Nombre ]],[1]!Tabla9[Distancia],"NA")</f>
        <v>0.42800000000000005</v>
      </c>
      <c r="I88" s="48">
        <f>[1]!Tabla3[[#This Row],[Valor Tran]]/([1]!Tabla3[[#This Row],[DISTANCIA (km)]]*2)</f>
        <v>35046.728971962613</v>
      </c>
      <c r="J88" s="49"/>
      <c r="K88" s="46">
        <v>1</v>
      </c>
      <c r="L88" s="50">
        <v>30000</v>
      </c>
      <c r="M88" s="50">
        <f>[1]!Tabla3[[#This Row],[VLR. TRANSPORTE]]/[1]!Tabla3[[#This Row],[Numero de Transportes]]</f>
        <v>30000</v>
      </c>
      <c r="N88" s="50">
        <v>210000</v>
      </c>
      <c r="O88" s="13">
        <f>[1]!Tabla3[[#This Row],[VLR. TOTAL FACT.]]-[1]!Tabla3[[#This Row],[VLR. TRANSPORTE]]</f>
        <v>180000</v>
      </c>
      <c r="P88" s="46">
        <v>1</v>
      </c>
      <c r="Q88" s="46" t="s">
        <v>22</v>
      </c>
    </row>
    <row r="89" spans="1:17" ht="27.6" thickBot="1" x14ac:dyDescent="0.35">
      <c r="A89" s="14">
        <v>58466</v>
      </c>
      <c r="B89" s="28">
        <v>45974</v>
      </c>
      <c r="C89" s="14" t="s">
        <v>27</v>
      </c>
      <c r="D89" s="14" t="s">
        <v>131</v>
      </c>
      <c r="E89" s="38" t="s">
        <v>130</v>
      </c>
      <c r="F89" s="14">
        <v>2</v>
      </c>
      <c r="G89" s="14" t="str">
        <f>_xlfn.XLOOKUP([1]!Tabla3[[#This Row],[ID]],[1]!Tabla2[ID],[1]!Tabla2[Corregimiento],"NA")</f>
        <v>Borrero Ayerbe</v>
      </c>
      <c r="H89" s="16">
        <f>_xlfn.XLOOKUP([1]!Tabla3[[#This Row],[LUGAR ENVÍO]],[1]!Tabla9[[Nombre ]],[1]!Tabla9[Distancia],"NA")</f>
        <v>0.42800000000000005</v>
      </c>
      <c r="I89" s="17">
        <f>[1]!Tabla3[[#This Row],[Valor Tran]]/([1]!Tabla3[[#This Row],[DISTANCIA (km)]]*2)</f>
        <v>17523.364485981307</v>
      </c>
      <c r="J89" s="18"/>
      <c r="K89" s="14">
        <v>1</v>
      </c>
      <c r="L89" s="19">
        <v>15000</v>
      </c>
      <c r="M89" s="19">
        <f>[1]!Tabla3[[#This Row],[VLR. TRANSPORTE]]/[1]!Tabla3[[#This Row],[Numero de Transportes]]</f>
        <v>15000</v>
      </c>
      <c r="N89" s="19">
        <v>246000</v>
      </c>
      <c r="O89" s="19">
        <f>[1]!Tabla3[[#This Row],[VLR. TOTAL FACT.]]-[1]!Tabla3[[#This Row],[VLR. TRANSPORTE]]</f>
        <v>231000</v>
      </c>
      <c r="P89" s="14">
        <v>0</v>
      </c>
      <c r="Q89" s="14" t="s">
        <v>22</v>
      </c>
    </row>
    <row r="90" spans="1:17" ht="27.6" thickBot="1" x14ac:dyDescent="0.35">
      <c r="A90" s="52">
        <v>38790</v>
      </c>
      <c r="B90" s="53" t="s">
        <v>37</v>
      </c>
      <c r="C90" s="52" t="s">
        <v>27</v>
      </c>
      <c r="D90" s="52" t="s">
        <v>18</v>
      </c>
      <c r="E90" s="52" t="s">
        <v>130</v>
      </c>
      <c r="F90" s="52">
        <v>2</v>
      </c>
      <c r="G90" s="46" t="str">
        <f>_xlfn.XLOOKUP([1]!Tabla3[[#This Row],[ID]],[1]!Tabla2[ID],[1]!Tabla2[Corregimiento],"NA")</f>
        <v>Borrero Ayerbe</v>
      </c>
      <c r="H90" s="10">
        <f>_xlfn.XLOOKUP([1]!Tabla3[[#This Row],[LUGAR ENVÍO]],[1]!Tabla9[[Nombre ]],[1]!Tabla9[Distancia],"NA")</f>
        <v>0.42800000000000005</v>
      </c>
      <c r="I90" s="48">
        <f>[1]!Tabla3[[#This Row],[Valor Tran]]/([1]!Tabla3[[#This Row],[DISTANCIA (km)]]*2)</f>
        <v>35046.728971962613</v>
      </c>
      <c r="J90" s="55"/>
      <c r="K90" s="52">
        <v>2</v>
      </c>
      <c r="L90" s="32">
        <v>60000</v>
      </c>
      <c r="M90" s="56">
        <v>30000</v>
      </c>
      <c r="N90" s="56">
        <v>307800</v>
      </c>
      <c r="O90" s="13">
        <f>[1]!Tabla3[[#This Row],[VLR. TOTAL FACT.]]-[1]!Tabla3[[#This Row],[VLR. TRANSPORTE]]</f>
        <v>247800</v>
      </c>
      <c r="P90" s="52">
        <v>1</v>
      </c>
      <c r="Q90" s="52" t="s">
        <v>22</v>
      </c>
    </row>
    <row r="91" spans="1:17" ht="27.6" thickBot="1" x14ac:dyDescent="0.35">
      <c r="A91" s="20">
        <v>57842</v>
      </c>
      <c r="B91" s="21">
        <v>45971</v>
      </c>
      <c r="C91" s="20" t="s">
        <v>27</v>
      </c>
      <c r="D91" s="20" t="s">
        <v>132</v>
      </c>
      <c r="E91" s="22" t="s">
        <v>130</v>
      </c>
      <c r="F91" s="20">
        <v>2</v>
      </c>
      <c r="G91" s="20" t="str">
        <f>_xlfn.XLOOKUP([1]!Tabla3[[#This Row],[ID]],[1]!Tabla2[ID],[1]!Tabla2[Corregimiento],"NA")</f>
        <v>Borrero Ayerbe</v>
      </c>
      <c r="H91" s="16">
        <f>_xlfn.XLOOKUP([1]!Tabla3[[#This Row],[LUGAR ENVÍO]],[1]!Tabla9[[Nombre ]],[1]!Tabla9[Distancia],"NA")</f>
        <v>0.42800000000000005</v>
      </c>
      <c r="I91" s="23">
        <f>[1]!Tabla3[[#This Row],[Valor Tran]]/([1]!Tabla3[[#This Row],[DISTANCIA (km)]]*2)</f>
        <v>17523.364485981307</v>
      </c>
      <c r="J91" s="24"/>
      <c r="K91" s="20">
        <v>1</v>
      </c>
      <c r="L91" s="25">
        <v>15000</v>
      </c>
      <c r="M91" s="25">
        <f>[1]!Tabla3[[#This Row],[VLR. TRANSPORTE]]/[1]!Tabla3[[#This Row],[Numero de Transportes]]</f>
        <v>15000</v>
      </c>
      <c r="N91" s="25">
        <v>351000</v>
      </c>
      <c r="O91" s="25">
        <f>[1]!Tabla3[[#This Row],[VLR. TOTAL FACT.]]-[1]!Tabla3[[#This Row],[VLR. TRANSPORTE]]</f>
        <v>336000</v>
      </c>
      <c r="P91" s="20">
        <v>0</v>
      </c>
      <c r="Q91" s="20" t="s">
        <v>22</v>
      </c>
    </row>
    <row r="92" spans="1:17" ht="27.6" thickBot="1" x14ac:dyDescent="0.35">
      <c r="A92" s="46">
        <v>46430</v>
      </c>
      <c r="B92" s="47">
        <v>45962</v>
      </c>
      <c r="C92" s="46" t="s">
        <v>17</v>
      </c>
      <c r="D92" s="46" t="s">
        <v>131</v>
      </c>
      <c r="E92" s="46" t="s">
        <v>130</v>
      </c>
      <c r="F92" s="46">
        <v>2</v>
      </c>
      <c r="G92" s="46" t="str">
        <f>_xlfn.XLOOKUP([1]!Tabla3[[#This Row],[ID]],[1]!Tabla2[ID],[1]!Tabla2[Corregimiento],"NA")</f>
        <v>Borrero Ayerbe</v>
      </c>
      <c r="H92" s="10">
        <f>_xlfn.XLOOKUP([1]!Tabla3[[#This Row],[LUGAR ENVÍO]],[1]!Tabla9[[Nombre ]],[1]!Tabla9[Distancia],"NA")</f>
        <v>0.42800000000000005</v>
      </c>
      <c r="I92" s="48">
        <f>[1]!Tabla3[[#This Row],[Valor Tran]]/([1]!Tabla3[[#This Row],[DISTANCIA (km)]]*2)</f>
        <v>35046.728971962613</v>
      </c>
      <c r="J92" s="49"/>
      <c r="K92" s="46">
        <v>1</v>
      </c>
      <c r="L92" s="13">
        <v>30000</v>
      </c>
      <c r="M92" s="50">
        <f>[1]!Tabla3[[#This Row],[VLR. TRANSPORTE]]/[1]!Tabla3[[#This Row],[Numero de Transportes]]</f>
        <v>30000</v>
      </c>
      <c r="N92" s="50">
        <v>768000</v>
      </c>
      <c r="O92" s="13">
        <f>[1]!Tabla3[[#This Row],[VLR. TOTAL FACT.]]-[1]!Tabla3[[#This Row],[VLR. TRANSPORTE]]</f>
        <v>738000</v>
      </c>
      <c r="P92" s="46">
        <v>0</v>
      </c>
      <c r="Q92" s="46" t="s">
        <v>25</v>
      </c>
    </row>
    <row r="93" spans="1:17" ht="27.6" thickBot="1" x14ac:dyDescent="0.35">
      <c r="A93" s="14">
        <v>0</v>
      </c>
      <c r="B93" s="28">
        <v>45962</v>
      </c>
      <c r="C93" s="14" t="s">
        <v>17</v>
      </c>
      <c r="D93" s="14" t="s">
        <v>28</v>
      </c>
      <c r="E93" s="38" t="s">
        <v>133</v>
      </c>
      <c r="F93" s="14">
        <v>2</v>
      </c>
      <c r="G93" s="14" t="str">
        <f>_xlfn.XLOOKUP([1]!Tabla3[[#This Row],[ID]],[1]!Tabla2[ID],[1]!Tabla2[Corregimiento],"NA")</f>
        <v>Borrero Ayerbe</v>
      </c>
      <c r="H93" s="16">
        <f>_xlfn.XLOOKUP([1]!Tabla3[[#This Row],[LUGAR ENVÍO]],[1]!Tabla9[[Nombre ]],[1]!Tabla9[Distancia],"NA")</f>
        <v>1.2010000000000001</v>
      </c>
      <c r="I93" s="17">
        <f>[1]!Tabla3[[#This Row],[Valor Tran]]/([1]!Tabla3[[#This Row],[DISTANCIA (km)]]*2)</f>
        <v>16652.789342214819</v>
      </c>
      <c r="J93" s="18"/>
      <c r="K93" s="14">
        <v>1</v>
      </c>
      <c r="L93" s="19">
        <v>40000</v>
      </c>
      <c r="M93" s="19">
        <f>[1]!Tabla3[[#This Row],[VLR. TRANSPORTE]]/[1]!Tabla3[[#This Row],[Numero de Transportes]]</f>
        <v>40000</v>
      </c>
      <c r="N93" s="19">
        <v>369000</v>
      </c>
      <c r="O93" s="19">
        <f>[1]!Tabla3[[#This Row],[VLR. TOTAL FACT.]]-[1]!Tabla3[[#This Row],[VLR. TRANSPORTE]]</f>
        <v>329000</v>
      </c>
      <c r="P93" s="14">
        <v>0</v>
      </c>
      <c r="Q93" s="14" t="s">
        <v>22</v>
      </c>
    </row>
    <row r="94" spans="1:17" ht="27.6" thickBot="1" x14ac:dyDescent="0.35">
      <c r="A94" s="46">
        <v>58326</v>
      </c>
      <c r="B94" s="47">
        <v>45986</v>
      </c>
      <c r="C94" s="46" t="s">
        <v>17</v>
      </c>
      <c r="D94" s="46" t="s">
        <v>96</v>
      </c>
      <c r="E94" s="27" t="s">
        <v>133</v>
      </c>
      <c r="F94" s="46">
        <v>2</v>
      </c>
      <c r="G94" s="46" t="str">
        <f>_xlfn.XLOOKUP([1]!Tabla3[[#This Row],[ID]],[1]!Tabla2[ID],[1]!Tabla2[Corregimiento],"NA")</f>
        <v>Borrero Ayerbe</v>
      </c>
      <c r="H94" s="10">
        <f>_xlfn.XLOOKUP([1]!Tabla3[[#This Row],[LUGAR ENVÍO]],[1]!Tabla9[[Nombre ]],[1]!Tabla9[Distancia],"NA")</f>
        <v>1.2010000000000001</v>
      </c>
      <c r="I94" s="48">
        <f>[1]!Tabla3[[#This Row],[Valor Tran]]/([1]!Tabla3[[#This Row],[DISTANCIA (km)]]*2)</f>
        <v>16652.789342214819</v>
      </c>
      <c r="J94" s="49"/>
      <c r="K94" s="46">
        <v>1</v>
      </c>
      <c r="L94" s="13">
        <v>40000</v>
      </c>
      <c r="M94" s="50">
        <f>[1]!Tabla3[[#This Row],[VLR. TRANSPORTE]]/[1]!Tabla3[[#This Row],[Numero de Transportes]]</f>
        <v>40000</v>
      </c>
      <c r="N94" s="50">
        <v>436000</v>
      </c>
      <c r="O94" s="13">
        <f>[1]!Tabla3[[#This Row],[VLR. TOTAL FACT.]]-[1]!Tabla3[[#This Row],[VLR. TRANSPORTE]]</f>
        <v>396000</v>
      </c>
      <c r="P94" s="46">
        <v>1</v>
      </c>
      <c r="Q94" s="46" t="s">
        <v>22</v>
      </c>
    </row>
    <row r="95" spans="1:17" ht="27.6" thickBot="1" x14ac:dyDescent="0.35">
      <c r="A95" s="14">
        <v>511</v>
      </c>
      <c r="B95" s="28">
        <v>45966</v>
      </c>
      <c r="C95" s="14" t="s">
        <v>17</v>
      </c>
      <c r="D95" s="14" t="s">
        <v>134</v>
      </c>
      <c r="E95" s="42" t="s">
        <v>135</v>
      </c>
      <c r="F95" s="14">
        <v>2</v>
      </c>
      <c r="G95" s="14" t="str">
        <f>_xlfn.XLOOKUP([1]!Tabla3[[#This Row],[ID]],[1]!Tabla2[ID],[1]!Tabla2[Corregimiento],"NA")</f>
        <v>Borrero Ayerbe</v>
      </c>
      <c r="H95" s="16">
        <f>_xlfn.XLOOKUP([1]!Tabla3[[#This Row],[LUGAR ENVÍO]],[1]!Tabla9[[Nombre ]],[1]!Tabla9[Distancia],"NA")</f>
        <v>2.0919999999999992</v>
      </c>
      <c r="I95" s="17">
        <f>[1]!Tabla3[[#This Row],[Valor Tran]]/([1]!Tabla3[[#This Row],[DISTANCIA (km)]]*2)</f>
        <v>3585.086042065011</v>
      </c>
      <c r="J95" s="18"/>
      <c r="K95" s="14">
        <v>1</v>
      </c>
      <c r="L95" s="73">
        <v>15000</v>
      </c>
      <c r="M95" s="73">
        <f>[1]!Tabla3[[#This Row],[VLR. TRANSPORTE]]/[1]!Tabla3[[#This Row],[Numero de Transportes]]</f>
        <v>15000</v>
      </c>
      <c r="N95" s="19">
        <v>189000</v>
      </c>
      <c r="O95" s="19">
        <f>[1]!Tabla3[[#This Row],[VLR. TOTAL FACT.]]-[1]!Tabla3[[#This Row],[VLR. TRANSPORTE]]</f>
        <v>174000</v>
      </c>
      <c r="P95" s="14">
        <v>0</v>
      </c>
      <c r="Q95" s="14" t="s">
        <v>25</v>
      </c>
    </row>
    <row r="96" spans="1:17" ht="27.6" thickBot="1" x14ac:dyDescent="0.35">
      <c r="A96" s="46">
        <v>59175</v>
      </c>
      <c r="B96" s="47">
        <v>45969</v>
      </c>
      <c r="C96" s="46" t="s">
        <v>17</v>
      </c>
      <c r="D96" s="46" t="s">
        <v>136</v>
      </c>
      <c r="E96" s="54" t="s">
        <v>135</v>
      </c>
      <c r="F96" s="46">
        <v>2</v>
      </c>
      <c r="G96" s="46" t="str">
        <f>_xlfn.XLOOKUP([1]!Tabla3[[#This Row],[ID]],[1]!Tabla2[ID],[1]!Tabla2[Corregimiento],"NA")</f>
        <v>Borrero Ayerbe</v>
      </c>
      <c r="H96" s="10">
        <f>_xlfn.XLOOKUP([1]!Tabla3[[#This Row],[LUGAR ENVÍO]],[1]!Tabla9[[Nombre ]],[1]!Tabla9[Distancia],"NA")</f>
        <v>2.0919999999999992</v>
      </c>
      <c r="I96" s="48">
        <f>[1]!Tabla3[[#This Row],[Valor Tran]]/([1]!Tabla3[[#This Row],[DISTANCIA (km)]]*2)</f>
        <v>9560.2294455066967</v>
      </c>
      <c r="J96" s="49"/>
      <c r="K96" s="46">
        <v>1</v>
      </c>
      <c r="L96" s="13">
        <v>40000</v>
      </c>
      <c r="M96" s="50">
        <f>[1]!Tabla3[[#This Row],[VLR. TRANSPORTE]]/[1]!Tabla3[[#This Row],[Numero de Transportes]]</f>
        <v>40000</v>
      </c>
      <c r="N96" s="50">
        <v>280000</v>
      </c>
      <c r="O96" s="13">
        <f>[1]!Tabla3[[#This Row],[VLR. TOTAL FACT.]]-[1]!Tabla3[[#This Row],[VLR. TRANSPORTE]]</f>
        <v>240000</v>
      </c>
      <c r="P96" s="46">
        <v>0</v>
      </c>
      <c r="Q96" s="46" t="s">
        <v>22</v>
      </c>
    </row>
    <row r="97" spans="1:17" ht="27.6" thickBot="1" x14ac:dyDescent="0.35">
      <c r="A97" s="14">
        <v>58549</v>
      </c>
      <c r="B97" s="28">
        <v>45978</v>
      </c>
      <c r="C97" s="14" t="s">
        <v>17</v>
      </c>
      <c r="D97" s="14" t="s">
        <v>137</v>
      </c>
      <c r="E97" s="40" t="s">
        <v>135</v>
      </c>
      <c r="F97" s="14">
        <v>2</v>
      </c>
      <c r="G97" s="14" t="str">
        <f>_xlfn.XLOOKUP([1]!Tabla3[[#This Row],[ID]],[1]!Tabla2[ID],[1]!Tabla2[Corregimiento],"NA")</f>
        <v>Borrero Ayerbe</v>
      </c>
      <c r="H97" s="16">
        <f>_xlfn.XLOOKUP([1]!Tabla3[[#This Row],[LUGAR ENVÍO]],[1]!Tabla9[[Nombre ]],[1]!Tabla9[Distancia],"NA")</f>
        <v>2.0919999999999992</v>
      </c>
      <c r="I97" s="17">
        <f>[1]!Tabla3[[#This Row],[Valor Tran]]/([1]!Tabla3[[#This Row],[DISTANCIA (km)]]*2)</f>
        <v>11950.28680688337</v>
      </c>
      <c r="J97" s="18"/>
      <c r="K97" s="14">
        <v>1</v>
      </c>
      <c r="L97" s="19">
        <v>50000</v>
      </c>
      <c r="M97" s="19">
        <f>[1]!Tabla3[[#This Row],[VLR. TRANSPORTE]]/[1]!Tabla3[[#This Row],[Numero de Transportes]]</f>
        <v>50000</v>
      </c>
      <c r="N97" s="19">
        <v>1794500</v>
      </c>
      <c r="O97" s="19">
        <f>[1]!Tabla3[[#This Row],[VLR. TOTAL FACT.]]-[1]!Tabla3[[#This Row],[VLR. TRANSPORTE]]</f>
        <v>1744500</v>
      </c>
      <c r="P97" s="14">
        <v>1</v>
      </c>
      <c r="Q97" s="14" t="s">
        <v>34</v>
      </c>
    </row>
    <row r="98" spans="1:17" ht="27.6" thickBot="1" x14ac:dyDescent="0.35">
      <c r="A98" s="46">
        <v>58718</v>
      </c>
      <c r="B98" s="51">
        <v>46003</v>
      </c>
      <c r="C98" s="46" t="s">
        <v>17</v>
      </c>
      <c r="D98" s="46" t="s">
        <v>138</v>
      </c>
      <c r="E98" s="45" t="s">
        <v>135</v>
      </c>
      <c r="F98" s="46">
        <v>2</v>
      </c>
      <c r="G98" s="46" t="str">
        <f>_xlfn.XLOOKUP([1]!Tabla3[[#This Row],[ID]],[1]!Tabla2[ID],[1]!Tabla2[Corregimiento],"NA")</f>
        <v>Borrero Ayerbe</v>
      </c>
      <c r="H98" s="10">
        <f>_xlfn.XLOOKUP([1]!Tabla3[[#This Row],[LUGAR ENVÍO]],[1]!Tabla9[[Nombre ]],[1]!Tabla9[Distancia],"NA")</f>
        <v>2.0919999999999992</v>
      </c>
      <c r="I98" s="48">
        <f>[1]!Tabla3[[#This Row],[Valor Tran]]/([1]!Tabla3[[#This Row],[DISTANCIA (km)]]*2)</f>
        <v>7170.1720841300221</v>
      </c>
      <c r="J98" s="49"/>
      <c r="K98" s="46">
        <v>2</v>
      </c>
      <c r="L98" s="13">
        <v>60000</v>
      </c>
      <c r="M98" s="50">
        <f>[1]!Tabla3[[#This Row],[VLR. TRANSPORTE]]/[1]!Tabla3[[#This Row],[Numero de Transportes]]</f>
        <v>30000</v>
      </c>
      <c r="N98" s="50">
        <v>3563000</v>
      </c>
      <c r="O98" s="13">
        <f>[1]!Tabla3[[#This Row],[VLR. TOTAL FACT.]]-[1]!Tabla3[[#This Row],[VLR. TRANSPORTE]]</f>
        <v>3503000</v>
      </c>
      <c r="P98" s="46">
        <v>1</v>
      </c>
      <c r="Q98" s="46" t="s">
        <v>25</v>
      </c>
    </row>
    <row r="99" spans="1:17" ht="27.6" thickBot="1" x14ac:dyDescent="0.35">
      <c r="A99" s="33">
        <v>50413</v>
      </c>
      <c r="B99" s="34" t="s">
        <v>60</v>
      </c>
      <c r="C99" s="33" t="s">
        <v>17</v>
      </c>
      <c r="D99" s="33" t="s">
        <v>127</v>
      </c>
      <c r="E99" s="33" t="s">
        <v>135</v>
      </c>
      <c r="F99" s="33">
        <v>4</v>
      </c>
      <c r="G99" s="14" t="str">
        <f>_xlfn.XLOOKUP([1]!Tabla3[[#This Row],[ID]],[1]!Tabla2[ID],[1]!Tabla2[Corregimiento],"NA")</f>
        <v>El Carmen</v>
      </c>
      <c r="H99" s="16">
        <f>_xlfn.XLOOKUP([1]!Tabla3[[#This Row],[LUGAR ENVÍO]],[1]!Tabla9[[Nombre ]],[1]!Tabla9[Distancia],"NA")</f>
        <v>2.0919999999999992</v>
      </c>
      <c r="I99" s="17">
        <f>[1]!Tabla3[[#This Row],[Valor Tran]]/([1]!Tabla3[[#This Row],[DISTANCIA (km)]]*2)</f>
        <v>13145.315487571706</v>
      </c>
      <c r="J99" s="36"/>
      <c r="K99" s="33">
        <v>1</v>
      </c>
      <c r="L99" s="37">
        <v>55000</v>
      </c>
      <c r="M99" s="37">
        <v>55000</v>
      </c>
      <c r="N99" s="37">
        <v>4103000</v>
      </c>
      <c r="O99" s="19">
        <f>[1]!Tabla3[[#This Row],[VLR. TOTAL FACT.]]-[1]!Tabla3[[#This Row],[VLR. TRANSPORTE]]</f>
        <v>4048000</v>
      </c>
      <c r="P99" s="33">
        <v>1</v>
      </c>
      <c r="Q99" s="33" t="s">
        <v>22</v>
      </c>
    </row>
    <row r="100" spans="1:17" ht="27.6" thickBot="1" x14ac:dyDescent="0.35">
      <c r="A100" s="46">
        <v>30710</v>
      </c>
      <c r="B100" s="47">
        <v>45986</v>
      </c>
      <c r="C100" s="46" t="s">
        <v>27</v>
      </c>
      <c r="D100" s="46" t="s">
        <v>139</v>
      </c>
      <c r="E100" s="54" t="s">
        <v>135</v>
      </c>
      <c r="F100" s="46">
        <v>2</v>
      </c>
      <c r="G100" s="46" t="str">
        <f>_xlfn.XLOOKUP([1]!Tabla3[[#This Row],[ID]],[1]!Tabla2[ID],[1]!Tabla2[Corregimiento],"NA")</f>
        <v>Borrero Ayerbe</v>
      </c>
      <c r="H100" s="10">
        <f>_xlfn.XLOOKUP([1]!Tabla3[[#This Row],[LUGAR ENVÍO]],[1]!Tabla9[[Nombre ]],[1]!Tabla9[Distancia],"NA")</f>
        <v>2.0919999999999992</v>
      </c>
      <c r="I100" s="48">
        <f>[1]!Tabla3[[#This Row],[Valor Tran]]/([1]!Tabla3[[#This Row],[DISTANCIA (km)]]*2)</f>
        <v>4780.1147227533484</v>
      </c>
      <c r="J100" s="49"/>
      <c r="K100" s="46">
        <v>2</v>
      </c>
      <c r="L100" s="13">
        <v>40000</v>
      </c>
      <c r="M100" s="50">
        <f>[1]!Tabla3[[#This Row],[VLR. TRANSPORTE]]/[1]!Tabla3[[#This Row],[Numero de Transportes]]</f>
        <v>20000</v>
      </c>
      <c r="N100" s="50">
        <v>5045600</v>
      </c>
      <c r="O100" s="13">
        <f>[1]!Tabla3[[#This Row],[VLR. TOTAL FACT.]]-[1]!Tabla3[[#This Row],[VLR. TRANSPORTE]]</f>
        <v>5005600</v>
      </c>
      <c r="P100" s="46">
        <v>1</v>
      </c>
      <c r="Q100" s="46" t="s">
        <v>22</v>
      </c>
    </row>
    <row r="101" spans="1:17" ht="27.6" thickBot="1" x14ac:dyDescent="0.35">
      <c r="A101" s="14">
        <v>30574</v>
      </c>
      <c r="B101" s="28">
        <v>45980</v>
      </c>
      <c r="C101" s="14" t="s">
        <v>17</v>
      </c>
      <c r="D101" s="14" t="s">
        <v>140</v>
      </c>
      <c r="E101" s="38" t="s">
        <v>141</v>
      </c>
      <c r="F101" s="14">
        <v>4</v>
      </c>
      <c r="G101" s="14" t="str">
        <f>_xlfn.XLOOKUP([1]!Tabla3[[#This Row],[ID]],[1]!Tabla2[ID],[1]!Tabla2[Corregimiento],"NA")</f>
        <v>El Carmen</v>
      </c>
      <c r="H101" s="16">
        <f>_xlfn.XLOOKUP([1]!Tabla3[[#This Row],[LUGAR ENVÍO]],[1]!Tabla9[[Nombre ]],[1]!Tabla9[Distancia],"NA")</f>
        <v>3.5070000000000001</v>
      </c>
      <c r="I101" s="17">
        <f>[1]!Tabla3[[#This Row],[Valor Tran]]/([1]!Tabla3[[#This Row],[DISTANCIA (km)]]*2)</f>
        <v>2851.43997718848</v>
      </c>
      <c r="J101" s="18"/>
      <c r="K101" s="14">
        <v>1</v>
      </c>
      <c r="L101" s="19">
        <v>20000</v>
      </c>
      <c r="M101" s="19">
        <f>[1]!Tabla3[[#This Row],[VLR. TRANSPORTE]]/[1]!Tabla3[[#This Row],[Numero de Transportes]]</f>
        <v>20000</v>
      </c>
      <c r="N101" s="19">
        <v>240000</v>
      </c>
      <c r="O101" s="19">
        <f>[1]!Tabla3[[#This Row],[VLR. TOTAL FACT.]]-[1]!Tabla3[[#This Row],[VLR. TRANSPORTE]]</f>
        <v>220000</v>
      </c>
      <c r="P101" s="14">
        <v>0</v>
      </c>
      <c r="Q101" s="14" t="s">
        <v>57</v>
      </c>
    </row>
    <row r="102" spans="1:17" ht="27.6" thickBot="1" x14ac:dyDescent="0.35">
      <c r="A102" s="46">
        <v>58619</v>
      </c>
      <c r="B102" s="26">
        <v>45988</v>
      </c>
      <c r="C102" s="46" t="s">
        <v>17</v>
      </c>
      <c r="D102" s="46" t="s">
        <v>142</v>
      </c>
      <c r="E102" s="46" t="s">
        <v>141</v>
      </c>
      <c r="F102" s="46">
        <v>4</v>
      </c>
      <c r="G102" s="46" t="str">
        <f>_xlfn.XLOOKUP([1]!Tabla3[[#This Row],[ID]],[1]!Tabla2[ID],[1]!Tabla2[Corregimiento],"NA")</f>
        <v>El Carmen</v>
      </c>
      <c r="H102" s="10">
        <f>_xlfn.XLOOKUP([1]!Tabla3[[#This Row],[LUGAR ENVÍO]],[1]!Tabla9[[Nombre ]],[1]!Tabla9[Distancia],"NA")</f>
        <v>3.5070000000000001</v>
      </c>
      <c r="I102" s="48">
        <f>[1]!Tabla3[[#This Row],[Valor Tran]]/([1]!Tabla3[[#This Row],[DISTANCIA (km)]]*2)</f>
        <v>2851.43997718848</v>
      </c>
      <c r="J102" s="49"/>
      <c r="K102" s="46">
        <v>1</v>
      </c>
      <c r="L102" s="13">
        <v>20000</v>
      </c>
      <c r="M102" s="50">
        <f>[1]!Tabla3[[#This Row],[VLR. TRANSPORTE]]/[1]!Tabla3[[#This Row],[Numero de Transportes]]</f>
        <v>20000</v>
      </c>
      <c r="N102" s="50">
        <v>392000</v>
      </c>
      <c r="O102" s="13">
        <f>[1]!Tabla3[[#This Row],[VLR. TOTAL FACT.]]-[1]!Tabla3[[#This Row],[VLR. TRANSPORTE]]</f>
        <v>372000</v>
      </c>
      <c r="P102" s="46">
        <v>1</v>
      </c>
      <c r="Q102" s="46" t="s">
        <v>34</v>
      </c>
    </row>
    <row r="103" spans="1:17" ht="27.6" thickBot="1" x14ac:dyDescent="0.35">
      <c r="A103" s="20">
        <v>58517</v>
      </c>
      <c r="B103" s="21">
        <v>45976</v>
      </c>
      <c r="C103" s="20" t="s">
        <v>17</v>
      </c>
      <c r="D103" s="20" t="s">
        <v>138</v>
      </c>
      <c r="E103" s="57" t="s">
        <v>141</v>
      </c>
      <c r="F103" s="20">
        <v>4</v>
      </c>
      <c r="G103" s="20" t="str">
        <f>_xlfn.XLOOKUP([1]!Tabla3[[#This Row],[ID]],[1]!Tabla2[ID],[1]!Tabla2[Corregimiento],"NA")</f>
        <v>El Carmen</v>
      </c>
      <c r="H103" s="16">
        <f>_xlfn.XLOOKUP([1]!Tabla3[[#This Row],[LUGAR ENVÍO]],[1]!Tabla9[[Nombre ]],[1]!Tabla9[Distancia],"NA")</f>
        <v>3.5070000000000001</v>
      </c>
      <c r="I103" s="66">
        <f>[1]!Tabla3[[#This Row],[Valor Tran]]/([1]!Tabla3[[#This Row],[DISTANCIA (km)]]*2)</f>
        <v>4277.1599657827201</v>
      </c>
      <c r="J103" s="24"/>
      <c r="K103" s="20">
        <v>1</v>
      </c>
      <c r="L103" s="25">
        <v>30000</v>
      </c>
      <c r="M103" s="25">
        <f>[1]!Tabla3[[#This Row],[VLR. TRANSPORTE]]/[1]!Tabla3[[#This Row],[Numero de Transportes]]</f>
        <v>30000</v>
      </c>
      <c r="N103" s="25">
        <v>408500</v>
      </c>
      <c r="O103" s="25">
        <f>[1]!Tabla3[[#This Row],[VLR. TOTAL FACT.]]-[1]!Tabla3[[#This Row],[VLR. TRANSPORTE]]</f>
        <v>378500</v>
      </c>
      <c r="P103" s="20">
        <v>0</v>
      </c>
      <c r="Q103" s="20" t="s">
        <v>25</v>
      </c>
    </row>
    <row r="104" spans="1:17" ht="27.6" thickBot="1" x14ac:dyDescent="0.35">
      <c r="A104" s="46">
        <v>59071</v>
      </c>
      <c r="B104" s="47">
        <v>45987</v>
      </c>
      <c r="C104" s="46" t="s">
        <v>17</v>
      </c>
      <c r="D104" s="46" t="s">
        <v>140</v>
      </c>
      <c r="E104" s="46" t="s">
        <v>141</v>
      </c>
      <c r="F104" s="46">
        <v>4</v>
      </c>
      <c r="G104" s="46" t="str">
        <f>_xlfn.XLOOKUP([1]!Tabla3[[#This Row],[ID]],[1]!Tabla2[ID],[1]!Tabla2[Corregimiento],"NA")</f>
        <v>El Carmen</v>
      </c>
      <c r="H104" s="10">
        <f>_xlfn.XLOOKUP([1]!Tabla3[[#This Row],[LUGAR ENVÍO]],[1]!Tabla9[[Nombre ]],[1]!Tabla9[Distancia],"NA")</f>
        <v>3.5070000000000001</v>
      </c>
      <c r="I104" s="48">
        <f>[1]!Tabla3[[#This Row],[Valor Tran]]/([1]!Tabla3[[#This Row],[DISTANCIA (km)]]*2)</f>
        <v>7128.5999429712001</v>
      </c>
      <c r="J104" s="49"/>
      <c r="K104" s="46">
        <v>1</v>
      </c>
      <c r="L104" s="50">
        <v>50000</v>
      </c>
      <c r="M104" s="50">
        <f>[1]!Tabla3[[#This Row],[VLR. TRANSPORTE]]/[1]!Tabla3[[#This Row],[Numero de Transportes]]</f>
        <v>50000</v>
      </c>
      <c r="N104" s="50">
        <v>660000</v>
      </c>
      <c r="O104" s="13">
        <f>[1]!Tabla3[[#This Row],[VLR. TOTAL FACT.]]-[1]!Tabla3[[#This Row],[VLR. TRANSPORTE]]</f>
        <v>610000</v>
      </c>
      <c r="P104" s="46">
        <v>0</v>
      </c>
      <c r="Q104" s="46" t="s">
        <v>49</v>
      </c>
    </row>
    <row r="105" spans="1:17" ht="27.6" thickBot="1" x14ac:dyDescent="0.35">
      <c r="A105" s="14">
        <v>48216</v>
      </c>
      <c r="B105" s="28">
        <v>45981</v>
      </c>
      <c r="C105" s="14" t="s">
        <v>17</v>
      </c>
      <c r="D105" s="14" t="s">
        <v>143</v>
      </c>
      <c r="E105" s="38" t="s">
        <v>141</v>
      </c>
      <c r="F105" s="14">
        <v>4</v>
      </c>
      <c r="G105" s="14" t="str">
        <f>_xlfn.XLOOKUP([1]!Tabla3[[#This Row],[ID]],[1]!Tabla2[ID],[1]!Tabla2[Corregimiento],"NA")</f>
        <v>El Carmen</v>
      </c>
      <c r="H105" s="16">
        <f>_xlfn.XLOOKUP([1]!Tabla3[[#This Row],[LUGAR ENVÍO]],[1]!Tabla9[[Nombre ]],[1]!Tabla9[Distancia],"NA")</f>
        <v>3.5070000000000001</v>
      </c>
      <c r="I105" s="17">
        <f>[1]!Tabla3[[#This Row],[Valor Tran]]/([1]!Tabla3[[#This Row],[DISTANCIA (km)]]*2)</f>
        <v>4277.1599657827201</v>
      </c>
      <c r="J105" s="18"/>
      <c r="K105" s="14">
        <v>1</v>
      </c>
      <c r="L105" s="19">
        <v>30000</v>
      </c>
      <c r="M105" s="19">
        <f>[1]!Tabla3[[#This Row],[VLR. TRANSPORTE]]/[1]!Tabla3[[#This Row],[Numero de Transportes]]</f>
        <v>30000</v>
      </c>
      <c r="N105" s="19">
        <v>660000</v>
      </c>
      <c r="O105" s="19">
        <f>[1]!Tabla3[[#This Row],[VLR. TOTAL FACT.]]-[1]!Tabla3[[#This Row],[VLR. TRANSPORTE]]</f>
        <v>630000</v>
      </c>
      <c r="P105" s="14">
        <v>1</v>
      </c>
      <c r="Q105" s="14" t="s">
        <v>25</v>
      </c>
    </row>
    <row r="106" spans="1:17" ht="15" thickBot="1" x14ac:dyDescent="0.35">
      <c r="A106" s="46">
        <v>59184</v>
      </c>
      <c r="B106" s="47">
        <v>45989</v>
      </c>
      <c r="C106" s="46" t="s">
        <v>17</v>
      </c>
      <c r="D106" s="46" t="s">
        <v>144</v>
      </c>
      <c r="E106" s="46" t="s">
        <v>145</v>
      </c>
      <c r="F106" s="46">
        <v>4</v>
      </c>
      <c r="G106" s="46" t="str">
        <f>_xlfn.XLOOKUP([1]!Tabla3[[#This Row],[ID]],[1]!Tabla2[ID],[1]!Tabla2[Corregimiento],"NA")</f>
        <v>El Carmen</v>
      </c>
      <c r="H106" s="10">
        <f>_xlfn.XLOOKUP([1]!Tabla3[[#This Row],[LUGAR ENVÍO]],[1]!Tabla9[[Nombre ]],[1]!Tabla9[Distancia],"NA")</f>
        <v>2.1290000000000004</v>
      </c>
      <c r="I106" s="48">
        <f>[1]!Tabla3[[#This Row],[Valor Tran]]/([1]!Tabla3[[#This Row],[DISTANCIA (km)]]*2)</f>
        <v>9394.0817285110352</v>
      </c>
      <c r="J106" s="49"/>
      <c r="K106" s="46">
        <v>1</v>
      </c>
      <c r="L106" s="50">
        <v>40000</v>
      </c>
      <c r="M106" s="50">
        <f>[1]!Tabla3[[#This Row],[VLR. TRANSPORTE]]/[1]!Tabla3[[#This Row],[Numero de Transportes]]</f>
        <v>40000</v>
      </c>
      <c r="N106" s="50">
        <v>1699000</v>
      </c>
      <c r="O106" s="13">
        <f>[1]!Tabla3[[#This Row],[VLR. TOTAL FACT.]]-[1]!Tabla3[[#This Row],[VLR. TRANSPORTE]]</f>
        <v>1659000</v>
      </c>
      <c r="P106" s="46">
        <v>0</v>
      </c>
      <c r="Q106" s="46" t="s">
        <v>22</v>
      </c>
    </row>
    <row r="107" spans="1:17" ht="27.6" thickBot="1" x14ac:dyDescent="0.35">
      <c r="A107" s="20">
        <v>48374</v>
      </c>
      <c r="B107" s="21">
        <v>45983</v>
      </c>
      <c r="C107" s="20" t="s">
        <v>17</v>
      </c>
      <c r="D107" s="20" t="s">
        <v>23</v>
      </c>
      <c r="E107" s="22" t="s">
        <v>146</v>
      </c>
      <c r="F107" s="20">
        <v>2</v>
      </c>
      <c r="G107" s="20" t="str">
        <f>_xlfn.XLOOKUP([1]!Tabla3[[#This Row],[ID]],[1]!Tabla2[ID],[1]!Tabla2[Corregimiento],"NA")</f>
        <v>Borrero Ayerbe</v>
      </c>
      <c r="H107" s="16">
        <f>_xlfn.XLOOKUP([1]!Tabla3[[#This Row],[LUGAR ENVÍO]],[1]!Tabla9[[Nombre ]],[1]!Tabla9[Distancia],"NA")</f>
        <v>1.087</v>
      </c>
      <c r="I107" s="23">
        <f>[1]!Tabla3[[#This Row],[Valor Tran]]/([1]!Tabla3[[#This Row],[DISTANCIA (km)]]*2)</f>
        <v>13799.448022079117</v>
      </c>
      <c r="J107" s="24"/>
      <c r="K107" s="20">
        <v>1</v>
      </c>
      <c r="L107" s="25">
        <v>30000</v>
      </c>
      <c r="M107" s="25">
        <f>[1]!Tabla3[[#This Row],[VLR. TRANSPORTE]]/[1]!Tabla3[[#This Row],[Numero de Transportes]]</f>
        <v>30000</v>
      </c>
      <c r="N107" s="25">
        <v>215400</v>
      </c>
      <c r="O107" s="25">
        <f>[1]!Tabla3[[#This Row],[VLR. TOTAL FACT.]]-[1]!Tabla3[[#This Row],[VLR. TRANSPORTE]]</f>
        <v>185400</v>
      </c>
      <c r="P107" s="20">
        <v>1</v>
      </c>
      <c r="Q107" s="20" t="s">
        <v>77</v>
      </c>
    </row>
    <row r="108" spans="1:17" ht="27.6" thickBot="1" x14ac:dyDescent="0.35">
      <c r="A108" s="46">
        <v>47609</v>
      </c>
      <c r="B108" s="47">
        <v>45974</v>
      </c>
      <c r="C108" s="46" t="s">
        <v>17</v>
      </c>
      <c r="D108" s="46" t="s">
        <v>147</v>
      </c>
      <c r="E108" s="54" t="s">
        <v>146</v>
      </c>
      <c r="F108" s="46">
        <v>2</v>
      </c>
      <c r="G108" s="46" t="str">
        <f>_xlfn.XLOOKUP([1]!Tabla3[[#This Row],[ID]],[1]!Tabla2[ID],[1]!Tabla2[Corregimiento],"NA")</f>
        <v>Borrero Ayerbe</v>
      </c>
      <c r="H108" s="10">
        <f>_xlfn.XLOOKUP([1]!Tabla3[[#This Row],[LUGAR ENVÍO]],[1]!Tabla9[[Nombre ]],[1]!Tabla9[Distancia],"NA")</f>
        <v>1.087</v>
      </c>
      <c r="I108" s="48">
        <f>[1]!Tabla3[[#This Row],[Valor Tran]]/([1]!Tabla3[[#This Row],[DISTANCIA (km)]]*2)</f>
        <v>6899.7240110395587</v>
      </c>
      <c r="J108" s="49"/>
      <c r="K108" s="46">
        <v>1</v>
      </c>
      <c r="L108" s="50">
        <v>15000</v>
      </c>
      <c r="M108" s="50">
        <f>[1]!Tabla3[[#This Row],[VLR. TRANSPORTE]]/[1]!Tabla3[[#This Row],[Numero de Transportes]]</f>
        <v>15000</v>
      </c>
      <c r="N108" s="50">
        <v>300000</v>
      </c>
      <c r="O108" s="13">
        <f>[1]!Tabla3[[#This Row],[VLR. TOTAL FACT.]]-[1]!Tabla3[[#This Row],[VLR. TRANSPORTE]]</f>
        <v>285000</v>
      </c>
      <c r="P108" s="46">
        <v>0</v>
      </c>
      <c r="Q108" s="46" t="s">
        <v>34</v>
      </c>
    </row>
    <row r="109" spans="1:17" ht="27.6" thickBot="1" x14ac:dyDescent="0.35">
      <c r="A109" s="14">
        <v>58886</v>
      </c>
      <c r="B109" s="15">
        <v>45984</v>
      </c>
      <c r="C109" s="14" t="s">
        <v>17</v>
      </c>
      <c r="D109" s="14" t="s">
        <v>134</v>
      </c>
      <c r="E109" s="72" t="s">
        <v>146</v>
      </c>
      <c r="F109" s="14">
        <v>2</v>
      </c>
      <c r="G109" s="14" t="str">
        <f>_xlfn.XLOOKUP([1]!Tabla3[[#This Row],[ID]],[1]!Tabla2[ID],[1]!Tabla2[Corregimiento],"NA")</f>
        <v>Borrero Ayerbe</v>
      </c>
      <c r="H109" s="16">
        <f>_xlfn.XLOOKUP([1]!Tabla3[[#This Row],[LUGAR ENVÍO]],[1]!Tabla9[[Nombre ]],[1]!Tabla9[Distancia],"NA")</f>
        <v>1.087</v>
      </c>
      <c r="I109" s="17">
        <f>[1]!Tabla3[[#This Row],[Valor Tran]]/([1]!Tabla3[[#This Row],[DISTANCIA (km)]]*2)</f>
        <v>22999.080036798528</v>
      </c>
      <c r="J109" s="18"/>
      <c r="K109" s="14">
        <v>1</v>
      </c>
      <c r="L109" s="19">
        <v>50000</v>
      </c>
      <c r="M109" s="19">
        <f>[1]!Tabla3[[#This Row],[VLR. TRANSPORTE]]/[1]!Tabla3[[#This Row],[Numero de Transportes]]</f>
        <v>50000</v>
      </c>
      <c r="N109" s="19">
        <v>728000</v>
      </c>
      <c r="O109" s="19">
        <f>[1]!Tabla3[[#This Row],[VLR. TOTAL FACT.]]-[1]!Tabla3[[#This Row],[VLR. TRANSPORTE]]</f>
        <v>678000</v>
      </c>
      <c r="P109" s="14">
        <v>1</v>
      </c>
      <c r="Q109" s="14" t="s">
        <v>25</v>
      </c>
    </row>
    <row r="110" spans="1:17" ht="27.6" thickBot="1" x14ac:dyDescent="0.35">
      <c r="A110" s="46">
        <v>58727</v>
      </c>
      <c r="B110" s="51">
        <v>46001</v>
      </c>
      <c r="C110" s="46" t="s">
        <v>17</v>
      </c>
      <c r="D110" s="46" t="s">
        <v>97</v>
      </c>
      <c r="E110" s="46" t="s">
        <v>146</v>
      </c>
      <c r="F110" s="46">
        <v>2</v>
      </c>
      <c r="G110" s="46" t="str">
        <f>_xlfn.XLOOKUP([1]!Tabla3[[#This Row],[ID]],[1]!Tabla2[ID],[1]!Tabla2[Corregimiento],"NA")</f>
        <v>Borrero Ayerbe</v>
      </c>
      <c r="H110" s="10">
        <f>_xlfn.XLOOKUP([1]!Tabla3[[#This Row],[LUGAR ENVÍO]],[1]!Tabla9[[Nombre ]],[1]!Tabla9[Distancia],"NA")</f>
        <v>1.087</v>
      </c>
      <c r="I110" s="48">
        <f>[1]!Tabla3[[#This Row],[Valor Tran]]/([1]!Tabla3[[#This Row],[DISTANCIA (km)]]*2)</f>
        <v>22999.080036798528</v>
      </c>
      <c r="J110" s="49"/>
      <c r="K110" s="46">
        <v>1</v>
      </c>
      <c r="L110" s="13">
        <v>50000</v>
      </c>
      <c r="M110" s="50">
        <f>[1]!Tabla3[[#This Row],[VLR. TRANSPORTE]]/[1]!Tabla3[[#This Row],[Numero de Transportes]]</f>
        <v>50000</v>
      </c>
      <c r="N110" s="50">
        <v>1940000</v>
      </c>
      <c r="O110" s="13">
        <f>[1]!Tabla3[[#This Row],[VLR. TOTAL FACT.]]-[1]!Tabla3[[#This Row],[VLR. TRANSPORTE]]</f>
        <v>1890000</v>
      </c>
      <c r="P110" s="46">
        <v>1</v>
      </c>
      <c r="Q110" s="46" t="s">
        <v>34</v>
      </c>
    </row>
    <row r="111" spans="1:17" ht="27.6" thickBot="1" x14ac:dyDescent="0.35">
      <c r="A111" s="14">
        <v>57979</v>
      </c>
      <c r="B111" s="28">
        <v>45974</v>
      </c>
      <c r="C111" s="14" t="s">
        <v>27</v>
      </c>
      <c r="D111" s="14" t="s">
        <v>148</v>
      </c>
      <c r="E111" s="40" t="s">
        <v>149</v>
      </c>
      <c r="F111" s="14">
        <v>2</v>
      </c>
      <c r="G111" s="14" t="str">
        <f>_xlfn.XLOOKUP([1]!Tabla3[[#This Row],[ID]],[1]!Tabla2[ID],[1]!Tabla2[Corregimiento],"NA")</f>
        <v>Borrero Ayerbe</v>
      </c>
      <c r="H111" s="16">
        <f>_xlfn.XLOOKUP([1]!Tabla3[[#This Row],[LUGAR ENVÍO]],[1]!Tabla9[[Nombre ]],[1]!Tabla9[Distancia],"NA")</f>
        <v>1.2480000000000002</v>
      </c>
      <c r="I111" s="17">
        <f>[1]!Tabla3[[#This Row],[Valor Tran]]/([1]!Tabla3[[#This Row],[DISTANCIA (km)]]*2)</f>
        <v>6009.6153846153838</v>
      </c>
      <c r="J111" s="18"/>
      <c r="K111" s="14">
        <v>1</v>
      </c>
      <c r="L111" s="19">
        <v>15000</v>
      </c>
      <c r="M111" s="19">
        <f>[1]!Tabla3[[#This Row],[VLR. TRANSPORTE]]/[1]!Tabla3[[#This Row],[Numero de Transportes]]</f>
        <v>15000</v>
      </c>
      <c r="N111" s="19">
        <v>377800</v>
      </c>
      <c r="O111" s="19">
        <f>[1]!Tabla3[[#This Row],[VLR. TOTAL FACT.]]-[1]!Tabla3[[#This Row],[VLR. TRANSPORTE]]</f>
        <v>362800</v>
      </c>
      <c r="P111" s="14">
        <v>0</v>
      </c>
      <c r="Q111" s="14" t="s">
        <v>22</v>
      </c>
    </row>
    <row r="112" spans="1:17" ht="27.6" thickBot="1" x14ac:dyDescent="0.35">
      <c r="A112" s="46">
        <v>46982</v>
      </c>
      <c r="B112" s="47">
        <v>45968</v>
      </c>
      <c r="C112" s="46" t="s">
        <v>17</v>
      </c>
      <c r="D112" s="46" t="s">
        <v>150</v>
      </c>
      <c r="E112" s="42" t="s">
        <v>149</v>
      </c>
      <c r="F112" s="46">
        <v>2</v>
      </c>
      <c r="G112" s="46" t="str">
        <f>_xlfn.XLOOKUP([1]!Tabla3[[#This Row],[ID]],[1]!Tabla2[ID],[1]!Tabla2[Corregimiento],"NA")</f>
        <v>Borrero Ayerbe</v>
      </c>
      <c r="H112" s="10">
        <f>_xlfn.XLOOKUP([1]!Tabla3[[#This Row],[LUGAR ENVÍO]],[1]!Tabla9[[Nombre ]],[1]!Tabla9[Distancia],"NA")</f>
        <v>1.2480000000000002</v>
      </c>
      <c r="I112" s="48">
        <f>[1]!Tabla3[[#This Row],[Valor Tran]]/([1]!Tabla3[[#This Row],[DISTANCIA (km)]]*2)</f>
        <v>12019.230769230768</v>
      </c>
      <c r="J112" s="49"/>
      <c r="K112" s="46">
        <v>1</v>
      </c>
      <c r="L112" s="50">
        <v>30000</v>
      </c>
      <c r="M112" s="50">
        <f>[1]!Tabla3[[#This Row],[VLR. TRANSPORTE]]/[1]!Tabla3[[#This Row],[Numero de Transportes]]</f>
        <v>30000</v>
      </c>
      <c r="N112" s="50">
        <v>282500</v>
      </c>
      <c r="O112" s="13">
        <f>[1]!Tabla3[[#This Row],[VLR. TOTAL FACT.]]-[1]!Tabla3[[#This Row],[VLR. TRANSPORTE]]</f>
        <v>252500</v>
      </c>
      <c r="P112" s="46">
        <v>0</v>
      </c>
      <c r="Q112" s="46" t="s">
        <v>77</v>
      </c>
    </row>
    <row r="113" spans="1:17" ht="27.6" thickBot="1" x14ac:dyDescent="0.35">
      <c r="A113" s="29">
        <v>56967</v>
      </c>
      <c r="B113" s="30" t="s">
        <v>92</v>
      </c>
      <c r="C113" s="29" t="s">
        <v>17</v>
      </c>
      <c r="D113" s="29" t="s">
        <v>43</v>
      </c>
      <c r="E113" s="74" t="s">
        <v>149</v>
      </c>
      <c r="F113" s="29">
        <v>2</v>
      </c>
      <c r="G113" s="14" t="str">
        <f>_xlfn.XLOOKUP([1]!Tabla3[[#This Row],[ID]],[1]!Tabla2[ID],[1]!Tabla2[Corregimiento],"NA")</f>
        <v>Borrero Ayerbe</v>
      </c>
      <c r="H113" s="16">
        <f>_xlfn.XLOOKUP([1]!Tabla3[[#This Row],[LUGAR ENVÍO]],[1]!Tabla9[[Nombre ]],[1]!Tabla9[Distancia],"NA")</f>
        <v>1.2480000000000002</v>
      </c>
      <c r="I113" s="17">
        <f>[1]!Tabla3[[#This Row],[Valor Tran]]/([1]!Tabla3[[#This Row],[DISTANCIA (km)]]*2)</f>
        <v>16025.641025641024</v>
      </c>
      <c r="J113" s="31"/>
      <c r="K113" s="29">
        <v>1</v>
      </c>
      <c r="L113" s="32">
        <v>40000</v>
      </c>
      <c r="M113" s="32">
        <v>40000</v>
      </c>
      <c r="N113" s="32">
        <v>458500</v>
      </c>
      <c r="O113" s="19">
        <f>[1]!Tabla3[[#This Row],[VLR. TOTAL FACT.]]-[1]!Tabla3[[#This Row],[VLR. TRANSPORTE]]</f>
        <v>418500</v>
      </c>
      <c r="P113" s="29">
        <v>1</v>
      </c>
      <c r="Q113" s="29" t="s">
        <v>22</v>
      </c>
    </row>
    <row r="114" spans="1:17" ht="27.6" thickBot="1" x14ac:dyDescent="0.35">
      <c r="A114" s="46">
        <v>48256</v>
      </c>
      <c r="B114" s="47">
        <v>45982</v>
      </c>
      <c r="C114" s="46" t="s">
        <v>17</v>
      </c>
      <c r="D114" s="46" t="s">
        <v>142</v>
      </c>
      <c r="E114" s="75" t="s">
        <v>149</v>
      </c>
      <c r="F114" s="46">
        <v>2</v>
      </c>
      <c r="G114" s="46" t="str">
        <f>_xlfn.XLOOKUP([1]!Tabla3[[#This Row],[ID]],[1]!Tabla2[ID],[1]!Tabla2[Corregimiento],"NA")</f>
        <v>Borrero Ayerbe</v>
      </c>
      <c r="H114" s="10">
        <f>_xlfn.XLOOKUP([1]!Tabla3[[#This Row],[LUGAR ENVÍO]],[1]!Tabla9[[Nombre ]],[1]!Tabla9[Distancia],"NA")</f>
        <v>1.2480000000000002</v>
      </c>
      <c r="I114" s="48">
        <f>[1]!Tabla3[[#This Row],[Valor Tran]]/([1]!Tabla3[[#This Row],[DISTANCIA (km)]]*2)</f>
        <v>16025.641025641024</v>
      </c>
      <c r="J114" s="49"/>
      <c r="K114" s="46">
        <v>1</v>
      </c>
      <c r="L114" s="50">
        <v>40000</v>
      </c>
      <c r="M114" s="50">
        <f>[1]!Tabla3[[#This Row],[VLR. TRANSPORTE]]/[1]!Tabla3[[#This Row],[Numero de Transportes]]</f>
        <v>40000</v>
      </c>
      <c r="N114" s="50">
        <v>606000</v>
      </c>
      <c r="O114" s="13">
        <f>[1]!Tabla3[[#This Row],[VLR. TOTAL FACT.]]-[1]!Tabla3[[#This Row],[VLR. TRANSPORTE]]</f>
        <v>566000</v>
      </c>
      <c r="P114" s="46">
        <v>1</v>
      </c>
      <c r="Q114" s="46" t="s">
        <v>25</v>
      </c>
    </row>
    <row r="115" spans="1:17" ht="27.6" thickBot="1" x14ac:dyDescent="0.35">
      <c r="A115" s="29">
        <v>57933</v>
      </c>
      <c r="B115" s="30" t="s">
        <v>151</v>
      </c>
      <c r="C115" s="29" t="s">
        <v>17</v>
      </c>
      <c r="D115" s="29" t="s">
        <v>43</v>
      </c>
      <c r="E115" s="41" t="s">
        <v>149</v>
      </c>
      <c r="F115" s="29">
        <v>2</v>
      </c>
      <c r="G115" s="14" t="str">
        <f>_xlfn.XLOOKUP([1]!Tabla3[[#This Row],[ID]],[1]!Tabla2[ID],[1]!Tabla2[Corregimiento],"NA")</f>
        <v>Borrero Ayerbe</v>
      </c>
      <c r="H115" s="16">
        <f>_xlfn.XLOOKUP([1]!Tabla3[[#This Row],[LUGAR ENVÍO]],[1]!Tabla9[[Nombre ]],[1]!Tabla9[Distancia],"NA")</f>
        <v>1.2480000000000002</v>
      </c>
      <c r="I115" s="17">
        <f>[1]!Tabla3[[#This Row],[Valor Tran]]/([1]!Tabla3[[#This Row],[DISTANCIA (km)]]*2)</f>
        <v>16025.641025641024</v>
      </c>
      <c r="J115" s="31"/>
      <c r="K115" s="29">
        <v>1</v>
      </c>
      <c r="L115" s="32">
        <v>40000</v>
      </c>
      <c r="M115" s="32">
        <v>40000</v>
      </c>
      <c r="N115" s="32">
        <v>676500</v>
      </c>
      <c r="O115" s="19">
        <f>[1]!Tabla3[[#This Row],[VLR. TOTAL FACT.]]-[1]!Tabla3[[#This Row],[VLR. TRANSPORTE]]</f>
        <v>636500</v>
      </c>
      <c r="P115" s="29">
        <v>1</v>
      </c>
      <c r="Q115" s="29" t="s">
        <v>22</v>
      </c>
    </row>
    <row r="116" spans="1:17" ht="27.6" thickBot="1" x14ac:dyDescent="0.35">
      <c r="A116" s="46">
        <v>58539</v>
      </c>
      <c r="B116" s="47">
        <v>45978</v>
      </c>
      <c r="C116" s="46" t="s">
        <v>17</v>
      </c>
      <c r="D116" s="46" t="s">
        <v>152</v>
      </c>
      <c r="E116" s="42" t="s">
        <v>153</v>
      </c>
      <c r="F116" s="46">
        <v>2</v>
      </c>
      <c r="G116" s="46" t="str">
        <f>_xlfn.XLOOKUP([1]!Tabla3[[#This Row],[ID]],[1]!Tabla2[ID],[1]!Tabla2[Corregimiento],"NA")</f>
        <v>Borrero Ayerbe</v>
      </c>
      <c r="H116" s="10">
        <f>_xlfn.XLOOKUP([1]!Tabla3[[#This Row],[LUGAR ENVÍO]],[1]!Tabla9[[Nombre ]],[1]!Tabla9[Distancia],"NA")</f>
        <v>0.94400000000000039</v>
      </c>
      <c r="I116" s="48">
        <f>[1]!Tabla3[[#This Row],[Valor Tran]]/([1]!Tabla3[[#This Row],[DISTANCIA (km)]]*2)</f>
        <v>21186.440677966093</v>
      </c>
      <c r="J116" s="49"/>
      <c r="K116" s="46">
        <v>1</v>
      </c>
      <c r="L116" s="13">
        <v>40000</v>
      </c>
      <c r="M116" s="50">
        <f>[1]!Tabla3[[#This Row],[VLR. TRANSPORTE]]/[1]!Tabla3[[#This Row],[Numero de Transportes]]</f>
        <v>40000</v>
      </c>
      <c r="N116" s="50">
        <v>162000</v>
      </c>
      <c r="O116" s="13">
        <f>[1]!Tabla3[[#This Row],[VLR. TOTAL FACT.]]-[1]!Tabla3[[#This Row],[VLR. TRANSPORTE]]</f>
        <v>122000</v>
      </c>
      <c r="P116" s="46">
        <v>1</v>
      </c>
      <c r="Q116" s="46" t="s">
        <v>22</v>
      </c>
    </row>
    <row r="117" spans="1:17" ht="27.6" thickBot="1" x14ac:dyDescent="0.35">
      <c r="A117" s="14">
        <v>57923</v>
      </c>
      <c r="B117" s="28">
        <v>45962</v>
      </c>
      <c r="C117" s="14" t="s">
        <v>27</v>
      </c>
      <c r="D117" s="14" t="s">
        <v>152</v>
      </c>
      <c r="E117" s="42" t="s">
        <v>153</v>
      </c>
      <c r="F117" s="14">
        <v>2</v>
      </c>
      <c r="G117" s="14" t="str">
        <f>_xlfn.XLOOKUP([1]!Tabla3[[#This Row],[ID]],[1]!Tabla2[ID],[1]!Tabla2[Corregimiento],"NA")</f>
        <v>Borrero Ayerbe</v>
      </c>
      <c r="H117" s="16">
        <f>_xlfn.XLOOKUP([1]!Tabla3[[#This Row],[LUGAR ENVÍO]],[1]!Tabla9[[Nombre ]],[1]!Tabla9[Distancia],"NA")</f>
        <v>0.94400000000000039</v>
      </c>
      <c r="I117" s="17">
        <f>[1]!Tabla3[[#This Row],[Valor Tran]]/([1]!Tabla3[[#This Row],[DISTANCIA (km)]]*2)</f>
        <v>21186.440677966093</v>
      </c>
      <c r="J117" s="18"/>
      <c r="K117" s="14">
        <v>1</v>
      </c>
      <c r="L117" s="19">
        <v>40000</v>
      </c>
      <c r="M117" s="19">
        <f>[1]!Tabla3[[#This Row],[VLR. TRANSPORTE]]/[1]!Tabla3[[#This Row],[Numero de Transportes]]</f>
        <v>40000</v>
      </c>
      <c r="N117" s="19">
        <v>341000</v>
      </c>
      <c r="O117" s="19">
        <f>[1]!Tabla3[[#This Row],[VLR. TOTAL FACT.]]-[1]!Tabla3[[#This Row],[VLR. TRANSPORTE]]</f>
        <v>301000</v>
      </c>
      <c r="P117" s="14">
        <v>1</v>
      </c>
      <c r="Q117" s="14" t="s">
        <v>22</v>
      </c>
    </row>
    <row r="118" spans="1:17" ht="27.6" thickBot="1" x14ac:dyDescent="0.35">
      <c r="A118" s="46">
        <v>58656</v>
      </c>
      <c r="B118" s="51">
        <v>46004</v>
      </c>
      <c r="C118" s="46" t="s">
        <v>17</v>
      </c>
      <c r="D118" s="46" t="s">
        <v>150</v>
      </c>
      <c r="E118" s="27" t="s">
        <v>153</v>
      </c>
      <c r="F118" s="46">
        <v>2</v>
      </c>
      <c r="G118" s="46" t="str">
        <f>_xlfn.XLOOKUP([1]!Tabla3[[#This Row],[ID]],[1]!Tabla2[ID],[1]!Tabla2[Corregimiento],"NA")</f>
        <v>Borrero Ayerbe</v>
      </c>
      <c r="H118" s="10">
        <f>_xlfn.XLOOKUP([1]!Tabla3[[#This Row],[LUGAR ENVÍO]],[1]!Tabla9[[Nombre ]],[1]!Tabla9[Distancia],"NA")</f>
        <v>0.94400000000000039</v>
      </c>
      <c r="I118" s="48">
        <f>[1]!Tabla3[[#This Row],[Valor Tran]]/([1]!Tabla3[[#This Row],[DISTANCIA (km)]]*2)</f>
        <v>15889.83050847457</v>
      </c>
      <c r="J118" s="49"/>
      <c r="K118" s="46">
        <v>3</v>
      </c>
      <c r="L118" s="13">
        <v>90000</v>
      </c>
      <c r="M118" s="50">
        <f>[1]!Tabla3[[#This Row],[VLR. TRANSPORTE]]/[1]!Tabla3[[#This Row],[Numero de Transportes]]</f>
        <v>30000</v>
      </c>
      <c r="N118" s="50">
        <v>453000</v>
      </c>
      <c r="O118" s="13">
        <f>[1]!Tabla3[[#This Row],[VLR. TOTAL FACT.]]-[1]!Tabla3[[#This Row],[VLR. TRANSPORTE]]</f>
        <v>363000</v>
      </c>
      <c r="P118" s="46">
        <v>1</v>
      </c>
      <c r="Q118" s="46" t="s">
        <v>22</v>
      </c>
    </row>
    <row r="119" spans="1:17" ht="27.6" thickBot="1" x14ac:dyDescent="0.35">
      <c r="A119" s="14">
        <v>58771</v>
      </c>
      <c r="B119" s="28">
        <v>45981</v>
      </c>
      <c r="C119" s="14" t="s">
        <v>27</v>
      </c>
      <c r="D119" s="14" t="s">
        <v>154</v>
      </c>
      <c r="E119" s="40" t="s">
        <v>155</v>
      </c>
      <c r="F119" s="14">
        <v>2</v>
      </c>
      <c r="G119" s="14" t="str">
        <f>_xlfn.XLOOKUP([1]!Tabla3[[#This Row],[ID]],[1]!Tabla2[ID],[1]!Tabla2[Corregimiento],"NA")</f>
        <v>Borrero Ayerbe</v>
      </c>
      <c r="H119" s="16">
        <f>_xlfn.XLOOKUP([1]!Tabla3[[#This Row],[LUGAR ENVÍO]],[1]!Tabla9[[Nombre ]],[1]!Tabla9[Distancia],"NA")</f>
        <v>0.93500000000000016</v>
      </c>
      <c r="I119" s="17">
        <f>[1]!Tabla3[[#This Row],[Valor Tran]]/([1]!Tabla3[[#This Row],[DISTANCIA (km)]]*2)</f>
        <v>16042.780748663099</v>
      </c>
      <c r="J119" s="18"/>
      <c r="K119" s="14">
        <v>1</v>
      </c>
      <c r="L119" s="19">
        <v>30000</v>
      </c>
      <c r="M119" s="19">
        <f>[1]!Tabla3[[#This Row],[VLR. TRANSPORTE]]/[1]!Tabla3[[#This Row],[Numero de Transportes]]</f>
        <v>30000</v>
      </c>
      <c r="N119" s="19">
        <v>234000</v>
      </c>
      <c r="O119" s="19">
        <f>[1]!Tabla3[[#This Row],[VLR. TOTAL FACT.]]-[1]!Tabla3[[#This Row],[VLR. TRANSPORTE]]</f>
        <v>204000</v>
      </c>
      <c r="P119" s="14">
        <v>1</v>
      </c>
      <c r="Q119" s="14" t="s">
        <v>22</v>
      </c>
    </row>
    <row r="120" spans="1:17" ht="27.6" thickBot="1" x14ac:dyDescent="0.35">
      <c r="A120" s="58">
        <v>50499</v>
      </c>
      <c r="B120" s="59" t="s">
        <v>156</v>
      </c>
      <c r="C120" s="58" t="s">
        <v>17</v>
      </c>
      <c r="D120" s="58" t="s">
        <v>73</v>
      </c>
      <c r="E120" s="44" t="s">
        <v>155</v>
      </c>
      <c r="F120" s="58">
        <v>2</v>
      </c>
      <c r="G120" s="46" t="str">
        <f>_xlfn.XLOOKUP([1]!Tabla3[[#This Row],[ID]],[1]!Tabla2[ID],[1]!Tabla2[Corregimiento],"NA")</f>
        <v>Borrero Ayerbe</v>
      </c>
      <c r="H120" s="10">
        <f>_xlfn.XLOOKUP([1]!Tabla3[[#This Row],[LUGAR ENVÍO]],[1]!Tabla9[[Nombre ]],[1]!Tabla9[Distancia],"NA")</f>
        <v>0.93500000000000016</v>
      </c>
      <c r="I120" s="48">
        <f>[1]!Tabla3[[#This Row],[Valor Tran]]/([1]!Tabla3[[#This Row],[DISTANCIA (km)]]*2)</f>
        <v>21390.3743315508</v>
      </c>
      <c r="J120" s="60"/>
      <c r="K120" s="58">
        <v>1</v>
      </c>
      <c r="L120" s="61">
        <v>40000</v>
      </c>
      <c r="M120" s="61">
        <v>40000</v>
      </c>
      <c r="N120" s="61">
        <v>259800</v>
      </c>
      <c r="O120" s="13">
        <f>[1]!Tabla3[[#This Row],[VLR. TOTAL FACT.]]-[1]!Tabla3[[#This Row],[VLR. TRANSPORTE]]</f>
        <v>219800</v>
      </c>
      <c r="P120" s="58">
        <v>1</v>
      </c>
      <c r="Q120" s="58" t="s">
        <v>22</v>
      </c>
    </row>
    <row r="121" spans="1:17" ht="27.6" thickBot="1" x14ac:dyDescent="0.35">
      <c r="A121" s="20">
        <v>52272</v>
      </c>
      <c r="B121" s="21">
        <v>45966</v>
      </c>
      <c r="C121" s="20" t="s">
        <v>27</v>
      </c>
      <c r="D121" s="20" t="s">
        <v>157</v>
      </c>
      <c r="E121" s="20" t="s">
        <v>158</v>
      </c>
      <c r="F121" s="20">
        <v>2</v>
      </c>
      <c r="G121" s="20" t="str">
        <f>_xlfn.XLOOKUP([1]!Tabla3[[#This Row],[ID]],[1]!Tabla2[ID],[1]!Tabla2[Corregimiento],"NA")</f>
        <v>Borrero Ayerbe</v>
      </c>
      <c r="H121" s="16">
        <f>_xlfn.XLOOKUP([1]!Tabla3[[#This Row],[LUGAR ENVÍO]],[1]!Tabla9[[Nombre ]],[1]!Tabla9[Distancia],"NA")</f>
        <v>1.4669269999999999</v>
      </c>
      <c r="I121" s="66">
        <f>[1]!Tabla3[[#This Row],[Valor Tran]]/([1]!Tabla3[[#This Row],[DISTANCIA (km)]]*2)</f>
        <v>6816.9718056863094</v>
      </c>
      <c r="J121" s="24"/>
      <c r="K121" s="20">
        <v>1</v>
      </c>
      <c r="L121" s="25">
        <v>20000</v>
      </c>
      <c r="M121" s="25">
        <f>[1]!Tabla3[[#This Row],[VLR. TRANSPORTE]]/[1]!Tabla3[[#This Row],[Numero de Transportes]]</f>
        <v>20000</v>
      </c>
      <c r="N121" s="25">
        <v>386650</v>
      </c>
      <c r="O121" s="25">
        <f>[1]!Tabla3[[#This Row],[VLR. TOTAL FACT.]]-[1]!Tabla3[[#This Row],[VLR. TRANSPORTE]]</f>
        <v>366650</v>
      </c>
      <c r="P121" s="20">
        <v>0</v>
      </c>
      <c r="Q121" s="20" t="s">
        <v>22</v>
      </c>
    </row>
    <row r="122" spans="1:17" ht="27.6" thickBot="1" x14ac:dyDescent="0.35">
      <c r="A122" s="46">
        <v>58857</v>
      </c>
      <c r="B122" s="51">
        <v>45995</v>
      </c>
      <c r="C122" s="46" t="s">
        <v>17</v>
      </c>
      <c r="D122" s="46" t="s">
        <v>159</v>
      </c>
      <c r="E122" s="46" t="s">
        <v>158</v>
      </c>
      <c r="F122" s="46">
        <v>2</v>
      </c>
      <c r="G122" s="46" t="str">
        <f>_xlfn.XLOOKUP([1]!Tabla3[[#This Row],[ID]],[1]!Tabla2[ID],[1]!Tabla2[Corregimiento],"NA")</f>
        <v>Borrero Ayerbe</v>
      </c>
      <c r="H122" s="10">
        <f>_xlfn.XLOOKUP([1]!Tabla3[[#This Row],[LUGAR ENVÍO]],[1]!Tabla9[[Nombre ]],[1]!Tabla9[Distancia],"NA")</f>
        <v>1.4669269999999999</v>
      </c>
      <c r="I122" s="48">
        <f>[1]!Tabla3[[#This Row],[Valor Tran]]/([1]!Tabla3[[#This Row],[DISTANCIA (km)]]*2)</f>
        <v>13633.943611372619</v>
      </c>
      <c r="J122" s="49"/>
      <c r="K122" s="46">
        <v>3</v>
      </c>
      <c r="L122" s="50">
        <v>120000</v>
      </c>
      <c r="M122" s="50">
        <f>[1]!Tabla3[[#This Row],[VLR. TRANSPORTE]]/[1]!Tabla3[[#This Row],[Numero de Transportes]]</f>
        <v>40000</v>
      </c>
      <c r="N122" s="50">
        <v>720000</v>
      </c>
      <c r="O122" s="13">
        <f>[1]!Tabla3[[#This Row],[VLR. TOTAL FACT.]]-[1]!Tabla3[[#This Row],[VLR. TRANSPORTE]]</f>
        <v>600000</v>
      </c>
      <c r="P122" s="46">
        <v>1</v>
      </c>
      <c r="Q122" s="46" t="s">
        <v>25</v>
      </c>
    </row>
    <row r="123" spans="1:17" ht="27.6" thickBot="1" x14ac:dyDescent="0.35">
      <c r="A123" s="14">
        <v>58682</v>
      </c>
      <c r="B123" s="15">
        <v>46006</v>
      </c>
      <c r="C123" s="14" t="s">
        <v>17</v>
      </c>
      <c r="D123" s="14" t="s">
        <v>62</v>
      </c>
      <c r="E123" s="14" t="s">
        <v>158</v>
      </c>
      <c r="F123" s="14">
        <v>2</v>
      </c>
      <c r="G123" s="14" t="str">
        <f>_xlfn.XLOOKUP([1]!Tabla3[[#This Row],[ID]],[1]!Tabla2[ID],[1]!Tabla2[Corregimiento],"NA")</f>
        <v>Borrero Ayerbe</v>
      </c>
      <c r="H123" s="16">
        <f>_xlfn.XLOOKUP([1]!Tabla3[[#This Row],[LUGAR ENVÍO]],[1]!Tabla9[[Nombre ]],[1]!Tabla9[Distancia],"NA")</f>
        <v>1.4669269999999999</v>
      </c>
      <c r="I123" s="17">
        <f>[1]!Tabla3[[#This Row],[Valor Tran]]/([1]!Tabla3[[#This Row],[DISTANCIA (km)]]*2)</f>
        <v>17042.429514215775</v>
      </c>
      <c r="J123" s="18"/>
      <c r="K123" s="14">
        <v>2</v>
      </c>
      <c r="L123" s="19">
        <v>100000</v>
      </c>
      <c r="M123" s="19">
        <f>[1]!Tabla3[[#This Row],[VLR. TRANSPORTE]]/[1]!Tabla3[[#This Row],[Numero de Transportes]]</f>
        <v>50000</v>
      </c>
      <c r="N123" s="19">
        <v>806000</v>
      </c>
      <c r="O123" s="19">
        <f>[1]!Tabla3[[#This Row],[VLR. TOTAL FACT.]]-[1]!Tabla3[[#This Row],[VLR. TRANSPORTE]]</f>
        <v>706000</v>
      </c>
      <c r="P123" s="14">
        <v>1</v>
      </c>
      <c r="Q123" s="14" t="s">
        <v>22</v>
      </c>
    </row>
    <row r="124" spans="1:17" ht="27.6" thickBot="1" x14ac:dyDescent="0.35">
      <c r="A124" s="46">
        <v>58826</v>
      </c>
      <c r="B124" s="26">
        <v>45985</v>
      </c>
      <c r="C124" s="46" t="s">
        <v>27</v>
      </c>
      <c r="D124" s="46" t="s">
        <v>160</v>
      </c>
      <c r="E124" s="27" t="s">
        <v>158</v>
      </c>
      <c r="F124" s="46">
        <v>2</v>
      </c>
      <c r="G124" s="46" t="str">
        <f>_xlfn.XLOOKUP([1]!Tabla3[[#This Row],[ID]],[1]!Tabla2[ID],[1]!Tabla2[Corregimiento],"NA")</f>
        <v>Borrero Ayerbe</v>
      </c>
      <c r="H124" s="10">
        <f>_xlfn.XLOOKUP([1]!Tabla3[[#This Row],[LUGAR ENVÍO]],[1]!Tabla9[[Nombre ]],[1]!Tabla9[Distancia],"NA")</f>
        <v>1.4669269999999999</v>
      </c>
      <c r="I124" s="48">
        <f>[1]!Tabla3[[#This Row],[Valor Tran]]/([1]!Tabla3[[#This Row],[DISTANCIA (km)]]*2)</f>
        <v>6816.9718056863094</v>
      </c>
      <c r="J124" s="49"/>
      <c r="K124" s="46">
        <v>2</v>
      </c>
      <c r="L124" s="50">
        <v>40000</v>
      </c>
      <c r="M124" s="50">
        <f>[1]!Tabla3[[#This Row],[VLR. TRANSPORTE]]/[1]!Tabla3[[#This Row],[Numero de Transportes]]</f>
        <v>20000</v>
      </c>
      <c r="N124" s="50">
        <v>1882000</v>
      </c>
      <c r="O124" s="13">
        <f>[1]!Tabla3[[#This Row],[VLR. TOTAL FACT.]]-[1]!Tabla3[[#This Row],[VLR. TRANSPORTE]]</f>
        <v>1842000</v>
      </c>
      <c r="P124" s="46">
        <v>1</v>
      </c>
      <c r="Q124" s="46" t="s">
        <v>25</v>
      </c>
    </row>
    <row r="125" spans="1:17" ht="27.6" thickBot="1" x14ac:dyDescent="0.35">
      <c r="A125" s="14">
        <v>58827</v>
      </c>
      <c r="B125" s="15">
        <v>45992</v>
      </c>
      <c r="C125" s="14" t="s">
        <v>27</v>
      </c>
      <c r="D125" s="14" t="s">
        <v>85</v>
      </c>
      <c r="E125" s="38" t="s">
        <v>158</v>
      </c>
      <c r="F125" s="14">
        <v>2</v>
      </c>
      <c r="G125" s="14" t="str">
        <f>_xlfn.XLOOKUP([1]!Tabla3[[#This Row],[ID]],[1]!Tabla2[ID],[1]!Tabla2[Corregimiento],"NA")</f>
        <v>Borrero Ayerbe</v>
      </c>
      <c r="H125" s="16">
        <f>_xlfn.XLOOKUP([1]!Tabla3[[#This Row],[LUGAR ENVÍO]],[1]!Tabla9[[Nombre ]],[1]!Tabla9[Distancia],"NA")</f>
        <v>1.4669269999999999</v>
      </c>
      <c r="I125" s="17">
        <f>[1]!Tabla3[[#This Row],[Valor Tran]]/([1]!Tabla3[[#This Row],[DISTANCIA (km)]]*2)</f>
        <v>10225.457708529464</v>
      </c>
      <c r="J125" s="18"/>
      <c r="K125" s="14">
        <v>2</v>
      </c>
      <c r="L125" s="19">
        <v>60000</v>
      </c>
      <c r="M125" s="19">
        <f>[1]!Tabla3[[#This Row],[VLR. TRANSPORTE]]/[1]!Tabla3[[#This Row],[Numero de Transportes]]</f>
        <v>30000</v>
      </c>
      <c r="N125" s="19">
        <v>3415000</v>
      </c>
      <c r="O125" s="19">
        <f>[1]!Tabla3[[#This Row],[VLR. TOTAL FACT.]]-[1]!Tabla3[[#This Row],[VLR. TRANSPORTE]]</f>
        <v>3355000</v>
      </c>
      <c r="P125" s="14">
        <v>1</v>
      </c>
      <c r="Q125" s="14" t="s">
        <v>22</v>
      </c>
    </row>
    <row r="126" spans="1:17" ht="15" thickBot="1" x14ac:dyDescent="0.35">
      <c r="A126" s="46">
        <v>57925</v>
      </c>
      <c r="B126" s="47">
        <v>45967</v>
      </c>
      <c r="C126" s="46" t="s">
        <v>17</v>
      </c>
      <c r="D126" s="46" t="s">
        <v>161</v>
      </c>
      <c r="E126" s="54" t="s">
        <v>162</v>
      </c>
      <c r="F126" s="46">
        <v>4</v>
      </c>
      <c r="G126" s="46" t="str">
        <f>_xlfn.XLOOKUP([1]!Tabla3[[#This Row],[ID]],[1]!Tabla2[ID],[1]!Tabla2[Corregimiento],"NA")</f>
        <v>El Carmen</v>
      </c>
      <c r="H126" s="10">
        <f>_xlfn.XLOOKUP([1]!Tabla3[[#This Row],[LUGAR ENVÍO]],[1]!Tabla9[[Nombre ]],[1]!Tabla9[Distancia],"NA")</f>
        <v>5.2639999999999967</v>
      </c>
      <c r="I126" s="48">
        <f>[1]!Tabla3[[#This Row],[Valor Tran]]/([1]!Tabla3[[#This Row],[DISTANCIA (km)]]*2)</f>
        <v>3799.3920972644401</v>
      </c>
      <c r="J126" s="49"/>
      <c r="K126" s="46">
        <v>1</v>
      </c>
      <c r="L126" s="50">
        <v>40000</v>
      </c>
      <c r="M126" s="50">
        <f>[1]!Tabla3[[#This Row],[VLR. TRANSPORTE]]/[1]!Tabla3[[#This Row],[Numero de Transportes]]</f>
        <v>40000</v>
      </c>
      <c r="N126" s="50">
        <v>169000</v>
      </c>
      <c r="O126" s="13">
        <f>[1]!Tabla3[[#This Row],[VLR. TOTAL FACT.]]-[1]!Tabla3[[#This Row],[VLR. TRANSPORTE]]</f>
        <v>129000</v>
      </c>
      <c r="P126" s="46">
        <v>1</v>
      </c>
      <c r="Q126" s="46" t="s">
        <v>34</v>
      </c>
    </row>
    <row r="127" spans="1:17" ht="27.6" thickBot="1" x14ac:dyDescent="0.35">
      <c r="A127" s="29">
        <v>50775</v>
      </c>
      <c r="B127" s="30" t="s">
        <v>37</v>
      </c>
      <c r="C127" s="29" t="s">
        <v>17</v>
      </c>
      <c r="D127" s="29" t="s">
        <v>40</v>
      </c>
      <c r="E127" s="41" t="s">
        <v>163</v>
      </c>
      <c r="F127" s="29">
        <v>4</v>
      </c>
      <c r="G127" s="14" t="str">
        <f>_xlfn.XLOOKUP([1]!Tabla3[[#This Row],[ID]],[1]!Tabla2[ID],[1]!Tabla2[Corregimiento],"NA")</f>
        <v>El Carmen</v>
      </c>
      <c r="H127" s="16">
        <f>_xlfn.XLOOKUP([1]!Tabla3[[#This Row],[LUGAR ENVÍO]],[1]!Tabla9[[Nombre ]],[1]!Tabla9[Distancia],"NA")</f>
        <v>5.2639999999999967</v>
      </c>
      <c r="I127" s="17">
        <f>[1]!Tabla3[[#This Row],[Valor Tran]]/([1]!Tabla3[[#This Row],[DISTANCIA (km)]]*2)</f>
        <v>3324.4680851063849</v>
      </c>
      <c r="J127" s="31"/>
      <c r="K127" s="29">
        <v>1</v>
      </c>
      <c r="L127" s="32">
        <v>35000</v>
      </c>
      <c r="M127" s="32">
        <v>35000</v>
      </c>
      <c r="N127" s="32">
        <v>192600</v>
      </c>
      <c r="O127" s="19">
        <f>[1]!Tabla3[[#This Row],[VLR. TOTAL FACT.]]-[1]!Tabla3[[#This Row],[VLR. TRANSPORTE]]</f>
        <v>157600</v>
      </c>
      <c r="P127" s="29">
        <v>1</v>
      </c>
      <c r="Q127" s="29" t="s">
        <v>25</v>
      </c>
    </row>
    <row r="128" spans="1:17" ht="27.6" thickBot="1" x14ac:dyDescent="0.35">
      <c r="A128" s="58">
        <v>59099</v>
      </c>
      <c r="B128" s="59" t="s">
        <v>164</v>
      </c>
      <c r="C128" s="58" t="s">
        <v>17</v>
      </c>
      <c r="D128" s="58" t="s">
        <v>36</v>
      </c>
      <c r="E128" s="58" t="s">
        <v>163</v>
      </c>
      <c r="F128" s="58">
        <v>4</v>
      </c>
      <c r="G128" s="46" t="str">
        <f>_xlfn.XLOOKUP([1]!Tabla3[[#This Row],[ID]],[1]!Tabla2[ID],[1]!Tabla2[Corregimiento],"NA")</f>
        <v>El Carmen</v>
      </c>
      <c r="H128" s="10">
        <f>_xlfn.XLOOKUP([1]!Tabla3[[#This Row],[LUGAR ENVÍO]],[1]!Tabla9[[Nombre ]],[1]!Tabla9[Distancia],"NA")</f>
        <v>5.2639999999999967</v>
      </c>
      <c r="I128" s="48">
        <f>[1]!Tabla3[[#This Row],[Valor Tran]]/([1]!Tabla3[[#This Row],[DISTANCIA (km)]]*2)</f>
        <v>3799.3920972644401</v>
      </c>
      <c r="J128" s="60"/>
      <c r="K128" s="58">
        <v>1</v>
      </c>
      <c r="L128" s="61">
        <v>40000</v>
      </c>
      <c r="M128" s="61">
        <v>40000</v>
      </c>
      <c r="N128" s="61">
        <v>244400</v>
      </c>
      <c r="O128" s="13">
        <f>[1]!Tabla3[[#This Row],[VLR. TOTAL FACT.]]-[1]!Tabla3[[#This Row],[VLR. TRANSPORTE]]</f>
        <v>204400</v>
      </c>
      <c r="P128" s="58">
        <v>1</v>
      </c>
      <c r="Q128" s="58" t="s">
        <v>22</v>
      </c>
    </row>
    <row r="129" spans="1:17" ht="27.6" thickBot="1" x14ac:dyDescent="0.35">
      <c r="A129" s="14">
        <v>58804</v>
      </c>
      <c r="B129" s="15">
        <v>45981</v>
      </c>
      <c r="C129" s="14" t="s">
        <v>27</v>
      </c>
      <c r="D129" s="14" t="s">
        <v>165</v>
      </c>
      <c r="E129" s="14" t="s">
        <v>163</v>
      </c>
      <c r="F129" s="14">
        <v>4</v>
      </c>
      <c r="G129" s="14" t="str">
        <f>_xlfn.XLOOKUP([1]!Tabla3[[#This Row],[ID]],[1]!Tabla2[ID],[1]!Tabla2[Corregimiento],"NA")</f>
        <v>El Carmen</v>
      </c>
      <c r="H129" s="16">
        <f>_xlfn.XLOOKUP([1]!Tabla3[[#This Row],[LUGAR ENVÍO]],[1]!Tabla9[[Nombre ]],[1]!Tabla9[Distancia],"NA")</f>
        <v>5.2639999999999967</v>
      </c>
      <c r="I129" s="17">
        <f>[1]!Tabla3[[#This Row],[Valor Tran]]/([1]!Tabla3[[#This Row],[DISTANCIA (km)]]*2)</f>
        <v>5699.0881458966605</v>
      </c>
      <c r="J129" s="18"/>
      <c r="K129" s="14">
        <v>1</v>
      </c>
      <c r="L129" s="19">
        <v>60000</v>
      </c>
      <c r="M129" s="19">
        <f>[1]!Tabla3[[#This Row],[VLR. TRANSPORTE]]/[1]!Tabla3[[#This Row],[Numero de Transportes]]</f>
        <v>60000</v>
      </c>
      <c r="N129" s="19">
        <v>2908000</v>
      </c>
      <c r="O129" s="19">
        <f>[1]!Tabla3[[#This Row],[VLR. TOTAL FACT.]]-[1]!Tabla3[[#This Row],[VLR. TRANSPORTE]]</f>
        <v>2848000</v>
      </c>
      <c r="P129" s="14">
        <v>1</v>
      </c>
      <c r="Q129" s="14" t="s">
        <v>22</v>
      </c>
    </row>
    <row r="130" spans="1:17" ht="15" thickBot="1" x14ac:dyDescent="0.35">
      <c r="A130" s="46">
        <v>58584</v>
      </c>
      <c r="B130" s="47">
        <v>45979</v>
      </c>
      <c r="C130" s="46" t="s">
        <v>17</v>
      </c>
      <c r="D130" s="46" t="s">
        <v>40</v>
      </c>
      <c r="E130" s="54" t="s">
        <v>166</v>
      </c>
      <c r="F130" s="46">
        <v>4</v>
      </c>
      <c r="G130" s="46" t="str">
        <f>_xlfn.XLOOKUP([1]!Tabla3[[#This Row],[ID]],[1]!Tabla2[ID],[1]!Tabla2[Corregimiento],"NA")</f>
        <v>El Carmen</v>
      </c>
      <c r="H130" s="10">
        <f>_xlfn.XLOOKUP([1]!Tabla3[[#This Row],[LUGAR ENVÍO]],[1]!Tabla9[[Nombre ]],[1]!Tabla9[Distancia],"NA")</f>
        <v>2.0910000000000002</v>
      </c>
      <c r="I130" s="48">
        <f>[1]!Tabla3[[#This Row],[Valor Tran]]/([1]!Tabla3[[#This Row],[DISTANCIA (km)]]*2)</f>
        <v>9564.8015303682441</v>
      </c>
      <c r="J130" s="49"/>
      <c r="K130" s="46">
        <v>1</v>
      </c>
      <c r="L130" s="50">
        <v>40000</v>
      </c>
      <c r="M130" s="50">
        <f>[1]!Tabla3[[#This Row],[VLR. TRANSPORTE]]/[1]!Tabla3[[#This Row],[Numero de Transportes]]</f>
        <v>40000</v>
      </c>
      <c r="N130" s="50">
        <v>396000</v>
      </c>
      <c r="O130" s="13">
        <f>[1]!Tabla3[[#This Row],[VLR. TOTAL FACT.]]-[1]!Tabla3[[#This Row],[VLR. TRANSPORTE]]</f>
        <v>356000</v>
      </c>
      <c r="P130" s="46">
        <v>0</v>
      </c>
      <c r="Q130" s="46" t="s">
        <v>34</v>
      </c>
    </row>
    <row r="131" spans="1:17" ht="27.6" thickBot="1" x14ac:dyDescent="0.35">
      <c r="A131" s="14">
        <v>30535</v>
      </c>
      <c r="B131" s="28">
        <v>45989</v>
      </c>
      <c r="C131" s="14" t="s">
        <v>17</v>
      </c>
      <c r="D131" s="14" t="s">
        <v>23</v>
      </c>
      <c r="E131" s="14" t="s">
        <v>167</v>
      </c>
      <c r="F131" s="14">
        <v>2</v>
      </c>
      <c r="G131" s="14" t="str">
        <f>_xlfn.XLOOKUP([1]!Tabla3[[#This Row],[ID]],[1]!Tabla2[ID],[1]!Tabla2[Corregimiento],"NA")</f>
        <v>Borrero Ayerbe</v>
      </c>
      <c r="H131" s="16">
        <f>_xlfn.XLOOKUP([1]!Tabla3[[#This Row],[LUGAR ENVÍO]],[1]!Tabla9[[Nombre ]],[1]!Tabla9[Distancia],"NA")</f>
        <v>1.3212069999999998</v>
      </c>
      <c r="I131" s="17">
        <f>[1]!Tabla3[[#This Row],[Valor Tran]]/([1]!Tabla3[[#This Row],[DISTANCIA (km)]]*2)</f>
        <v>11353.255016057288</v>
      </c>
      <c r="J131" s="18"/>
      <c r="K131" s="14">
        <v>1</v>
      </c>
      <c r="L131" s="19">
        <v>30000</v>
      </c>
      <c r="M131" s="19">
        <f>[1]!Tabla3[[#This Row],[VLR. TRANSPORTE]]/[1]!Tabla3[[#This Row],[Numero de Transportes]]</f>
        <v>30000</v>
      </c>
      <c r="N131" s="19">
        <v>1486900</v>
      </c>
      <c r="O131" s="19">
        <f>[1]!Tabla3[[#This Row],[VLR. TOTAL FACT.]]-[1]!Tabla3[[#This Row],[VLR. TRANSPORTE]]</f>
        <v>1456900</v>
      </c>
      <c r="P131" s="14">
        <v>0</v>
      </c>
      <c r="Q131" s="14" t="s">
        <v>49</v>
      </c>
    </row>
    <row r="132" spans="1:17" ht="27.6" thickBot="1" x14ac:dyDescent="0.35">
      <c r="A132" s="46">
        <v>58666</v>
      </c>
      <c r="B132" s="51">
        <v>45983</v>
      </c>
      <c r="C132" s="46" t="s">
        <v>17</v>
      </c>
      <c r="D132" s="46" t="s">
        <v>168</v>
      </c>
      <c r="E132" s="27" t="s">
        <v>167</v>
      </c>
      <c r="F132" s="46">
        <v>2</v>
      </c>
      <c r="G132" s="46" t="str">
        <f>_xlfn.XLOOKUP([1]!Tabla3[[#This Row],[ID]],[1]!Tabla2[ID],[1]!Tabla2[Corregimiento],"NA")</f>
        <v>Borrero Ayerbe</v>
      </c>
      <c r="H132" s="10">
        <f>_xlfn.XLOOKUP([1]!Tabla3[[#This Row],[LUGAR ENVÍO]],[1]!Tabla9[[Nombre ]],[1]!Tabla9[Distancia],"NA")</f>
        <v>1.3212069999999998</v>
      </c>
      <c r="I132" s="48">
        <f>[1]!Tabla3[[#This Row],[Valor Tran]]/([1]!Tabla3[[#This Row],[DISTANCIA (km)]]*2)</f>
        <v>5676.6275080286441</v>
      </c>
      <c r="J132" s="49"/>
      <c r="K132" s="46">
        <v>1</v>
      </c>
      <c r="L132" s="50">
        <v>15000</v>
      </c>
      <c r="M132" s="50">
        <f>[1]!Tabla3[[#This Row],[VLR. TRANSPORTE]]/[1]!Tabla3[[#This Row],[Numero de Transportes]]</f>
        <v>15000</v>
      </c>
      <c r="N132" s="50">
        <v>3078000</v>
      </c>
      <c r="O132" s="13">
        <f>[1]!Tabla3[[#This Row],[VLR. TOTAL FACT.]]-[1]!Tabla3[[#This Row],[VLR. TRANSPORTE]]</f>
        <v>3063000</v>
      </c>
      <c r="P132" s="46">
        <v>1</v>
      </c>
      <c r="Q132" s="46" t="s">
        <v>22</v>
      </c>
    </row>
    <row r="133" spans="1:17" ht="27.6" thickBot="1" x14ac:dyDescent="0.35">
      <c r="A133" s="14">
        <v>58703</v>
      </c>
      <c r="B133" s="15">
        <v>45986</v>
      </c>
      <c r="C133" s="14" t="s">
        <v>17</v>
      </c>
      <c r="D133" s="14" t="s">
        <v>91</v>
      </c>
      <c r="E133" s="14" t="s">
        <v>167</v>
      </c>
      <c r="F133" s="14">
        <v>2</v>
      </c>
      <c r="G133" s="14" t="str">
        <f>_xlfn.XLOOKUP([1]!Tabla3[[#This Row],[ID]],[1]!Tabla2[ID],[1]!Tabla2[Corregimiento],"NA")</f>
        <v>Borrero Ayerbe</v>
      </c>
      <c r="H133" s="16">
        <f>_xlfn.XLOOKUP([1]!Tabla3[[#This Row],[LUGAR ENVÍO]],[1]!Tabla9[[Nombre ]],[1]!Tabla9[Distancia],"NA")</f>
        <v>1.3212069999999998</v>
      </c>
      <c r="I133" s="17">
        <f>[1]!Tabla3[[#This Row],[Valor Tran]]/([1]!Tabla3[[#This Row],[DISTANCIA (km)]]*2)</f>
        <v>7568.8366773715261</v>
      </c>
      <c r="J133" s="18"/>
      <c r="K133" s="14">
        <v>1</v>
      </c>
      <c r="L133" s="19">
        <v>20000</v>
      </c>
      <c r="M133" s="19">
        <f>[1]!Tabla3[[#This Row],[VLR. TRANSPORTE]]/[1]!Tabla3[[#This Row],[Numero de Transportes]]</f>
        <v>20000</v>
      </c>
      <c r="N133" s="19">
        <v>3724000</v>
      </c>
      <c r="O133" s="19">
        <f>[1]!Tabla3[[#This Row],[VLR. TOTAL FACT.]]-[1]!Tabla3[[#This Row],[VLR. TRANSPORTE]]</f>
        <v>3704000</v>
      </c>
      <c r="P133" s="14">
        <v>1</v>
      </c>
      <c r="Q133" s="14" t="s">
        <v>34</v>
      </c>
    </row>
    <row r="134" spans="1:17" ht="27.6" thickBot="1" x14ac:dyDescent="0.35">
      <c r="A134" s="46">
        <v>47566</v>
      </c>
      <c r="B134" s="47">
        <v>45974</v>
      </c>
      <c r="C134" s="46" t="s">
        <v>17</v>
      </c>
      <c r="D134" s="46" t="s">
        <v>169</v>
      </c>
      <c r="E134" s="75" t="s">
        <v>170</v>
      </c>
      <c r="F134" s="46">
        <v>6</v>
      </c>
      <c r="G134" s="46" t="str">
        <f>_xlfn.XLOOKUP([1]!Tabla3[[#This Row],[ID]],[1]!Tabla2[ID],[1]!Tabla2[Corregimiento],"NA")</f>
        <v>El Limonar</v>
      </c>
      <c r="H134" s="10">
        <f>_xlfn.XLOOKUP([1]!Tabla3[[#This Row],[LUGAR ENVÍO]],[1]!Tabla9[[Nombre ]],[1]!Tabla9[Distancia],"NA")</f>
        <v>9.6076130000000024</v>
      </c>
      <c r="I134" s="48">
        <f>[1]!Tabla3[[#This Row],[Valor Tran]]/([1]!Tabla3[[#This Row],[DISTANCIA (km)]]*2)</f>
        <v>1561.26188679748</v>
      </c>
      <c r="J134" s="49"/>
      <c r="K134" s="46">
        <v>1</v>
      </c>
      <c r="L134" s="50">
        <v>30000</v>
      </c>
      <c r="M134" s="50">
        <f>[1]!Tabla3[[#This Row],[VLR. TRANSPORTE]]/[1]!Tabla3[[#This Row],[Numero de Transportes]]</f>
        <v>30000</v>
      </c>
      <c r="N134" s="50">
        <v>372000</v>
      </c>
      <c r="O134" s="13">
        <f>[1]!Tabla3[[#This Row],[VLR. TOTAL FACT.]]-[1]!Tabla3[[#This Row],[VLR. TRANSPORTE]]</f>
        <v>342000</v>
      </c>
      <c r="P134" s="46">
        <v>0</v>
      </c>
      <c r="Q134" s="46" t="s">
        <v>34</v>
      </c>
    </row>
    <row r="135" spans="1:17" ht="15" thickBot="1" x14ac:dyDescent="0.35">
      <c r="A135" s="14">
        <v>46693</v>
      </c>
      <c r="B135" s="28">
        <v>45967</v>
      </c>
      <c r="C135" s="14" t="s">
        <v>17</v>
      </c>
      <c r="D135" s="14" t="s">
        <v>171</v>
      </c>
      <c r="E135" s="42" t="s">
        <v>170</v>
      </c>
      <c r="F135" s="14">
        <v>6</v>
      </c>
      <c r="G135" s="76" t="str">
        <f>_xlfn.XLOOKUP([1]!Tabla3[[#This Row],[ID]],[1]!Tabla2[ID],[1]!Tabla2[Corregimiento],"NA")</f>
        <v>El Limonar</v>
      </c>
      <c r="H135" s="16">
        <f>_xlfn.XLOOKUP([1]!Tabla3[[#This Row],[LUGAR ENVÍO]],[1]!Tabla9[[Nombre ]],[1]!Tabla9[Distancia],"NA")</f>
        <v>9.6076130000000024</v>
      </c>
      <c r="I135" s="77">
        <f>[1]!Tabla3[[#This Row],[Valor Tran]]/([1]!Tabla3[[#This Row],[DISTANCIA (km)]]*2)</f>
        <v>1561.26188679748</v>
      </c>
      <c r="J135" s="18"/>
      <c r="K135" s="14">
        <v>1</v>
      </c>
      <c r="L135" s="19">
        <v>30000</v>
      </c>
      <c r="M135" s="19">
        <f>[1]!Tabla3[[#This Row],[VLR. TRANSPORTE]]/[1]!Tabla3[[#This Row],[Numero de Transportes]]</f>
        <v>30000</v>
      </c>
      <c r="N135" s="19">
        <v>1393600</v>
      </c>
      <c r="O135" s="19">
        <f>[1]!Tabla3[[#This Row],[VLR. TOTAL FACT.]]-[1]!Tabla3[[#This Row],[VLR. TRANSPORTE]]</f>
        <v>1363600</v>
      </c>
      <c r="P135" s="14">
        <v>0</v>
      </c>
      <c r="Q135" s="14" t="s">
        <v>34</v>
      </c>
    </row>
    <row r="136" spans="1:17" ht="27.6" thickBot="1" x14ac:dyDescent="0.35">
      <c r="A136" s="8">
        <v>30358</v>
      </c>
      <c r="B136" s="9">
        <v>45967</v>
      </c>
      <c r="C136" s="8" t="s">
        <v>17</v>
      </c>
      <c r="D136" s="8" t="s">
        <v>172</v>
      </c>
      <c r="E136" s="42" t="s">
        <v>173</v>
      </c>
      <c r="F136" s="8">
        <v>6</v>
      </c>
      <c r="G136" s="46" t="str">
        <f>_xlfn.XLOOKUP([1]!Tabla3[[#This Row],[ID]],[1]!Tabla2[ID],[1]!Tabla2[Corregimiento],"NA")</f>
        <v>El Limonar</v>
      </c>
      <c r="H136" s="10">
        <f>_xlfn.XLOOKUP([1]!Tabla3[[#This Row],[LUGAR ENVÍO]],[1]!Tabla9[[Nombre ]],[1]!Tabla9[Distancia],"NA")</f>
        <v>6.6069689999999994</v>
      </c>
      <c r="I136" s="48">
        <f>[1]!Tabla3[[#This Row],[Valor Tran]]/([1]!Tabla3[[#This Row],[DISTANCIA (km)]]*2)</f>
        <v>5297.4366914692655</v>
      </c>
      <c r="J136" s="12"/>
      <c r="K136" s="8">
        <v>2</v>
      </c>
      <c r="L136" s="13">
        <v>140000</v>
      </c>
      <c r="M136" s="13">
        <f>[1]!Tabla3[[#This Row],[VLR. TRANSPORTE]]/[1]!Tabla3[[#This Row],[Numero de Transportes]]</f>
        <v>70000</v>
      </c>
      <c r="N136" s="13">
        <v>1784000</v>
      </c>
      <c r="O136" s="13">
        <f>[1]!Tabla3[[#This Row],[VLR. TOTAL FACT.]]-[1]!Tabla3[[#This Row],[VLR. TRANSPORTE]]</f>
        <v>1644000</v>
      </c>
      <c r="P136" s="8">
        <v>0</v>
      </c>
      <c r="Q136" s="8" t="s">
        <v>34</v>
      </c>
    </row>
    <row r="137" spans="1:17" ht="27.6" thickBot="1" x14ac:dyDescent="0.35">
      <c r="A137" s="14">
        <v>59273</v>
      </c>
      <c r="B137" s="28">
        <v>45991</v>
      </c>
      <c r="C137" s="14" t="s">
        <v>17</v>
      </c>
      <c r="D137" s="14" t="s">
        <v>174</v>
      </c>
      <c r="E137" s="14" t="s">
        <v>175</v>
      </c>
      <c r="F137" s="14">
        <v>6</v>
      </c>
      <c r="G137" s="76" t="str">
        <f>_xlfn.XLOOKUP([1]!Tabla3[[#This Row],[ID]],[1]!Tabla2[ID],[1]!Tabla2[Corregimiento],"NA")</f>
        <v>El Limonar</v>
      </c>
      <c r="H137" s="16">
        <f>_xlfn.XLOOKUP([1]!Tabla3[[#This Row],[LUGAR ENVÍO]],[1]!Tabla9[[Nombre ]],[1]!Tabla9[Distancia],"NA")</f>
        <v>4.3159999999999989</v>
      </c>
      <c r="I137" s="77">
        <f>[1]!Tabla3[[#This Row],[Valor Tran]]/([1]!Tabla3[[#This Row],[DISTANCIA (km)]]*2)</f>
        <v>3475.4402224281753</v>
      </c>
      <c r="J137" s="18"/>
      <c r="K137" s="14">
        <v>1</v>
      </c>
      <c r="L137" s="19">
        <v>30000</v>
      </c>
      <c r="M137" s="19">
        <f>[1]!Tabla3[[#This Row],[VLR. TRANSPORTE]]/[1]!Tabla3[[#This Row],[Numero de Transportes]]</f>
        <v>30000</v>
      </c>
      <c r="N137" s="19">
        <v>190000</v>
      </c>
      <c r="O137" s="19">
        <f>[1]!Tabla3[[#This Row],[VLR. TOTAL FACT.]]-[1]!Tabla3[[#This Row],[VLR. TRANSPORTE]]</f>
        <v>160000</v>
      </c>
      <c r="P137" s="14">
        <v>0</v>
      </c>
      <c r="Q137" s="14" t="s">
        <v>22</v>
      </c>
    </row>
    <row r="138" spans="1:17" ht="27.6" thickBot="1" x14ac:dyDescent="0.35">
      <c r="A138" s="8">
        <v>48367</v>
      </c>
      <c r="B138" s="9">
        <v>45983</v>
      </c>
      <c r="C138" s="8" t="s">
        <v>17</v>
      </c>
      <c r="D138" s="8" t="s">
        <v>176</v>
      </c>
      <c r="E138" s="8" t="s">
        <v>175</v>
      </c>
      <c r="F138" s="8">
        <v>6</v>
      </c>
      <c r="G138" s="46" t="str">
        <f>_xlfn.XLOOKUP([1]!Tabla3[[#This Row],[ID]],[1]!Tabla2[ID],[1]!Tabla2[Corregimiento],"NA")</f>
        <v>El Limonar</v>
      </c>
      <c r="H138" s="10">
        <f>_xlfn.XLOOKUP([1]!Tabla3[[#This Row],[LUGAR ENVÍO]],[1]!Tabla9[[Nombre ]],[1]!Tabla9[Distancia],"NA")</f>
        <v>4.3159999999999989</v>
      </c>
      <c r="I138" s="48">
        <f>[1]!Tabla3[[#This Row],[Valor Tran]]/([1]!Tabla3[[#This Row],[DISTANCIA (km)]]*2)</f>
        <v>1158.480074142725</v>
      </c>
      <c r="J138" s="12"/>
      <c r="K138" s="8">
        <v>3</v>
      </c>
      <c r="L138" s="13">
        <v>30000</v>
      </c>
      <c r="M138" s="13">
        <f>[1]!Tabla3[[#This Row],[VLR. TRANSPORTE]]/[1]!Tabla3[[#This Row],[Numero de Transportes]]</f>
        <v>10000</v>
      </c>
      <c r="N138" s="13">
        <v>232000</v>
      </c>
      <c r="O138" s="13">
        <f>[1]!Tabla3[[#This Row],[VLR. TOTAL FACT.]]-[1]!Tabla3[[#This Row],[VLR. TRANSPORTE]]</f>
        <v>202000</v>
      </c>
      <c r="P138" s="8">
        <v>1</v>
      </c>
      <c r="Q138" s="8" t="s">
        <v>25</v>
      </c>
    </row>
    <row r="139" spans="1:17" ht="27.6" thickBot="1" x14ac:dyDescent="0.35">
      <c r="A139" s="14">
        <v>48270</v>
      </c>
      <c r="B139" s="28">
        <v>45982</v>
      </c>
      <c r="C139" s="14" t="s">
        <v>17</v>
      </c>
      <c r="D139" s="14" t="s">
        <v>176</v>
      </c>
      <c r="E139" s="38" t="s">
        <v>175</v>
      </c>
      <c r="F139" s="14">
        <v>6</v>
      </c>
      <c r="G139" s="76" t="str">
        <f>_xlfn.XLOOKUP([1]!Tabla3[[#This Row],[ID]],[1]!Tabla2[ID],[1]!Tabla2[Corregimiento],"NA")</f>
        <v>El Limonar</v>
      </c>
      <c r="H139" s="16">
        <f>_xlfn.XLOOKUP([1]!Tabla3[[#This Row],[LUGAR ENVÍO]],[1]!Tabla9[[Nombre ]],[1]!Tabla9[Distancia],"NA")</f>
        <v>4.3159999999999989</v>
      </c>
      <c r="I139" s="77">
        <f>[1]!Tabla3[[#This Row],[Valor Tran]]/([1]!Tabla3[[#This Row],[DISTANCIA (km)]]*2)</f>
        <v>4633.9202965709001</v>
      </c>
      <c r="J139" s="18"/>
      <c r="K139" s="14">
        <v>1</v>
      </c>
      <c r="L139" s="19">
        <v>40000</v>
      </c>
      <c r="M139" s="19">
        <f>[1]!Tabla3[[#This Row],[VLR. TRANSPORTE]]/[1]!Tabla3[[#This Row],[Numero de Transportes]]</f>
        <v>40000</v>
      </c>
      <c r="N139" s="19">
        <v>264500</v>
      </c>
      <c r="O139" s="19">
        <f>[1]!Tabla3[[#This Row],[VLR. TOTAL FACT.]]-[1]!Tabla3[[#This Row],[VLR. TRANSPORTE]]</f>
        <v>224500</v>
      </c>
      <c r="P139" s="14">
        <v>0</v>
      </c>
      <c r="Q139" s="14" t="s">
        <v>25</v>
      </c>
    </row>
    <row r="140" spans="1:17" ht="27.6" thickBot="1" x14ac:dyDescent="0.35">
      <c r="A140" s="8">
        <v>58868</v>
      </c>
      <c r="B140" s="9">
        <v>45983</v>
      </c>
      <c r="C140" s="8" t="s">
        <v>27</v>
      </c>
      <c r="D140" s="8" t="s">
        <v>177</v>
      </c>
      <c r="E140" s="27" t="s">
        <v>175</v>
      </c>
      <c r="F140" s="8">
        <v>6</v>
      </c>
      <c r="G140" s="46" t="str">
        <f>_xlfn.XLOOKUP([1]!Tabla3[[#This Row],[ID]],[1]!Tabla2[ID],[1]!Tabla2[Corregimiento],"NA")</f>
        <v>El Limonar</v>
      </c>
      <c r="H140" s="10">
        <f>_xlfn.XLOOKUP([1]!Tabla3[[#This Row],[LUGAR ENVÍO]],[1]!Tabla9[[Nombre ]],[1]!Tabla9[Distancia],"NA")</f>
        <v>4.3159999999999989</v>
      </c>
      <c r="I140" s="48">
        <f>[1]!Tabla3[[#This Row],[Valor Tran]]/([1]!Tabla3[[#This Row],[DISTANCIA (km)]]*2)</f>
        <v>5792.4003707136253</v>
      </c>
      <c r="J140" s="12"/>
      <c r="K140" s="8">
        <v>1</v>
      </c>
      <c r="L140" s="13">
        <v>50000</v>
      </c>
      <c r="M140" s="13">
        <f>[1]!Tabla3[[#This Row],[VLR. TRANSPORTE]]/[1]!Tabla3[[#This Row],[Numero de Transportes]]</f>
        <v>50000</v>
      </c>
      <c r="N140" s="13">
        <v>385000</v>
      </c>
      <c r="O140" s="13">
        <f>[1]!Tabla3[[#This Row],[VLR. TOTAL FACT.]]-[1]!Tabla3[[#This Row],[VLR. TRANSPORTE]]</f>
        <v>335000</v>
      </c>
      <c r="P140" s="8">
        <v>1</v>
      </c>
      <c r="Q140" s="8" t="s">
        <v>22</v>
      </c>
    </row>
    <row r="141" spans="1:17" ht="27.6" thickBot="1" x14ac:dyDescent="0.35">
      <c r="A141" s="14">
        <v>47281</v>
      </c>
      <c r="B141" s="28">
        <v>45969</v>
      </c>
      <c r="C141" s="14" t="s">
        <v>17</v>
      </c>
      <c r="D141" s="14" t="s">
        <v>178</v>
      </c>
      <c r="E141" s="14" t="s">
        <v>175</v>
      </c>
      <c r="F141" s="14">
        <v>6</v>
      </c>
      <c r="G141" s="76" t="str">
        <f>_xlfn.XLOOKUP([1]!Tabla3[[#This Row],[ID]],[1]!Tabla2[ID],[1]!Tabla2[Corregimiento],"NA")</f>
        <v>El Limonar</v>
      </c>
      <c r="H141" s="16">
        <f>_xlfn.XLOOKUP([1]!Tabla3[[#This Row],[LUGAR ENVÍO]],[1]!Tabla9[[Nombre ]],[1]!Tabla9[Distancia],"NA")</f>
        <v>4.3159999999999989</v>
      </c>
      <c r="I141" s="77">
        <f>[1]!Tabla3[[#This Row],[Valor Tran]]/([1]!Tabla3[[#This Row],[DISTANCIA (km)]]*2)</f>
        <v>4633.9202965709001</v>
      </c>
      <c r="J141" s="18"/>
      <c r="K141" s="14">
        <v>1</v>
      </c>
      <c r="L141" s="19">
        <v>40000</v>
      </c>
      <c r="M141" s="19">
        <f>[1]!Tabla3[[#This Row],[VLR. TRANSPORTE]]/[1]!Tabla3[[#This Row],[Numero de Transportes]]</f>
        <v>40000</v>
      </c>
      <c r="N141" s="19">
        <v>929900</v>
      </c>
      <c r="O141" s="19">
        <f>[1]!Tabla3[[#This Row],[VLR. TOTAL FACT.]]-[1]!Tabla3[[#This Row],[VLR. TRANSPORTE]]</f>
        <v>889900</v>
      </c>
      <c r="P141" s="14">
        <v>0</v>
      </c>
      <c r="Q141" s="14" t="s">
        <v>25</v>
      </c>
    </row>
    <row r="142" spans="1:17" ht="27.6" thickBot="1" x14ac:dyDescent="0.35">
      <c r="A142" s="33">
        <v>47314</v>
      </c>
      <c r="B142" s="34" t="s">
        <v>179</v>
      </c>
      <c r="C142" s="33" t="s">
        <v>17</v>
      </c>
      <c r="D142" s="33" t="s">
        <v>127</v>
      </c>
      <c r="E142" s="33" t="s">
        <v>175</v>
      </c>
      <c r="F142" s="33">
        <v>12</v>
      </c>
      <c r="G142" s="46" t="str">
        <f>_xlfn.XLOOKUP([1]!Tabla3[[#This Row],[ID]],[1]!Tabla2[ID],[1]!Tabla2[Corregimiento],"NA")</f>
        <v>El Salado</v>
      </c>
      <c r="H142" s="10">
        <f>_xlfn.XLOOKUP([1]!Tabla3[[#This Row],[LUGAR ENVÍO]],[1]!Tabla9[[Nombre ]],[1]!Tabla9[Distancia],"NA")</f>
        <v>4.3159999999999989</v>
      </c>
      <c r="I142" s="48">
        <f>[1]!Tabla3[[#This Row],[Valor Tran]]/([1]!Tabla3[[#This Row],[DISTANCIA (km)]]*2)</f>
        <v>6950.8804448563506</v>
      </c>
      <c r="J142" s="36"/>
      <c r="K142" s="33">
        <v>1</v>
      </c>
      <c r="L142" s="37">
        <v>60000</v>
      </c>
      <c r="M142" s="37">
        <v>60000</v>
      </c>
      <c r="N142" s="37">
        <v>1238500</v>
      </c>
      <c r="O142" s="13">
        <f>[1]!Tabla3[[#This Row],[VLR. TOTAL FACT.]]-[1]!Tabla3[[#This Row],[VLR. TRANSPORTE]]</f>
        <v>1178500</v>
      </c>
      <c r="P142" s="33">
        <v>1</v>
      </c>
      <c r="Q142" s="33" t="s">
        <v>25</v>
      </c>
    </row>
    <row r="143" spans="1:17" ht="27.6" thickBot="1" x14ac:dyDescent="0.35">
      <c r="A143" s="14">
        <v>48356</v>
      </c>
      <c r="B143" s="28">
        <v>45983</v>
      </c>
      <c r="C143" s="14" t="s">
        <v>17</v>
      </c>
      <c r="D143" s="14" t="s">
        <v>180</v>
      </c>
      <c r="E143" s="14" t="s">
        <v>175</v>
      </c>
      <c r="F143" s="14">
        <v>6</v>
      </c>
      <c r="G143" s="76" t="str">
        <f>_xlfn.XLOOKUP([1]!Tabla3[[#This Row],[ID]],[1]!Tabla2[ID],[1]!Tabla2[Corregimiento],"NA")</f>
        <v>El Limonar</v>
      </c>
      <c r="H143" s="16">
        <f>_xlfn.XLOOKUP([1]!Tabla3[[#This Row],[LUGAR ENVÍO]],[1]!Tabla9[[Nombre ]],[1]!Tabla9[Distancia],"NA")</f>
        <v>4.3159999999999989</v>
      </c>
      <c r="I143" s="77">
        <f>[1]!Tabla3[[#This Row],[Valor Tran]]/([1]!Tabla3[[#This Row],[DISTANCIA (km)]]*2)</f>
        <v>6950.8804448563506</v>
      </c>
      <c r="J143" s="18"/>
      <c r="K143" s="14">
        <v>1</v>
      </c>
      <c r="L143" s="19">
        <v>60000</v>
      </c>
      <c r="M143" s="19">
        <f>[1]!Tabla3[[#This Row],[VLR. TRANSPORTE]]/[1]!Tabla3[[#This Row],[Numero de Transportes]]</f>
        <v>60000</v>
      </c>
      <c r="N143" s="19">
        <v>1246500</v>
      </c>
      <c r="O143" s="19">
        <f>[1]!Tabla3[[#This Row],[VLR. TOTAL FACT.]]-[1]!Tabla3[[#This Row],[VLR. TRANSPORTE]]</f>
        <v>1186500</v>
      </c>
      <c r="P143" s="14">
        <v>1</v>
      </c>
      <c r="Q143" s="14" t="s">
        <v>25</v>
      </c>
    </row>
    <row r="144" spans="1:17" ht="15" thickBot="1" x14ac:dyDescent="0.35">
      <c r="A144" s="8">
        <v>58685</v>
      </c>
      <c r="B144" s="26">
        <v>45985</v>
      </c>
      <c r="C144" s="8" t="s">
        <v>17</v>
      </c>
      <c r="D144" s="8" t="s">
        <v>74</v>
      </c>
      <c r="E144" s="8" t="s">
        <v>175</v>
      </c>
      <c r="F144" s="8">
        <v>6</v>
      </c>
      <c r="G144" s="46" t="str">
        <f>_xlfn.XLOOKUP([1]!Tabla3[[#This Row],[ID]],[1]!Tabla2[ID],[1]!Tabla2[Corregimiento],"NA")</f>
        <v>El Limonar</v>
      </c>
      <c r="H144" s="10">
        <f>_xlfn.XLOOKUP([1]!Tabla3[[#This Row],[LUGAR ENVÍO]],[1]!Tabla9[[Nombre ]],[1]!Tabla9[Distancia],"NA")</f>
        <v>4.3159999999999989</v>
      </c>
      <c r="I144" s="48">
        <f>[1]!Tabla3[[#This Row],[Valor Tran]]/([1]!Tabla3[[#This Row],[DISTANCIA (km)]]*2)</f>
        <v>9267.8405931418001</v>
      </c>
      <c r="J144" s="12"/>
      <c r="K144" s="8">
        <v>1</v>
      </c>
      <c r="L144" s="13">
        <v>80000</v>
      </c>
      <c r="M144" s="13">
        <f>[1]!Tabla3[[#This Row],[VLR. TRANSPORTE]]/[1]!Tabla3[[#This Row],[Numero de Transportes]]</f>
        <v>80000</v>
      </c>
      <c r="N144" s="13">
        <v>3256000</v>
      </c>
      <c r="O144" s="13">
        <f>[1]!Tabla3[[#This Row],[VLR. TOTAL FACT.]]-[1]!Tabla3[[#This Row],[VLR. TRANSPORTE]]</f>
        <v>3176000</v>
      </c>
      <c r="P144" s="8">
        <v>0</v>
      </c>
      <c r="Q144" s="8" t="s">
        <v>22</v>
      </c>
    </row>
    <row r="145" spans="1:17" ht="27.6" thickBot="1" x14ac:dyDescent="0.35">
      <c r="A145" s="29">
        <v>58274</v>
      </c>
      <c r="B145" s="30" t="s">
        <v>179</v>
      </c>
      <c r="C145" s="29" t="s">
        <v>17</v>
      </c>
      <c r="D145" s="29" t="s">
        <v>66</v>
      </c>
      <c r="E145" s="29" t="s">
        <v>181</v>
      </c>
      <c r="F145" s="29">
        <v>2</v>
      </c>
      <c r="G145" s="76" t="str">
        <f>_xlfn.XLOOKUP([1]!Tabla3[[#This Row],[ID]],[1]!Tabla2[ID],[1]!Tabla2[Corregimiento],"NA")</f>
        <v>Borrero Ayerbe</v>
      </c>
      <c r="H145" s="16">
        <f>_xlfn.XLOOKUP([1]!Tabla3[[#This Row],[LUGAR ENVÍO]],[1]!Tabla9[[Nombre ]],[1]!Tabla9[Distancia],"NA")</f>
        <v>3.9430140000000011</v>
      </c>
      <c r="I145" s="77">
        <f>[1]!Tabla3[[#This Row],[Valor Tran]]/([1]!Tabla3[[#This Row],[DISTANCIA (km)]]*2)</f>
        <v>4438.2292327645791</v>
      </c>
      <c r="J145" s="31"/>
      <c r="K145" s="29">
        <v>1</v>
      </c>
      <c r="L145" s="32">
        <v>35000</v>
      </c>
      <c r="M145" s="32">
        <v>35000</v>
      </c>
      <c r="N145" s="32">
        <v>374500</v>
      </c>
      <c r="O145" s="19">
        <f>[1]!Tabla3[[#This Row],[VLR. TOTAL FACT.]]-[1]!Tabla3[[#This Row],[VLR. TRANSPORTE]]</f>
        <v>339500</v>
      </c>
      <c r="P145" s="29">
        <v>1</v>
      </c>
      <c r="Q145" s="29" t="s">
        <v>25</v>
      </c>
    </row>
    <row r="146" spans="1:17" ht="27.6" thickBot="1" x14ac:dyDescent="0.35">
      <c r="A146" s="33">
        <v>40704</v>
      </c>
      <c r="B146" s="34" t="s">
        <v>70</v>
      </c>
      <c r="C146" s="33" t="s">
        <v>27</v>
      </c>
      <c r="D146" s="33" t="s">
        <v>182</v>
      </c>
      <c r="E146" s="33" t="s">
        <v>183</v>
      </c>
      <c r="F146" s="33">
        <v>2</v>
      </c>
      <c r="G146" s="46" t="str">
        <f>_xlfn.XLOOKUP([1]!Tabla3[[#This Row],[ID]],[1]!Tabla2[ID],[1]!Tabla2[Corregimiento],"NA")</f>
        <v>Borrero Ayerbe</v>
      </c>
      <c r="H146" s="10">
        <f>_xlfn.XLOOKUP([1]!Tabla3[[#This Row],[LUGAR ENVÍO]],[1]!Tabla9[[Nombre ]],[1]!Tabla9[Distancia],"NA")</f>
        <v>3.9430140000000011</v>
      </c>
      <c r="I146" s="48">
        <f>[1]!Tabla3[[#This Row],[Valor Tran]]/([1]!Tabla3[[#This Row],[DISTANCIA (km)]]*2)</f>
        <v>5072.2619803023763</v>
      </c>
      <c r="J146" s="36"/>
      <c r="K146" s="33">
        <v>1</v>
      </c>
      <c r="L146" s="37">
        <v>40000</v>
      </c>
      <c r="M146" s="37">
        <v>40000</v>
      </c>
      <c r="N146" s="37">
        <v>440700</v>
      </c>
      <c r="O146" s="13">
        <f>[1]!Tabla3[[#This Row],[VLR. TOTAL FACT.]]-[1]!Tabla3[[#This Row],[VLR. TRANSPORTE]]</f>
        <v>400700</v>
      </c>
      <c r="P146" s="33">
        <v>1</v>
      </c>
      <c r="Q146" s="33" t="s">
        <v>34</v>
      </c>
    </row>
    <row r="147" spans="1:17" ht="27.6" thickBot="1" x14ac:dyDescent="0.35">
      <c r="A147" s="29">
        <v>47939</v>
      </c>
      <c r="B147" s="30" t="s">
        <v>63</v>
      </c>
      <c r="C147" s="29" t="s">
        <v>17</v>
      </c>
      <c r="D147" s="29" t="s">
        <v>46</v>
      </c>
      <c r="E147" s="74" t="s">
        <v>181</v>
      </c>
      <c r="F147" s="29">
        <v>2</v>
      </c>
      <c r="G147" s="76" t="str">
        <f>_xlfn.XLOOKUP([1]!Tabla3[[#This Row],[ID]],[1]!Tabla2[ID],[1]!Tabla2[Corregimiento],"NA")</f>
        <v>Borrero Ayerbe</v>
      </c>
      <c r="H147" s="16">
        <f>_xlfn.XLOOKUP([1]!Tabla3[[#This Row],[LUGAR ENVÍO]],[1]!Tabla9[[Nombre ]],[1]!Tabla9[Distancia],"NA")</f>
        <v>3.9430140000000011</v>
      </c>
      <c r="I147" s="77">
        <f>[1]!Tabla3[[#This Row],[Valor Tran]]/([1]!Tabla3[[#This Row],[DISTANCIA (km)]]*2)</f>
        <v>5072.2619803023763</v>
      </c>
      <c r="J147" s="31"/>
      <c r="K147" s="29">
        <v>1</v>
      </c>
      <c r="L147" s="32">
        <v>40000</v>
      </c>
      <c r="M147" s="32">
        <v>40000</v>
      </c>
      <c r="N147" s="32">
        <v>617400</v>
      </c>
      <c r="O147" s="19">
        <f>[1]!Tabla3[[#This Row],[VLR. TOTAL FACT.]]-[1]!Tabla3[[#This Row],[VLR. TRANSPORTE]]</f>
        <v>577400</v>
      </c>
      <c r="P147" s="29">
        <v>1</v>
      </c>
      <c r="Q147" s="29" t="s">
        <v>34</v>
      </c>
    </row>
    <row r="148" spans="1:17" ht="27.6" thickBot="1" x14ac:dyDescent="0.35">
      <c r="A148" s="8">
        <v>58839</v>
      </c>
      <c r="B148" s="26">
        <v>45997</v>
      </c>
      <c r="C148" s="8" t="s">
        <v>17</v>
      </c>
      <c r="D148" s="8" t="s">
        <v>154</v>
      </c>
      <c r="E148" s="8" t="s">
        <v>183</v>
      </c>
      <c r="F148" s="8">
        <v>2</v>
      </c>
      <c r="G148" s="46" t="str">
        <f>_xlfn.XLOOKUP([1]!Tabla3[[#This Row],[ID]],[1]!Tabla2[ID],[1]!Tabla2[Corregimiento],"NA")</f>
        <v>Borrero Ayerbe</v>
      </c>
      <c r="H148" s="10">
        <f>_xlfn.XLOOKUP([1]!Tabla3[[#This Row],[LUGAR ENVÍO]],[1]!Tabla9[[Nombre ]],[1]!Tabla9[Distancia],"NA")</f>
        <v>3.9430140000000011</v>
      </c>
      <c r="I148" s="48">
        <f>[1]!Tabla3[[#This Row],[Valor Tran]]/([1]!Tabla3[[#This Row],[DISTANCIA (km)]]*2)</f>
        <v>7608.3929704535649</v>
      </c>
      <c r="J148" s="12"/>
      <c r="K148" s="8">
        <v>2</v>
      </c>
      <c r="L148" s="13">
        <v>120000</v>
      </c>
      <c r="M148" s="13">
        <f>[1]!Tabla3[[#This Row],[VLR. TRANSPORTE]]/[1]!Tabla3[[#This Row],[Numero de Transportes]]</f>
        <v>60000</v>
      </c>
      <c r="N148" s="13">
        <v>3564000</v>
      </c>
      <c r="O148" s="13">
        <f>[1]!Tabla3[[#This Row],[VLR. TOTAL FACT.]]-[1]!Tabla3[[#This Row],[VLR. TRANSPORTE]]</f>
        <v>3444000</v>
      </c>
      <c r="P148" s="8">
        <v>1</v>
      </c>
      <c r="Q148" s="8" t="s">
        <v>25</v>
      </c>
    </row>
    <row r="149" spans="1:17" ht="27.6" thickBot="1" x14ac:dyDescent="0.35">
      <c r="A149" s="14">
        <v>57376</v>
      </c>
      <c r="B149" s="28">
        <v>45962</v>
      </c>
      <c r="C149" s="14"/>
      <c r="D149" s="14" t="s">
        <v>91</v>
      </c>
      <c r="E149" s="14" t="s">
        <v>184</v>
      </c>
      <c r="F149" s="14">
        <v>2</v>
      </c>
      <c r="G149" s="76" t="str">
        <f>_xlfn.XLOOKUP([1]!Tabla3[[#This Row],[ID]],[1]!Tabla2[ID],[1]!Tabla2[Corregimiento],"NA")</f>
        <v>Borrero Ayerbe</v>
      </c>
      <c r="H149" s="16">
        <f>_xlfn.XLOOKUP([1]!Tabla3[[#This Row],[LUGAR ENVÍO]],[1]!Tabla9[[Nombre ]],[1]!Tabla9[Distancia],"NA")</f>
        <v>4.5839430000000005</v>
      </c>
      <c r="I149" s="77">
        <f>[1]!Tabla3[[#This Row],[Valor Tran]]/([1]!Tabla3[[#This Row],[DISTANCIA (km)]]*2)</f>
        <v>2181.5279989301785</v>
      </c>
      <c r="J149" s="18"/>
      <c r="K149" s="14">
        <v>1</v>
      </c>
      <c r="L149" s="19">
        <v>20000</v>
      </c>
      <c r="M149" s="19">
        <f>[1]!Tabla3[[#This Row],[VLR. TRANSPORTE]]/[1]!Tabla3[[#This Row],[Numero de Transportes]]</f>
        <v>20000</v>
      </c>
      <c r="N149" s="19">
        <v>615300</v>
      </c>
      <c r="O149" s="19">
        <f>[1]!Tabla3[[#This Row],[VLR. TOTAL FACT.]]-[1]!Tabla3[[#This Row],[VLR. TRANSPORTE]]</f>
        <v>595300</v>
      </c>
      <c r="P149" s="14"/>
      <c r="Q149" s="14" t="s">
        <v>49</v>
      </c>
    </row>
    <row r="150" spans="1:17" ht="27.6" thickBot="1" x14ac:dyDescent="0.35">
      <c r="A150" s="8">
        <v>58748</v>
      </c>
      <c r="B150" s="26">
        <v>46006</v>
      </c>
      <c r="C150" s="8" t="s">
        <v>17</v>
      </c>
      <c r="D150" s="8" t="s">
        <v>185</v>
      </c>
      <c r="E150" s="8" t="s">
        <v>184</v>
      </c>
      <c r="F150" s="8">
        <v>2</v>
      </c>
      <c r="G150" s="46" t="str">
        <f>_xlfn.XLOOKUP([1]!Tabla3[[#This Row],[ID]],[1]!Tabla2[ID],[1]!Tabla2[Corregimiento],"NA")</f>
        <v>Borrero Ayerbe</v>
      </c>
      <c r="H150" s="10">
        <f>_xlfn.XLOOKUP([1]!Tabla3[[#This Row],[LUGAR ENVÍO]],[1]!Tabla9[[Nombre ]],[1]!Tabla9[Distancia],"NA")</f>
        <v>4.5839430000000005</v>
      </c>
      <c r="I150" s="48">
        <f>[1]!Tabla3[[#This Row],[Valor Tran]]/([1]!Tabla3[[#This Row],[DISTANCIA (km)]]*2)</f>
        <v>4363.0559978603569</v>
      </c>
      <c r="J150" s="12"/>
      <c r="K150" s="8">
        <v>3</v>
      </c>
      <c r="L150" s="13">
        <v>120000</v>
      </c>
      <c r="M150" s="13">
        <f>[1]!Tabla3[[#This Row],[VLR. TRANSPORTE]]/[1]!Tabla3[[#This Row],[Numero de Transportes]]</f>
        <v>40000</v>
      </c>
      <c r="N150" s="13">
        <v>3680000</v>
      </c>
      <c r="O150" s="13">
        <f>[1]!Tabla3[[#This Row],[VLR. TOTAL FACT.]]-[1]!Tabla3[[#This Row],[VLR. TRANSPORTE]]</f>
        <v>3560000</v>
      </c>
      <c r="P150" s="8">
        <v>1</v>
      </c>
      <c r="Q150" s="8" t="s">
        <v>22</v>
      </c>
    </row>
    <row r="151" spans="1:17" ht="27.6" thickBot="1" x14ac:dyDescent="0.35">
      <c r="A151" s="14">
        <v>58768</v>
      </c>
      <c r="B151" s="15">
        <v>46005</v>
      </c>
      <c r="C151" s="14" t="s">
        <v>17</v>
      </c>
      <c r="D151" s="14" t="s">
        <v>134</v>
      </c>
      <c r="E151" s="14" t="s">
        <v>184</v>
      </c>
      <c r="F151" s="14">
        <v>2</v>
      </c>
      <c r="G151" s="76" t="str">
        <f>_xlfn.XLOOKUP([1]!Tabla3[[#This Row],[ID]],[1]!Tabla2[ID],[1]!Tabla2[Corregimiento],"NA")</f>
        <v>Borrero Ayerbe</v>
      </c>
      <c r="H151" s="16">
        <f>_xlfn.XLOOKUP([1]!Tabla3[[#This Row],[LUGAR ENVÍO]],[1]!Tabla9[[Nombre ]],[1]!Tabla9[Distancia],"NA")</f>
        <v>4.5839430000000005</v>
      </c>
      <c r="I151" s="77">
        <f>[1]!Tabla3[[#This Row],[Valor Tran]]/([1]!Tabla3[[#This Row],[DISTANCIA (km)]]*2)</f>
        <v>3272.2919983952675</v>
      </c>
      <c r="J151" s="18"/>
      <c r="K151" s="14">
        <v>2</v>
      </c>
      <c r="L151" s="19">
        <v>60000</v>
      </c>
      <c r="M151" s="19">
        <f>[1]!Tabla3[[#This Row],[VLR. TRANSPORTE]]/[1]!Tabla3[[#This Row],[Numero de Transportes]]</f>
        <v>30000</v>
      </c>
      <c r="N151" s="19">
        <v>3925000</v>
      </c>
      <c r="O151" s="19">
        <f>[1]!Tabla3[[#This Row],[VLR. TOTAL FACT.]]-[1]!Tabla3[[#This Row],[VLR. TRANSPORTE]]</f>
        <v>3865000</v>
      </c>
      <c r="P151" s="14">
        <v>1</v>
      </c>
      <c r="Q151" s="14" t="s">
        <v>25</v>
      </c>
    </row>
    <row r="152" spans="1:17" ht="27.6" thickBot="1" x14ac:dyDescent="0.35">
      <c r="A152" s="8">
        <v>58055</v>
      </c>
      <c r="B152" s="9">
        <v>45966</v>
      </c>
      <c r="C152" s="8" t="s">
        <v>27</v>
      </c>
      <c r="D152" s="8" t="s">
        <v>186</v>
      </c>
      <c r="E152" s="8" t="s">
        <v>187</v>
      </c>
      <c r="F152" s="8">
        <v>2</v>
      </c>
      <c r="G152" s="46" t="str">
        <f>_xlfn.XLOOKUP([1]!Tabla3[[#This Row],[ID]],[1]!Tabla2[ID],[1]!Tabla2[Corregimiento],"NA")</f>
        <v>Borrero Ayerbe</v>
      </c>
      <c r="H152" s="10">
        <f>_xlfn.XLOOKUP([1]!Tabla3[[#This Row],[LUGAR ENVÍO]],[1]!Tabla9[[Nombre ]],[1]!Tabla9[Distancia],"NA")</f>
        <v>5.3780000000000001</v>
      </c>
      <c r="I152" s="48">
        <f>[1]!Tabla3[[#This Row],[Valor Tran]]/([1]!Tabla3[[#This Row],[DISTANCIA (km)]]*2)</f>
        <v>2789.1409445890663</v>
      </c>
      <c r="J152" s="12"/>
      <c r="K152" s="8">
        <v>1</v>
      </c>
      <c r="L152" s="13">
        <v>30000</v>
      </c>
      <c r="M152" s="13">
        <f>[1]!Tabla3[[#This Row],[VLR. TRANSPORTE]]/[1]!Tabla3[[#This Row],[Numero de Transportes]]</f>
        <v>30000</v>
      </c>
      <c r="N152" s="13">
        <v>473300</v>
      </c>
      <c r="O152" s="13">
        <f>[1]!Tabla3[[#This Row],[VLR. TOTAL FACT.]]-[1]!Tabla3[[#This Row],[VLR. TRANSPORTE]]</f>
        <v>443300</v>
      </c>
      <c r="P152" s="8">
        <v>0</v>
      </c>
      <c r="Q152" s="8" t="s">
        <v>22</v>
      </c>
    </row>
    <row r="153" spans="1:17" ht="27.6" thickBot="1" x14ac:dyDescent="0.35">
      <c r="A153" s="33">
        <v>49212</v>
      </c>
      <c r="B153" s="34" t="s">
        <v>70</v>
      </c>
      <c r="C153" s="33" t="s">
        <v>17</v>
      </c>
      <c r="D153" s="33" t="s">
        <v>61</v>
      </c>
      <c r="E153" s="33" t="s">
        <v>187</v>
      </c>
      <c r="F153" s="33">
        <v>2</v>
      </c>
      <c r="G153" s="76" t="str">
        <f>_xlfn.XLOOKUP([1]!Tabla3[[#This Row],[ID]],[1]!Tabla2[ID],[1]!Tabla2[Corregimiento],"NA")</f>
        <v>Borrero Ayerbe</v>
      </c>
      <c r="H153" s="16">
        <f>_xlfn.XLOOKUP([1]!Tabla3[[#This Row],[LUGAR ENVÍO]],[1]!Tabla9[[Nombre ]],[1]!Tabla9[Distancia],"NA")</f>
        <v>5.3780000000000001</v>
      </c>
      <c r="I153" s="77">
        <f>[1]!Tabla3[[#This Row],[Valor Tran]]/([1]!Tabla3[[#This Row],[DISTANCIA (km)]]*2)</f>
        <v>2789.1409445890663</v>
      </c>
      <c r="J153" s="36"/>
      <c r="K153" s="33">
        <v>1</v>
      </c>
      <c r="L153" s="37">
        <v>30000</v>
      </c>
      <c r="M153" s="37">
        <v>30000</v>
      </c>
      <c r="N153" s="37">
        <v>730100</v>
      </c>
      <c r="O153" s="19">
        <f>[1]!Tabla3[[#This Row],[VLR. TOTAL FACT.]]-[1]!Tabla3[[#This Row],[VLR. TRANSPORTE]]</f>
        <v>700100</v>
      </c>
      <c r="P153" s="33">
        <v>1</v>
      </c>
      <c r="Q153" s="33" t="s">
        <v>25</v>
      </c>
    </row>
    <row r="154" spans="1:17" ht="27.6" thickBot="1" x14ac:dyDescent="0.35">
      <c r="A154" s="33">
        <v>53676</v>
      </c>
      <c r="B154" s="34" t="s">
        <v>164</v>
      </c>
      <c r="C154" s="33" t="s">
        <v>17</v>
      </c>
      <c r="D154" s="33" t="s">
        <v>61</v>
      </c>
      <c r="E154" s="33" t="s">
        <v>187</v>
      </c>
      <c r="F154" s="33">
        <v>2</v>
      </c>
      <c r="G154" s="46" t="str">
        <f>_xlfn.XLOOKUP([1]!Tabla3[[#This Row],[ID]],[1]!Tabla2[ID],[1]!Tabla2[Corregimiento],"NA")</f>
        <v>Borrero Ayerbe</v>
      </c>
      <c r="H154" s="10">
        <f>_xlfn.XLOOKUP([1]!Tabla3[[#This Row],[LUGAR ENVÍO]],[1]!Tabla9[[Nombre ]],[1]!Tabla9[Distancia],"NA")</f>
        <v>5.3780000000000001</v>
      </c>
      <c r="I154" s="48">
        <f>[1]!Tabla3[[#This Row],[Valor Tran]]/([1]!Tabla3[[#This Row],[DISTANCIA (km)]]*2)</f>
        <v>2789.1409445890663</v>
      </c>
      <c r="J154" s="36"/>
      <c r="K154" s="33">
        <v>1</v>
      </c>
      <c r="L154" s="37">
        <v>30000</v>
      </c>
      <c r="M154" s="37">
        <v>30000</v>
      </c>
      <c r="N154" s="37">
        <v>802500</v>
      </c>
      <c r="O154" s="13">
        <f>[1]!Tabla3[[#This Row],[VLR. TOTAL FACT.]]-[1]!Tabla3[[#This Row],[VLR. TRANSPORTE]]</f>
        <v>772500</v>
      </c>
      <c r="P154" s="33">
        <v>1</v>
      </c>
      <c r="Q154" s="33" t="s">
        <v>22</v>
      </c>
    </row>
    <row r="155" spans="1:17" ht="27.6" thickBot="1" x14ac:dyDescent="0.35">
      <c r="A155" s="14">
        <v>58618</v>
      </c>
      <c r="B155" s="15">
        <v>45999</v>
      </c>
      <c r="C155" s="14" t="s">
        <v>17</v>
      </c>
      <c r="D155" s="14" t="s">
        <v>188</v>
      </c>
      <c r="E155" s="38" t="s">
        <v>187</v>
      </c>
      <c r="F155" s="14">
        <v>2</v>
      </c>
      <c r="G155" s="76" t="str">
        <f>_xlfn.XLOOKUP([1]!Tabla3[[#This Row],[ID]],[1]!Tabla2[ID],[1]!Tabla2[Corregimiento],"NA")</f>
        <v>Borrero Ayerbe</v>
      </c>
      <c r="H155" s="16">
        <f>_xlfn.XLOOKUP([1]!Tabla3[[#This Row],[LUGAR ENVÍO]],[1]!Tabla9[[Nombre ]],[1]!Tabla9[Distancia],"NA")</f>
        <v>5.3780000000000001</v>
      </c>
      <c r="I155" s="77">
        <f>[1]!Tabla3[[#This Row],[Valor Tran]]/([1]!Tabla3[[#This Row],[DISTANCIA (km)]]*2)</f>
        <v>1394.5704722945331</v>
      </c>
      <c r="J155" s="18"/>
      <c r="K155" s="14">
        <v>1</v>
      </c>
      <c r="L155" s="19">
        <v>15000</v>
      </c>
      <c r="M155" s="19">
        <f>[1]!Tabla3[[#This Row],[VLR. TRANSPORTE]]/[1]!Tabla3[[#This Row],[Numero de Transportes]]</f>
        <v>15000</v>
      </c>
      <c r="N155" s="19">
        <v>3404000</v>
      </c>
      <c r="O155" s="19">
        <f>[1]!Tabla3[[#This Row],[VLR. TOTAL FACT.]]-[1]!Tabla3[[#This Row],[VLR. TRANSPORTE]]</f>
        <v>3389000</v>
      </c>
      <c r="P155" s="14">
        <v>1</v>
      </c>
      <c r="Q155" s="14" t="s">
        <v>25</v>
      </c>
    </row>
    <row r="156" spans="1:17" ht="27.6" thickBot="1" x14ac:dyDescent="0.35">
      <c r="A156" s="8">
        <v>46458</v>
      </c>
      <c r="B156" s="9">
        <v>45962</v>
      </c>
      <c r="C156" s="8" t="s">
        <v>17</v>
      </c>
      <c r="D156" s="8" t="s">
        <v>189</v>
      </c>
      <c r="E156" s="27" t="s">
        <v>190</v>
      </c>
      <c r="F156" s="8">
        <v>2</v>
      </c>
      <c r="G156" s="46" t="str">
        <f>_xlfn.XLOOKUP([1]!Tabla3[[#This Row],[ID]],[1]!Tabla2[ID],[1]!Tabla2[Corregimiento],"NA")</f>
        <v>Borrero Ayerbe</v>
      </c>
      <c r="H156" s="10">
        <f>_xlfn.XLOOKUP([1]!Tabla3[[#This Row],[LUGAR ENVÍO]],[1]!Tabla9[[Nombre ]],[1]!Tabla9[Distancia],"NA")</f>
        <v>6.4665800000000022</v>
      </c>
      <c r="I156" s="48">
        <f>[1]!Tabla3[[#This Row],[Valor Tran]]/([1]!Tabla3[[#This Row],[DISTANCIA (km)]]*2)</f>
        <v>2319.618716539499</v>
      </c>
      <c r="J156" s="12"/>
      <c r="K156" s="8">
        <v>1</v>
      </c>
      <c r="L156" s="13">
        <v>30000</v>
      </c>
      <c r="M156" s="13">
        <f>[1]!Tabla3[[#This Row],[VLR. TRANSPORTE]]/[1]!Tabla3[[#This Row],[Numero de Transportes]]</f>
        <v>30000</v>
      </c>
      <c r="N156" s="13">
        <v>994000</v>
      </c>
      <c r="O156" s="13">
        <f>[1]!Tabla3[[#This Row],[VLR. TOTAL FACT.]]-[1]!Tabla3[[#This Row],[VLR. TRANSPORTE]]</f>
        <v>964000</v>
      </c>
      <c r="P156" s="8">
        <v>0</v>
      </c>
      <c r="Q156" s="8" t="s">
        <v>34</v>
      </c>
    </row>
    <row r="157" spans="1:17" ht="27.6" thickBot="1" x14ac:dyDescent="0.35">
      <c r="A157" s="14">
        <v>58894</v>
      </c>
      <c r="B157" s="15">
        <v>45982</v>
      </c>
      <c r="C157" s="14" t="s">
        <v>17</v>
      </c>
      <c r="D157" s="14" t="s">
        <v>191</v>
      </c>
      <c r="E157" s="14" t="s">
        <v>190</v>
      </c>
      <c r="F157" s="14">
        <v>2</v>
      </c>
      <c r="G157" s="76" t="str">
        <f>_xlfn.XLOOKUP([1]!Tabla3[[#This Row],[ID]],[1]!Tabla2[ID],[1]!Tabla2[Corregimiento],"NA")</f>
        <v>Borrero Ayerbe</v>
      </c>
      <c r="H157" s="16">
        <f>_xlfn.XLOOKUP([1]!Tabla3[[#This Row],[LUGAR ENVÍO]],[1]!Tabla9[[Nombre ]],[1]!Tabla9[Distancia],"NA")</f>
        <v>6.4665800000000022</v>
      </c>
      <c r="I157" s="77">
        <f>[1]!Tabla3[[#This Row],[Valor Tran]]/([1]!Tabla3[[#This Row],[DISTANCIA (km)]]*2)</f>
        <v>6185.6499107719983</v>
      </c>
      <c r="J157" s="18"/>
      <c r="K157" s="14">
        <v>1</v>
      </c>
      <c r="L157" s="19">
        <v>80000</v>
      </c>
      <c r="M157" s="19">
        <f>[1]!Tabla3[[#This Row],[VLR. TRANSPORTE]]/[1]!Tabla3[[#This Row],[Numero de Transportes]]</f>
        <v>80000</v>
      </c>
      <c r="N157" s="19">
        <v>4966000</v>
      </c>
      <c r="O157" s="19">
        <f>[1]!Tabla3[[#This Row],[VLR. TOTAL FACT.]]-[1]!Tabla3[[#This Row],[VLR. TRANSPORTE]]</f>
        <v>4886000</v>
      </c>
      <c r="P157" s="14">
        <v>1</v>
      </c>
      <c r="Q157" s="14" t="s">
        <v>25</v>
      </c>
    </row>
    <row r="158" spans="1:17" ht="27.6" thickBot="1" x14ac:dyDescent="0.35">
      <c r="A158" s="8">
        <v>47250</v>
      </c>
      <c r="B158" s="9">
        <v>45971</v>
      </c>
      <c r="C158" s="8" t="s">
        <v>17</v>
      </c>
      <c r="D158" s="8" t="s">
        <v>192</v>
      </c>
      <c r="E158" s="8" t="s">
        <v>193</v>
      </c>
      <c r="F158" s="8">
        <v>2</v>
      </c>
      <c r="G158" s="46" t="str">
        <f>_xlfn.XLOOKUP([1]!Tabla3[[#This Row],[ID]],[1]!Tabla2[ID],[1]!Tabla2[Corregimiento],"NA")</f>
        <v>Borrero Ayerbe</v>
      </c>
      <c r="H158" s="10">
        <f>_xlfn.XLOOKUP([1]!Tabla3[[#This Row],[LUGAR ENVÍO]],[1]!Tabla9[[Nombre ]],[1]!Tabla9[Distancia],"NA")</f>
        <v>6.9730000000000016</v>
      </c>
      <c r="I158" s="48">
        <f>[1]!Tabla3[[#This Row],[Valor Tran]]/([1]!Tabla3[[#This Row],[DISTANCIA (km)]]*2)</f>
        <v>2868.2059371862892</v>
      </c>
      <c r="J158" s="12"/>
      <c r="K158" s="8">
        <v>1</v>
      </c>
      <c r="L158" s="13">
        <v>40000</v>
      </c>
      <c r="M158" s="13">
        <f>[1]!Tabla3[[#This Row],[VLR. TRANSPORTE]]/[1]!Tabla3[[#This Row],[Numero de Transportes]]</f>
        <v>40000</v>
      </c>
      <c r="N158" s="13">
        <v>618500</v>
      </c>
      <c r="O158" s="13">
        <f>[1]!Tabla3[[#This Row],[VLR. TOTAL FACT.]]-[1]!Tabla3[[#This Row],[VLR. TRANSPORTE]]</f>
        <v>578500</v>
      </c>
      <c r="P158" s="8">
        <v>0</v>
      </c>
      <c r="Q158" s="8" t="s">
        <v>25</v>
      </c>
    </row>
    <row r="159" spans="1:17" ht="27.6" thickBot="1" x14ac:dyDescent="0.35">
      <c r="A159" s="14">
        <v>58776</v>
      </c>
      <c r="B159" s="15">
        <v>45990</v>
      </c>
      <c r="C159" s="14" t="s">
        <v>17</v>
      </c>
      <c r="D159" s="14" t="s">
        <v>150</v>
      </c>
      <c r="E159" s="38" t="s">
        <v>193</v>
      </c>
      <c r="F159" s="14">
        <v>2</v>
      </c>
      <c r="G159" s="76" t="str">
        <f>_xlfn.XLOOKUP([1]!Tabla3[[#This Row],[ID]],[1]!Tabla2[ID],[1]!Tabla2[Corregimiento],"NA")</f>
        <v>Borrero Ayerbe</v>
      </c>
      <c r="H159" s="16">
        <f>_xlfn.XLOOKUP([1]!Tabla3[[#This Row],[LUGAR ENVÍO]],[1]!Tabla9[[Nombre ]],[1]!Tabla9[Distancia],"NA")</f>
        <v>6.9730000000000016</v>
      </c>
      <c r="I159" s="77">
        <f>[1]!Tabla3[[#This Row],[Valor Tran]]/([1]!Tabla3[[#This Row],[DISTANCIA (km)]]*2)</f>
        <v>3585.2574214828614</v>
      </c>
      <c r="J159" s="18"/>
      <c r="K159" s="14">
        <v>1</v>
      </c>
      <c r="L159" s="19">
        <v>50000</v>
      </c>
      <c r="M159" s="19">
        <f>[1]!Tabla3[[#This Row],[VLR. TRANSPORTE]]/[1]!Tabla3[[#This Row],[Numero de Transportes]]</f>
        <v>50000</v>
      </c>
      <c r="N159" s="19">
        <v>1769000</v>
      </c>
      <c r="O159" s="19">
        <f>[1]!Tabla3[[#This Row],[VLR. TOTAL FACT.]]-[1]!Tabla3[[#This Row],[VLR. TRANSPORTE]]</f>
        <v>1719000</v>
      </c>
      <c r="P159" s="14">
        <v>1</v>
      </c>
      <c r="Q159" s="14" t="s">
        <v>34</v>
      </c>
    </row>
    <row r="160" spans="1:17" ht="27.6" thickBot="1" x14ac:dyDescent="0.35">
      <c r="A160" s="8">
        <v>58733</v>
      </c>
      <c r="B160" s="26">
        <v>46003</v>
      </c>
      <c r="C160" s="8" t="s">
        <v>17</v>
      </c>
      <c r="D160" s="8" t="s">
        <v>186</v>
      </c>
      <c r="E160" s="8" t="s">
        <v>193</v>
      </c>
      <c r="F160" s="8">
        <v>2</v>
      </c>
      <c r="G160" s="46" t="str">
        <f>_xlfn.XLOOKUP([1]!Tabla3[[#This Row],[ID]],[1]!Tabla2[ID],[1]!Tabla2[Corregimiento],"NA")</f>
        <v>Borrero Ayerbe</v>
      </c>
      <c r="H160" s="10">
        <f>_xlfn.XLOOKUP([1]!Tabla3[[#This Row],[LUGAR ENVÍO]],[1]!Tabla9[[Nombre ]],[1]!Tabla9[Distancia],"NA")</f>
        <v>6.9730000000000016</v>
      </c>
      <c r="I160" s="48">
        <f>[1]!Tabla3[[#This Row],[Valor Tran]]/([1]!Tabla3[[#This Row],[DISTANCIA (km)]]*2)</f>
        <v>2151.154452889717</v>
      </c>
      <c r="J160" s="12"/>
      <c r="K160" s="8">
        <v>3</v>
      </c>
      <c r="L160" s="13">
        <v>90000</v>
      </c>
      <c r="M160" s="13">
        <f>[1]!Tabla3[[#This Row],[VLR. TRANSPORTE]]/[1]!Tabla3[[#This Row],[Numero de Transportes]]</f>
        <v>30000</v>
      </c>
      <c r="N160" s="13">
        <v>2130000</v>
      </c>
      <c r="O160" s="13">
        <f>[1]!Tabla3[[#This Row],[VLR. TOTAL FACT.]]-[1]!Tabla3[[#This Row],[VLR. TRANSPORTE]]</f>
        <v>2040000</v>
      </c>
      <c r="P160" s="8">
        <v>1</v>
      </c>
      <c r="Q160" s="8" t="s">
        <v>25</v>
      </c>
    </row>
    <row r="161" spans="1:17" ht="27.6" thickBot="1" x14ac:dyDescent="0.35">
      <c r="A161" s="14">
        <v>48240</v>
      </c>
      <c r="B161" s="28">
        <v>45982</v>
      </c>
      <c r="C161" s="14" t="s">
        <v>17</v>
      </c>
      <c r="D161" s="14" t="s">
        <v>194</v>
      </c>
      <c r="E161" s="14" t="s">
        <v>195</v>
      </c>
      <c r="F161" s="14">
        <v>10</v>
      </c>
      <c r="G161" s="76" t="str">
        <f>_xlfn.XLOOKUP([1]!Tabla3[[#This Row],[ID]],[1]!Tabla2[ID],[1]!Tabla2[Corregimiento],"NA")</f>
        <v>El Queremal</v>
      </c>
      <c r="H161" s="16">
        <f>_xlfn.XLOOKUP([1]!Tabla3[[#This Row],[LUGAR ENVÍO]],[1]!Tabla9[[Nombre ]],[1]!Tabla9[Distancia],"NA")</f>
        <v>18.542000000000002</v>
      </c>
      <c r="I161" s="78">
        <f>[1]!Tabla3[[#This Row],[Valor Tran]]/([1]!Tabla3[[#This Row],[DISTANCIA (km)]]*2)</f>
        <v>2049.4013590766904</v>
      </c>
      <c r="J161" s="18"/>
      <c r="K161" s="14">
        <v>1</v>
      </c>
      <c r="L161" s="19">
        <v>76000</v>
      </c>
      <c r="M161" s="19">
        <f>[1]!Tabla3[[#This Row],[VLR. TRANSPORTE]]/[1]!Tabla3[[#This Row],[Numero de Transportes]]</f>
        <v>76000</v>
      </c>
      <c r="N161" s="19">
        <v>1400000</v>
      </c>
      <c r="O161" s="19">
        <f>[1]!Tabla3[[#This Row],[VLR. TOTAL FACT.]]-[1]!Tabla3[[#This Row],[VLR. TRANSPORTE]]</f>
        <v>1324000</v>
      </c>
      <c r="P161" s="14">
        <v>1</v>
      </c>
      <c r="Q161" s="14" t="s">
        <v>25</v>
      </c>
    </row>
    <row r="162" spans="1:17" ht="27.6" thickBot="1" x14ac:dyDescent="0.35">
      <c r="A162" s="8">
        <v>58637</v>
      </c>
      <c r="B162" s="26">
        <v>45991</v>
      </c>
      <c r="C162" s="8" t="s">
        <v>17</v>
      </c>
      <c r="D162" s="8" t="s">
        <v>196</v>
      </c>
      <c r="E162" s="8" t="s">
        <v>195</v>
      </c>
      <c r="F162" s="8">
        <v>10</v>
      </c>
      <c r="G162" s="46" t="str">
        <f>_xlfn.XLOOKUP([1]!Tabla3[[#This Row],[ID]],[1]!Tabla2[ID],[1]!Tabla2[Corregimiento],"NA")</f>
        <v>El Queremal</v>
      </c>
      <c r="H162" s="10">
        <f>_xlfn.XLOOKUP([1]!Tabla3[[#This Row],[LUGAR ENVÍO]],[1]!Tabla9[[Nombre ]],[1]!Tabla9[Distancia],"NA")</f>
        <v>18.542000000000002</v>
      </c>
      <c r="I162" s="48">
        <f>[1]!Tabla3[[#This Row],[Valor Tran]]/([1]!Tabla3[[#This Row],[DISTANCIA (km)]]*2)</f>
        <v>1348.2903678136122</v>
      </c>
      <c r="J162" s="12"/>
      <c r="K162" s="8">
        <v>1</v>
      </c>
      <c r="L162" s="13">
        <v>50000</v>
      </c>
      <c r="M162" s="13">
        <f>[1]!Tabla3[[#This Row],[VLR. TRANSPORTE]]/[1]!Tabla3[[#This Row],[Numero de Transportes]]</f>
        <v>50000</v>
      </c>
      <c r="N162" s="13">
        <v>1673000</v>
      </c>
      <c r="O162" s="13">
        <f>[1]!Tabla3[[#This Row],[VLR. TOTAL FACT.]]-[1]!Tabla3[[#This Row],[VLR. TRANSPORTE]]</f>
        <v>1623000</v>
      </c>
      <c r="P162" s="8">
        <v>1</v>
      </c>
      <c r="Q162" s="8" t="s">
        <v>25</v>
      </c>
    </row>
    <row r="163" spans="1:17" ht="15" thickBot="1" x14ac:dyDescent="0.35">
      <c r="A163" s="14">
        <v>30562</v>
      </c>
      <c r="B163" s="28">
        <v>45989</v>
      </c>
      <c r="C163" s="14" t="s">
        <v>17</v>
      </c>
      <c r="D163" s="14" t="s">
        <v>23</v>
      </c>
      <c r="E163" s="14" t="s">
        <v>195</v>
      </c>
      <c r="F163" s="14">
        <v>10</v>
      </c>
      <c r="G163" s="76" t="str">
        <f>_xlfn.XLOOKUP([1]!Tabla3[[#This Row],[ID]],[1]!Tabla2[ID],[1]!Tabla2[Corregimiento],"NA")</f>
        <v>El Queremal</v>
      </c>
      <c r="H163" s="16">
        <f>_xlfn.XLOOKUP([1]!Tabla3[[#This Row],[LUGAR ENVÍO]],[1]!Tabla9[[Nombre ]],[1]!Tabla9[Distancia],"NA")</f>
        <v>18.542000000000002</v>
      </c>
      <c r="I163" s="77">
        <f>[1]!Tabla3[[#This Row],[Valor Tran]]/([1]!Tabla3[[#This Row],[DISTANCIA (km)]]*2)</f>
        <v>2157.2645885017796</v>
      </c>
      <c r="J163" s="18"/>
      <c r="K163" s="14">
        <v>1</v>
      </c>
      <c r="L163" s="19">
        <v>80000</v>
      </c>
      <c r="M163" s="19">
        <f>[1]!Tabla3[[#This Row],[VLR. TRANSPORTE]]/[1]!Tabla3[[#This Row],[Numero de Transportes]]</f>
        <v>80000</v>
      </c>
      <c r="N163" s="19">
        <v>3032800</v>
      </c>
      <c r="O163" s="19">
        <f>[1]!Tabla3[[#This Row],[VLR. TOTAL FACT.]]-[1]!Tabla3[[#This Row],[VLR. TRANSPORTE]]</f>
        <v>2952800</v>
      </c>
      <c r="P163" s="14">
        <v>0</v>
      </c>
      <c r="Q163" s="14" t="s">
        <v>34</v>
      </c>
    </row>
    <row r="164" spans="1:17" ht="15" thickBot="1" x14ac:dyDescent="0.35">
      <c r="A164" s="8">
        <v>58803</v>
      </c>
      <c r="B164" s="26">
        <v>46005</v>
      </c>
      <c r="C164" s="8" t="s">
        <v>17</v>
      </c>
      <c r="D164" s="8" t="s">
        <v>154</v>
      </c>
      <c r="E164" s="8" t="s">
        <v>195</v>
      </c>
      <c r="F164" s="8">
        <v>10</v>
      </c>
      <c r="G164" s="46" t="str">
        <f>_xlfn.XLOOKUP([1]!Tabla3[[#This Row],[ID]],[1]!Tabla2[ID],[1]!Tabla2[Corregimiento],"NA")</f>
        <v>El Queremal</v>
      </c>
      <c r="H164" s="10">
        <f>_xlfn.XLOOKUP([1]!Tabla3[[#This Row],[LUGAR ENVÍO]],[1]!Tabla9[[Nombre ]],[1]!Tabla9[Distancia],"NA")</f>
        <v>18.542000000000002</v>
      </c>
      <c r="I164" s="48">
        <f>[1]!Tabla3[[#This Row],[Valor Tran]]/([1]!Tabla3[[#This Row],[DISTANCIA (km)]]*2)</f>
        <v>404.48711034408365</v>
      </c>
      <c r="J164" s="12"/>
      <c r="K164" s="8">
        <v>1</v>
      </c>
      <c r="L164" s="13">
        <v>15000</v>
      </c>
      <c r="M164" s="13">
        <f>[1]!Tabla3[[#This Row],[VLR. TRANSPORTE]]/[1]!Tabla3[[#This Row],[Numero de Transportes]]</f>
        <v>15000</v>
      </c>
      <c r="N164" s="13">
        <v>4936000</v>
      </c>
      <c r="O164" s="13">
        <f>[1]!Tabla3[[#This Row],[VLR. TOTAL FACT.]]-[1]!Tabla3[[#This Row],[VLR. TRANSPORTE]]</f>
        <v>4921000</v>
      </c>
      <c r="P164" s="8">
        <v>1</v>
      </c>
      <c r="Q164" s="8" t="s">
        <v>34</v>
      </c>
    </row>
    <row r="165" spans="1:17" ht="27.6" thickBot="1" x14ac:dyDescent="0.35">
      <c r="A165" s="20">
        <v>47019</v>
      </c>
      <c r="B165" s="21">
        <v>45969</v>
      </c>
      <c r="C165" s="20" t="s">
        <v>17</v>
      </c>
      <c r="D165" s="20" t="s">
        <v>23</v>
      </c>
      <c r="E165" s="20" t="s">
        <v>197</v>
      </c>
      <c r="F165" s="20">
        <v>2</v>
      </c>
      <c r="G165" s="67" t="str">
        <f>_xlfn.XLOOKUP([1]!Tabla3[[#This Row],[ID]],[1]!Tabla2[ID],[1]!Tabla2[Corregimiento],"NA")</f>
        <v>Borrero Ayerbe</v>
      </c>
      <c r="H165" s="16">
        <f>_xlfn.XLOOKUP([1]!Tabla3[[#This Row],[LUGAR ENVÍO]],[1]!Tabla9[[Nombre ]],[1]!Tabla9[Distancia],"NA")</f>
        <v>0.83599999999999997</v>
      </c>
      <c r="I165" s="79">
        <f>[1]!Tabla3[[#This Row],[Valor Tran]]/([1]!Tabla3[[#This Row],[DISTANCIA (km)]]*2)</f>
        <v>5980.8612440191391</v>
      </c>
      <c r="J165" s="24"/>
      <c r="K165" s="20">
        <v>1</v>
      </c>
      <c r="L165" s="25">
        <v>10000</v>
      </c>
      <c r="M165" s="25">
        <f>[1]!Tabla3[[#This Row],[VLR. TRANSPORTE]]/[1]!Tabla3[[#This Row],[Numero de Transportes]]</f>
        <v>10000</v>
      </c>
      <c r="N165" s="25">
        <v>134800</v>
      </c>
      <c r="O165" s="25">
        <f>[1]!Tabla3[[#This Row],[VLR. TOTAL FACT.]]-[1]!Tabla3[[#This Row],[VLR. TRANSPORTE]]</f>
        <v>124800</v>
      </c>
      <c r="P165" s="20">
        <v>0</v>
      </c>
      <c r="Q165" s="20" t="s">
        <v>25</v>
      </c>
    </row>
    <row r="166" spans="1:17" ht="27.6" thickBot="1" x14ac:dyDescent="0.35">
      <c r="A166" s="8">
        <v>58718</v>
      </c>
      <c r="B166" s="26">
        <v>45986</v>
      </c>
      <c r="C166" s="8" t="s">
        <v>17</v>
      </c>
      <c r="D166" s="8" t="s">
        <v>97</v>
      </c>
      <c r="E166" s="8" t="s">
        <v>197</v>
      </c>
      <c r="F166" s="8">
        <v>2</v>
      </c>
      <c r="G166" s="46" t="str">
        <f>_xlfn.XLOOKUP([1]!Tabla3[[#This Row],[ID]],[1]!Tabla2[ID],[1]!Tabla2[Corregimiento],"NA")</f>
        <v>Borrero Ayerbe</v>
      </c>
      <c r="H166" s="10">
        <f>_xlfn.XLOOKUP([1]!Tabla3[[#This Row],[LUGAR ENVÍO]],[1]!Tabla9[[Nombre ]],[1]!Tabla9[Distancia],"NA")</f>
        <v>0.83599999999999997</v>
      </c>
      <c r="I166" s="48">
        <f>[1]!Tabla3[[#This Row],[Valor Tran]]/([1]!Tabla3[[#This Row],[DISTANCIA (km)]]*2)</f>
        <v>47846.889952153113</v>
      </c>
      <c r="J166" s="12"/>
      <c r="K166" s="8">
        <v>1</v>
      </c>
      <c r="L166" s="13">
        <v>80000</v>
      </c>
      <c r="M166" s="13">
        <f>[1]!Tabla3[[#This Row],[VLR. TRANSPORTE]]/[1]!Tabla3[[#This Row],[Numero de Transportes]]</f>
        <v>80000</v>
      </c>
      <c r="N166" s="13">
        <v>252000</v>
      </c>
      <c r="O166" s="13">
        <f>[1]!Tabla3[[#This Row],[VLR. TOTAL FACT.]]-[1]!Tabla3[[#This Row],[VLR. TRANSPORTE]]</f>
        <v>172000</v>
      </c>
      <c r="P166" s="8">
        <v>1</v>
      </c>
      <c r="Q166" s="8" t="s">
        <v>25</v>
      </c>
    </row>
    <row r="167" spans="1:17" ht="27.6" thickBot="1" x14ac:dyDescent="0.35">
      <c r="A167" s="29">
        <v>49224</v>
      </c>
      <c r="B167" s="30" t="s">
        <v>39</v>
      </c>
      <c r="C167" s="29" t="s">
        <v>17</v>
      </c>
      <c r="D167" s="29" t="s">
        <v>61</v>
      </c>
      <c r="E167" s="29" t="s">
        <v>197</v>
      </c>
      <c r="F167" s="29">
        <v>2</v>
      </c>
      <c r="G167" s="76" t="str">
        <f>_xlfn.XLOOKUP([1]!Tabla3[[#This Row],[ID]],[1]!Tabla2[ID],[1]!Tabla2[Corregimiento],"NA")</f>
        <v>Borrero Ayerbe</v>
      </c>
      <c r="H167" s="16">
        <f>_xlfn.XLOOKUP([1]!Tabla3[[#This Row],[LUGAR ENVÍO]],[1]!Tabla9[[Nombre ]],[1]!Tabla9[Distancia],"NA")</f>
        <v>0.83599999999999997</v>
      </c>
      <c r="I167" s="77">
        <f>[1]!Tabla3[[#This Row],[Valor Tran]]/([1]!Tabla3[[#This Row],[DISTANCIA (km)]]*2)</f>
        <v>17942.583732057417</v>
      </c>
      <c r="J167" s="31"/>
      <c r="K167" s="29">
        <v>1</v>
      </c>
      <c r="L167" s="32">
        <v>30000</v>
      </c>
      <c r="M167" s="32">
        <v>30000</v>
      </c>
      <c r="N167" s="32">
        <v>392600</v>
      </c>
      <c r="O167" s="19">
        <f>[1]!Tabla3[[#This Row],[VLR. TOTAL FACT.]]-[1]!Tabla3[[#This Row],[VLR. TRANSPORTE]]</f>
        <v>362600</v>
      </c>
      <c r="P167" s="29">
        <v>1</v>
      </c>
      <c r="Q167" s="29" t="s">
        <v>34</v>
      </c>
    </row>
    <row r="168" spans="1:17" ht="27.6" thickBot="1" x14ac:dyDescent="0.35">
      <c r="A168" s="20">
        <v>58126</v>
      </c>
      <c r="B168" s="21">
        <v>45967</v>
      </c>
      <c r="C168" s="20" t="s">
        <v>27</v>
      </c>
      <c r="D168" s="20" t="s">
        <v>74</v>
      </c>
      <c r="E168" s="20" t="s">
        <v>197</v>
      </c>
      <c r="F168" s="20">
        <v>2</v>
      </c>
      <c r="G168" s="67" t="str">
        <f>_xlfn.XLOOKUP([1]!Tabla3[[#This Row],[ID]],[1]!Tabla2[ID],[1]!Tabla2[Corregimiento],"NA")</f>
        <v>Borrero Ayerbe</v>
      </c>
      <c r="H168" s="10">
        <f>_xlfn.XLOOKUP([1]!Tabla3[[#This Row],[LUGAR ENVÍO]],[1]!Tabla9[[Nombre ]],[1]!Tabla9[Distancia],"NA")</f>
        <v>0.83599999999999997</v>
      </c>
      <c r="I168" s="69">
        <f>[1]!Tabla3[[#This Row],[Valor Tran]]/([1]!Tabla3[[#This Row],[DISTANCIA (km)]]*2)</f>
        <v>17942.583732057417</v>
      </c>
      <c r="J168" s="24"/>
      <c r="K168" s="20">
        <v>1</v>
      </c>
      <c r="L168" s="25">
        <v>30000</v>
      </c>
      <c r="M168" s="25">
        <f>[1]!Tabla3[[#This Row],[VLR. TRANSPORTE]]/[1]!Tabla3[[#This Row],[Numero de Transportes]]</f>
        <v>30000</v>
      </c>
      <c r="N168" s="25">
        <v>412000</v>
      </c>
      <c r="O168" s="25">
        <f>[1]!Tabla3[[#This Row],[VLR. TOTAL FACT.]]-[1]!Tabla3[[#This Row],[VLR. TRANSPORTE]]</f>
        <v>382000</v>
      </c>
      <c r="P168" s="20">
        <v>1</v>
      </c>
      <c r="Q168" s="20" t="s">
        <v>22</v>
      </c>
    </row>
    <row r="169" spans="1:17" ht="27.6" thickBot="1" x14ac:dyDescent="0.35">
      <c r="A169" s="33">
        <v>50576</v>
      </c>
      <c r="B169" s="34" t="s">
        <v>92</v>
      </c>
      <c r="C169" s="33" t="s">
        <v>17</v>
      </c>
      <c r="D169" s="33" t="s">
        <v>94</v>
      </c>
      <c r="E169" s="33" t="s">
        <v>197</v>
      </c>
      <c r="F169" s="33">
        <v>2</v>
      </c>
      <c r="G169" s="76" t="str">
        <f>_xlfn.XLOOKUP([1]!Tabla3[[#This Row],[ID]],[1]!Tabla2[ID],[1]!Tabla2[Corregimiento],"NA")</f>
        <v>Borrero Ayerbe</v>
      </c>
      <c r="H169" s="16">
        <f>_xlfn.XLOOKUP([1]!Tabla3[[#This Row],[LUGAR ENVÍO]],[1]!Tabla9[[Nombre ]],[1]!Tabla9[Distancia],"NA")</f>
        <v>0.83599999999999997</v>
      </c>
      <c r="I169" s="77">
        <f>[1]!Tabla3[[#This Row],[Valor Tran]]/([1]!Tabla3[[#This Row],[DISTANCIA (km)]]*2)</f>
        <v>17942.583732057417</v>
      </c>
      <c r="J169" s="36"/>
      <c r="K169" s="33">
        <v>1</v>
      </c>
      <c r="L169" s="37">
        <v>30000</v>
      </c>
      <c r="M169" s="37">
        <v>30000</v>
      </c>
      <c r="N169" s="37">
        <v>448100</v>
      </c>
      <c r="O169" s="19">
        <f>[1]!Tabla3[[#This Row],[VLR. TOTAL FACT.]]-[1]!Tabla3[[#This Row],[VLR. TRANSPORTE]]</f>
        <v>418100</v>
      </c>
      <c r="P169" s="33">
        <v>1</v>
      </c>
      <c r="Q169" s="33" t="s">
        <v>22</v>
      </c>
    </row>
    <row r="170" spans="1:17" ht="27.6" thickBot="1" x14ac:dyDescent="0.35">
      <c r="A170" s="8">
        <v>30623</v>
      </c>
      <c r="B170" s="9">
        <v>45983</v>
      </c>
      <c r="C170" s="8" t="s">
        <v>27</v>
      </c>
      <c r="D170" s="8" t="s">
        <v>198</v>
      </c>
      <c r="E170" s="40" t="s">
        <v>199</v>
      </c>
      <c r="F170" s="8">
        <v>8</v>
      </c>
      <c r="G170" s="46" t="str">
        <f>_xlfn.XLOOKUP([1]!Tabla3[[#This Row],[ID]],[1]!Tabla2[ID],[1]!Tabla2[Corregimiento],"NA")</f>
        <v>El Palmar</v>
      </c>
      <c r="H170" s="10">
        <f>_xlfn.XLOOKUP([1]!Tabla3[[#This Row],[LUGAR ENVÍO]],[1]!Tabla9[[Nombre ]],[1]!Tabla9[Distancia],"NA")</f>
        <v>4.9299999999999988</v>
      </c>
      <c r="I170" s="63">
        <f>[1]!Tabla3[[#This Row],[Valor Tran]]/([1]!Tabla3[[#This Row],[DISTANCIA (km)]]*2)</f>
        <v>2535.4969574036518</v>
      </c>
      <c r="J170" s="12"/>
      <c r="K170" s="8">
        <v>1</v>
      </c>
      <c r="L170" s="13">
        <v>25000</v>
      </c>
      <c r="M170" s="13">
        <f>[1]!Tabla3[[#This Row],[VLR. TRANSPORTE]]/[1]!Tabla3[[#This Row],[Numero de Transportes]]</f>
        <v>25000</v>
      </c>
      <c r="N170" s="13">
        <v>152200</v>
      </c>
      <c r="O170" s="13">
        <f>[1]!Tabla3[[#This Row],[VLR. TOTAL FACT.]]-[1]!Tabla3[[#This Row],[VLR. TRANSPORTE]]</f>
        <v>127200</v>
      </c>
      <c r="P170" s="8">
        <v>0</v>
      </c>
      <c r="Q170" s="8" t="s">
        <v>22</v>
      </c>
    </row>
    <row r="171" spans="1:17" ht="15" thickBot="1" x14ac:dyDescent="0.35">
      <c r="A171" s="14">
        <v>57685</v>
      </c>
      <c r="B171" s="28">
        <v>45962</v>
      </c>
      <c r="C171" s="14" t="s">
        <v>27</v>
      </c>
      <c r="D171" s="14" t="s">
        <v>200</v>
      </c>
      <c r="E171" s="40" t="s">
        <v>199</v>
      </c>
      <c r="F171" s="14">
        <v>8</v>
      </c>
      <c r="G171" s="76" t="str">
        <f>_xlfn.XLOOKUP([1]!Tabla3[[#This Row],[ID]],[1]!Tabla2[ID],[1]!Tabla2[Corregimiento],"NA")</f>
        <v>El Palmar</v>
      </c>
      <c r="H171" s="16">
        <f>_xlfn.XLOOKUP([1]!Tabla3[[#This Row],[LUGAR ENVÍO]],[1]!Tabla9[[Nombre ]],[1]!Tabla9[Distancia],"NA")</f>
        <v>4.9299999999999988</v>
      </c>
      <c r="I171" s="77">
        <f>[1]!Tabla3[[#This Row],[Valor Tran]]/([1]!Tabla3[[#This Row],[DISTANCIA (km)]]*2)</f>
        <v>8113.5902636916853</v>
      </c>
      <c r="J171" s="18"/>
      <c r="K171" s="14">
        <v>1</v>
      </c>
      <c r="L171" s="19">
        <v>80000</v>
      </c>
      <c r="M171" s="19">
        <f>[1]!Tabla3[[#This Row],[VLR. TRANSPORTE]]/[1]!Tabla3[[#This Row],[Numero de Transportes]]</f>
        <v>80000</v>
      </c>
      <c r="N171" s="19">
        <v>415000</v>
      </c>
      <c r="O171" s="19">
        <f>[1]!Tabla3[[#This Row],[VLR. TOTAL FACT.]]-[1]!Tabla3[[#This Row],[VLR. TRANSPORTE]]</f>
        <v>335000</v>
      </c>
      <c r="P171" s="14">
        <v>0</v>
      </c>
      <c r="Q171" s="14" t="s">
        <v>22</v>
      </c>
    </row>
    <row r="172" spans="1:17" ht="27.6" thickBot="1" x14ac:dyDescent="0.35">
      <c r="A172" s="8">
        <v>58804</v>
      </c>
      <c r="B172" s="26">
        <v>45993</v>
      </c>
      <c r="C172" s="8" t="s">
        <v>17</v>
      </c>
      <c r="D172" s="8" t="s">
        <v>104</v>
      </c>
      <c r="E172" s="8" t="s">
        <v>199</v>
      </c>
      <c r="F172" s="8">
        <v>8</v>
      </c>
      <c r="G172" s="46" t="str">
        <f>_xlfn.XLOOKUP([1]!Tabla3[[#This Row],[ID]],[1]!Tabla2[ID],[1]!Tabla2[Corregimiento],"NA")</f>
        <v>El Palmar</v>
      </c>
      <c r="H172" s="10">
        <f>_xlfn.XLOOKUP([1]!Tabla3[[#This Row],[LUGAR ENVÍO]],[1]!Tabla9[[Nombre ]],[1]!Tabla9[Distancia],"NA")</f>
        <v>4.9299999999999988</v>
      </c>
      <c r="I172" s="48">
        <f>[1]!Tabla3[[#This Row],[Valor Tran]]/([1]!Tabla3[[#This Row],[DISTANCIA (km)]]*2)</f>
        <v>1521.2981744421911</v>
      </c>
      <c r="J172" s="12"/>
      <c r="K172" s="8">
        <v>1</v>
      </c>
      <c r="L172" s="13">
        <v>15000</v>
      </c>
      <c r="M172" s="13">
        <f>[1]!Tabla3[[#This Row],[VLR. TRANSPORTE]]/[1]!Tabla3[[#This Row],[Numero de Transportes]]</f>
        <v>15000</v>
      </c>
      <c r="N172" s="13">
        <v>2515000</v>
      </c>
      <c r="O172" s="13">
        <f>[1]!Tabla3[[#This Row],[VLR. TOTAL FACT.]]-[1]!Tabla3[[#This Row],[VLR. TRANSPORTE]]</f>
        <v>2500000</v>
      </c>
      <c r="P172" s="8">
        <v>1</v>
      </c>
      <c r="Q172" s="8" t="s">
        <v>22</v>
      </c>
    </row>
    <row r="173" spans="1:17" ht="27.6" thickBot="1" x14ac:dyDescent="0.35">
      <c r="A173" s="14">
        <v>46851</v>
      </c>
      <c r="B173" s="28">
        <v>45967</v>
      </c>
      <c r="C173" s="14" t="s">
        <v>17</v>
      </c>
      <c r="D173" s="14" t="s">
        <v>201</v>
      </c>
      <c r="E173" s="14" t="s">
        <v>202</v>
      </c>
      <c r="F173" s="14">
        <v>6</v>
      </c>
      <c r="G173" s="76" t="str">
        <f>_xlfn.XLOOKUP([1]!Tabla3[[#This Row],[ID]],[1]!Tabla2[ID],[1]!Tabla2[Corregimiento],"NA")</f>
        <v>El Limonar</v>
      </c>
      <c r="H173" s="16">
        <f>_xlfn.XLOOKUP([1]!Tabla3[[#This Row],[LUGAR ENVÍO]],[1]!Tabla9[[Nombre ]],[1]!Tabla9[Distancia],"NA")</f>
        <v>4.7129999999999992</v>
      </c>
      <c r="I173" s="77">
        <f>[1]!Tabla3[[#This Row],[Valor Tran]]/([1]!Tabla3[[#This Row],[DISTANCIA (km)]]*2)</f>
        <v>1591.3430935709741</v>
      </c>
      <c r="J173" s="18"/>
      <c r="K173" s="14">
        <v>1</v>
      </c>
      <c r="L173" s="19">
        <v>15000</v>
      </c>
      <c r="M173" s="19">
        <f>[1]!Tabla3[[#This Row],[VLR. TRANSPORTE]]/[1]!Tabla3[[#This Row],[Numero de Transportes]]</f>
        <v>15000</v>
      </c>
      <c r="N173" s="19">
        <v>562000</v>
      </c>
      <c r="O173" s="19">
        <f>[1]!Tabla3[[#This Row],[VLR. TOTAL FACT.]]-[1]!Tabla3[[#This Row],[VLR. TRANSPORTE]]</f>
        <v>547000</v>
      </c>
      <c r="P173" s="14">
        <v>1</v>
      </c>
      <c r="Q173" s="14" t="s">
        <v>25</v>
      </c>
    </row>
    <row r="174" spans="1:17" ht="15" thickBot="1" x14ac:dyDescent="0.35">
      <c r="A174" s="33">
        <v>37328</v>
      </c>
      <c r="B174" s="34" t="s">
        <v>95</v>
      </c>
      <c r="C174" s="33" t="s">
        <v>27</v>
      </c>
      <c r="D174" s="33" t="s">
        <v>40</v>
      </c>
      <c r="E174" s="44" t="s">
        <v>202</v>
      </c>
      <c r="F174" s="33">
        <v>6</v>
      </c>
      <c r="G174" s="46" t="str">
        <f>_xlfn.XLOOKUP([1]!Tabla3[[#This Row],[ID]],[1]!Tabla2[ID],[1]!Tabla2[Corregimiento],"NA")</f>
        <v>El Limonar</v>
      </c>
      <c r="H174" s="10">
        <f>_xlfn.XLOOKUP([1]!Tabla3[[#This Row],[LUGAR ENVÍO]],[1]!Tabla9[[Nombre ]],[1]!Tabla9[Distancia],"NA")</f>
        <v>4.7129999999999992</v>
      </c>
      <c r="I174" s="48">
        <f>[1]!Tabla3[[#This Row],[Valor Tran]]/([1]!Tabla3[[#This Row],[DISTANCIA (km)]]*2)</f>
        <v>1591.3430935709741</v>
      </c>
      <c r="J174" s="36"/>
      <c r="K174" s="33">
        <v>1</v>
      </c>
      <c r="L174" s="37">
        <v>15000</v>
      </c>
      <c r="M174" s="37">
        <v>15000</v>
      </c>
      <c r="N174" s="37">
        <v>592000</v>
      </c>
      <c r="O174" s="13">
        <f>[1]!Tabla3[[#This Row],[VLR. TOTAL FACT.]]-[1]!Tabla3[[#This Row],[VLR. TRANSPORTE]]</f>
        <v>577000</v>
      </c>
      <c r="P174" s="33">
        <v>1</v>
      </c>
      <c r="Q174" s="33" t="s">
        <v>22</v>
      </c>
    </row>
    <row r="175" spans="1:17" ht="27.6" thickBot="1" x14ac:dyDescent="0.35">
      <c r="A175" s="33">
        <v>55154</v>
      </c>
      <c r="B175" s="34" t="s">
        <v>105</v>
      </c>
      <c r="C175" s="33" t="s">
        <v>17</v>
      </c>
      <c r="D175" s="33" t="s">
        <v>51</v>
      </c>
      <c r="E175" s="33" t="s">
        <v>202</v>
      </c>
      <c r="F175" s="33">
        <v>6</v>
      </c>
      <c r="G175" s="76" t="str">
        <f>_xlfn.XLOOKUP([1]!Tabla3[[#This Row],[ID]],[1]!Tabla2[ID],[1]!Tabla2[Corregimiento],"NA")</f>
        <v>El Limonar</v>
      </c>
      <c r="H175" s="16">
        <f>_xlfn.XLOOKUP([1]!Tabla3[[#This Row],[LUGAR ENVÍO]],[1]!Tabla9[[Nombre ]],[1]!Tabla9[Distancia],"NA")</f>
        <v>4.7129999999999992</v>
      </c>
      <c r="I175" s="77">
        <f>[1]!Tabla3[[#This Row],[Valor Tran]]/([1]!Tabla3[[#This Row],[DISTANCIA (km)]]*2)</f>
        <v>4243.5815828559307</v>
      </c>
      <c r="J175" s="36"/>
      <c r="K175" s="33">
        <v>1</v>
      </c>
      <c r="L175" s="37">
        <v>40000</v>
      </c>
      <c r="M175" s="37">
        <v>40000</v>
      </c>
      <c r="N175" s="37">
        <v>734600</v>
      </c>
      <c r="O175" s="19">
        <f>[1]!Tabla3[[#This Row],[VLR. TOTAL FACT.]]-[1]!Tabla3[[#This Row],[VLR. TRANSPORTE]]</f>
        <v>694600</v>
      </c>
      <c r="P175" s="33">
        <v>1</v>
      </c>
      <c r="Q175" s="33" t="s">
        <v>22</v>
      </c>
    </row>
    <row r="176" spans="1:17" ht="15" thickBot="1" x14ac:dyDescent="0.35">
      <c r="A176" s="8">
        <v>30630</v>
      </c>
      <c r="B176" s="9">
        <v>45973</v>
      </c>
      <c r="C176" s="8" t="s">
        <v>27</v>
      </c>
      <c r="D176" s="8" t="s">
        <v>203</v>
      </c>
      <c r="E176" s="8" t="s">
        <v>202</v>
      </c>
      <c r="F176" s="8">
        <v>6</v>
      </c>
      <c r="G176" s="46" t="str">
        <f>_xlfn.XLOOKUP([1]!Tabla3[[#This Row],[ID]],[1]!Tabla2[ID],[1]!Tabla2[Corregimiento],"NA")</f>
        <v>El Limonar</v>
      </c>
      <c r="H176" s="10">
        <f>_xlfn.XLOOKUP([1]!Tabla3[[#This Row],[LUGAR ENVÍO]],[1]!Tabla9[[Nombre ]],[1]!Tabla9[Distancia],"NA")</f>
        <v>4.7129999999999992</v>
      </c>
      <c r="I176" s="48">
        <f>[1]!Tabla3[[#This Row],[Valor Tran]]/([1]!Tabla3[[#This Row],[DISTANCIA (km)]]*2)</f>
        <v>7426.2677699978794</v>
      </c>
      <c r="J176" s="12"/>
      <c r="K176" s="8">
        <v>1</v>
      </c>
      <c r="L176" s="13">
        <v>70000</v>
      </c>
      <c r="M176" s="13">
        <f>[1]!Tabla3[[#This Row],[VLR. TRANSPORTE]]/[1]!Tabla3[[#This Row],[Numero de Transportes]]</f>
        <v>70000</v>
      </c>
      <c r="N176" s="13">
        <v>785000</v>
      </c>
      <c r="O176" s="13">
        <f>[1]!Tabla3[[#This Row],[VLR. TOTAL FACT.]]-[1]!Tabla3[[#This Row],[VLR. TRANSPORTE]]</f>
        <v>715000</v>
      </c>
      <c r="P176" s="8">
        <v>0</v>
      </c>
      <c r="Q176" s="8" t="s">
        <v>22</v>
      </c>
    </row>
    <row r="177" spans="1:17" ht="27.6" thickBot="1" x14ac:dyDescent="0.35">
      <c r="A177" s="14">
        <v>47704</v>
      </c>
      <c r="B177" s="28">
        <v>45975</v>
      </c>
      <c r="C177" s="14" t="s">
        <v>17</v>
      </c>
      <c r="D177" s="14" t="s">
        <v>204</v>
      </c>
      <c r="E177" s="40" t="s">
        <v>205</v>
      </c>
      <c r="F177" s="14">
        <v>22</v>
      </c>
      <c r="G177" s="76" t="str">
        <f>_xlfn.XLOOKUP([1]!Tabla3[[#This Row],[ID]],[1]!Tabla2[ID],[1]!Tabla2[Corregimiento],"NA")</f>
        <v>San Bernardo</v>
      </c>
      <c r="H177" s="16">
        <f>_xlfn.XLOOKUP([1]!Tabla3[[#This Row],[LUGAR ENVÍO]],[1]!Tabla9[[Nombre ]],[1]!Tabla9[Distancia],"NA")</f>
        <v>8.4710000000000001</v>
      </c>
      <c r="I177" s="77">
        <f>[1]!Tabla3[[#This Row],[Valor Tran]]/([1]!Tabla3[[#This Row],[DISTANCIA (km)]]*2)</f>
        <v>2065.8717978987133</v>
      </c>
      <c r="J177" s="18"/>
      <c r="K177" s="14">
        <v>1</v>
      </c>
      <c r="L177" s="19">
        <v>35000</v>
      </c>
      <c r="M177" s="19">
        <f>[1]!Tabla3[[#This Row],[VLR. TRANSPORTE]]/[1]!Tabla3[[#This Row],[Numero de Transportes]]</f>
        <v>35000</v>
      </c>
      <c r="N177" s="19">
        <v>440900</v>
      </c>
      <c r="O177" s="19">
        <f>[1]!Tabla3[[#This Row],[VLR. TOTAL FACT.]]-[1]!Tabla3[[#This Row],[VLR. TRANSPORTE]]</f>
        <v>405900</v>
      </c>
      <c r="P177" s="14">
        <v>0</v>
      </c>
      <c r="Q177" s="14" t="s">
        <v>25</v>
      </c>
    </row>
    <row r="178" spans="1:17" ht="27.6" thickBot="1" x14ac:dyDescent="0.35">
      <c r="A178" s="8">
        <v>30532</v>
      </c>
      <c r="B178" s="9">
        <v>45975</v>
      </c>
      <c r="C178" s="8" t="s">
        <v>17</v>
      </c>
      <c r="D178" s="8" t="s">
        <v>206</v>
      </c>
      <c r="E178" s="40" t="s">
        <v>205</v>
      </c>
      <c r="F178" s="8">
        <v>22</v>
      </c>
      <c r="G178" s="46" t="str">
        <f>_xlfn.XLOOKUP([1]!Tabla3[[#This Row],[ID]],[1]!Tabla2[ID],[1]!Tabla2[Corregimiento],"NA")</f>
        <v>San Bernardo</v>
      </c>
      <c r="H178" s="10">
        <f>_xlfn.XLOOKUP([1]!Tabla3[[#This Row],[LUGAR ENVÍO]],[1]!Tabla9[[Nombre ]],[1]!Tabla9[Distancia],"NA")</f>
        <v>8.4710000000000001</v>
      </c>
      <c r="I178" s="48">
        <f>[1]!Tabla3[[#This Row],[Valor Tran]]/([1]!Tabla3[[#This Row],[DISTANCIA (km)]]*2)</f>
        <v>2360.9963404556725</v>
      </c>
      <c r="J178" s="12"/>
      <c r="K178" s="8">
        <v>1</v>
      </c>
      <c r="L178" s="13">
        <v>40000</v>
      </c>
      <c r="M178" s="13">
        <f>[1]!Tabla3[[#This Row],[VLR. TRANSPORTE]]/[1]!Tabla3[[#This Row],[Numero de Transportes]]</f>
        <v>40000</v>
      </c>
      <c r="N178" s="13">
        <v>635000</v>
      </c>
      <c r="O178" s="13">
        <f>[1]!Tabla3[[#This Row],[VLR. TOTAL FACT.]]-[1]!Tabla3[[#This Row],[VLR. TRANSPORTE]]</f>
        <v>595000</v>
      </c>
      <c r="P178" s="8">
        <v>0</v>
      </c>
      <c r="Q178" s="8" t="s">
        <v>57</v>
      </c>
    </row>
    <row r="179" spans="1:17" ht="27.6" thickBot="1" x14ac:dyDescent="0.35">
      <c r="A179" s="29">
        <v>50115</v>
      </c>
      <c r="B179" s="30" t="s">
        <v>60</v>
      </c>
      <c r="C179" s="29" t="s">
        <v>17</v>
      </c>
      <c r="D179" s="29" t="s">
        <v>43</v>
      </c>
      <c r="E179" s="29" t="s">
        <v>207</v>
      </c>
      <c r="F179" s="29">
        <v>4</v>
      </c>
      <c r="G179" s="76" t="str">
        <f>_xlfn.XLOOKUP([1]!Tabla3[[#This Row],[ID]],[1]!Tabla2[ID],[1]!Tabla2[Corregimiento],"NA")</f>
        <v>El Carmen</v>
      </c>
      <c r="H179" s="16">
        <f>_xlfn.XLOOKUP([1]!Tabla3[[#This Row],[LUGAR ENVÍO]],[1]!Tabla9[[Nombre ]],[1]!Tabla9[Distancia],"NA")</f>
        <v>8.4710000000000001</v>
      </c>
      <c r="I179" s="77">
        <f>[1]!Tabla3[[#This Row],[Valor Tran]]/([1]!Tabla3[[#This Row],[DISTANCIA (km)]]*2)</f>
        <v>2360.9963404556725</v>
      </c>
      <c r="J179" s="31"/>
      <c r="K179" s="29">
        <v>1</v>
      </c>
      <c r="L179" s="32">
        <v>40000</v>
      </c>
      <c r="M179" s="32">
        <v>40000</v>
      </c>
      <c r="N179" s="32">
        <v>1832000</v>
      </c>
      <c r="O179" s="19">
        <f>[1]!Tabla3[[#This Row],[VLR. TOTAL FACT.]]-[1]!Tabla3[[#This Row],[VLR. TRANSPORTE]]</f>
        <v>1792000</v>
      </c>
      <c r="P179" s="29">
        <v>1</v>
      </c>
      <c r="Q179" s="29" t="s">
        <v>22</v>
      </c>
    </row>
    <row r="180" spans="1:17" ht="15" thickBot="1" x14ac:dyDescent="0.35">
      <c r="A180" s="29">
        <v>49645</v>
      </c>
      <c r="B180" s="30" t="s">
        <v>151</v>
      </c>
      <c r="C180" s="29" t="s">
        <v>17</v>
      </c>
      <c r="D180" s="29" t="s">
        <v>115</v>
      </c>
      <c r="E180" s="29" t="s">
        <v>207</v>
      </c>
      <c r="F180" s="29">
        <v>4</v>
      </c>
      <c r="G180" s="46" t="str">
        <f>_xlfn.XLOOKUP([1]!Tabla3[[#This Row],[ID]],[1]!Tabla2[ID],[1]!Tabla2[Corregimiento],"NA")</f>
        <v>El Carmen</v>
      </c>
      <c r="H180" s="10">
        <f>_xlfn.XLOOKUP([1]!Tabla3[[#This Row],[LUGAR ENVÍO]],[1]!Tabla9[[Nombre ]],[1]!Tabla9[Distancia],"NA")</f>
        <v>8.4710000000000001</v>
      </c>
      <c r="I180" s="48">
        <f>[1]!Tabla3[[#This Row],[Valor Tran]]/([1]!Tabla3[[#This Row],[DISTANCIA (km)]]*2)</f>
        <v>5017.1172234683036</v>
      </c>
      <c r="J180" s="31"/>
      <c r="K180" s="29">
        <v>1</v>
      </c>
      <c r="L180" s="32">
        <v>85000</v>
      </c>
      <c r="M180" s="32">
        <v>85000</v>
      </c>
      <c r="N180" s="32">
        <v>3469200</v>
      </c>
      <c r="O180" s="13">
        <f>[1]!Tabla3[[#This Row],[VLR. TOTAL FACT.]]-[1]!Tabla3[[#This Row],[VLR. TRANSPORTE]]</f>
        <v>3384200</v>
      </c>
      <c r="P180" s="29">
        <v>1</v>
      </c>
      <c r="Q180" s="29" t="s">
        <v>22</v>
      </c>
    </row>
    <row r="181" spans="1:17" ht="27.6" thickBot="1" x14ac:dyDescent="0.35">
      <c r="A181" s="29">
        <v>49586</v>
      </c>
      <c r="B181" s="30" t="s">
        <v>82</v>
      </c>
      <c r="C181" s="29" t="s">
        <v>17</v>
      </c>
      <c r="D181" s="29" t="s">
        <v>196</v>
      </c>
      <c r="E181" s="29" t="s">
        <v>207</v>
      </c>
      <c r="F181" s="29">
        <v>4</v>
      </c>
      <c r="G181" s="76" t="str">
        <f>_xlfn.XLOOKUP([1]!Tabla3[[#This Row],[ID]],[1]!Tabla2[ID],[1]!Tabla2[Corregimiento],"NA")</f>
        <v>El Carmen</v>
      </c>
      <c r="H181" s="16">
        <f>_xlfn.XLOOKUP([1]!Tabla3[[#This Row],[LUGAR ENVÍO]],[1]!Tabla9[[Nombre ]],[1]!Tabla9[Distancia],"NA")</f>
        <v>8.4710000000000001</v>
      </c>
      <c r="I181" s="77">
        <f>[1]!Tabla3[[#This Row],[Valor Tran]]/([1]!Tabla3[[#This Row],[DISTANCIA (km)]]*2)</f>
        <v>4721.9926809113449</v>
      </c>
      <c r="J181" s="31"/>
      <c r="K181" s="29">
        <v>1</v>
      </c>
      <c r="L181" s="32">
        <v>80000</v>
      </c>
      <c r="M181" s="32">
        <v>80000</v>
      </c>
      <c r="N181" s="32">
        <v>4971400</v>
      </c>
      <c r="O181" s="19">
        <f>[1]!Tabla3[[#This Row],[VLR. TOTAL FACT.]]-[1]!Tabla3[[#This Row],[VLR. TRANSPORTE]]</f>
        <v>4891400</v>
      </c>
      <c r="P181" s="29">
        <v>1</v>
      </c>
      <c r="Q181" s="29" t="s">
        <v>25</v>
      </c>
    </row>
    <row r="182" spans="1:17" ht="27.6" thickBot="1" x14ac:dyDescent="0.35">
      <c r="A182" s="8">
        <v>48585</v>
      </c>
      <c r="B182" s="9">
        <v>45983</v>
      </c>
      <c r="C182" s="8" t="s">
        <v>17</v>
      </c>
      <c r="D182" s="8" t="s">
        <v>208</v>
      </c>
      <c r="E182" s="8" t="s">
        <v>205</v>
      </c>
      <c r="F182" s="8">
        <v>4</v>
      </c>
      <c r="G182" s="46" t="str">
        <f>_xlfn.XLOOKUP([1]!Tabla3[[#This Row],[ID]],[1]!Tabla2[ID],[1]!Tabla2[Corregimiento],"NA")</f>
        <v>El Carmen</v>
      </c>
      <c r="H182" s="10">
        <f>_xlfn.XLOOKUP([1]!Tabla3[[#This Row],[LUGAR ENVÍO]],[1]!Tabla9[[Nombre ]],[1]!Tabla9[Distancia],"NA")</f>
        <v>8.4710000000000001</v>
      </c>
      <c r="I182" s="48">
        <f>[1]!Tabla3[[#This Row],[Valor Tran]]/([1]!Tabla3[[#This Row],[DISTANCIA (km)]]*2)</f>
        <v>2360.9963404556725</v>
      </c>
      <c r="J182" s="12"/>
      <c r="K182" s="8">
        <v>2</v>
      </c>
      <c r="L182" s="13">
        <v>80000</v>
      </c>
      <c r="M182" s="13">
        <f>[1]!Tabla3[[#This Row],[VLR. TRANSPORTE]]/[1]!Tabla3[[#This Row],[Numero de Transportes]]</f>
        <v>40000</v>
      </c>
      <c r="N182" s="13">
        <v>5520700</v>
      </c>
      <c r="O182" s="13">
        <f>[1]!Tabla3[[#This Row],[VLR. TOTAL FACT.]]-[1]!Tabla3[[#This Row],[VLR. TRANSPORTE]]</f>
        <v>5440700</v>
      </c>
      <c r="P182" s="8">
        <v>1</v>
      </c>
      <c r="Q182" s="8" t="s">
        <v>25</v>
      </c>
    </row>
    <row r="183" spans="1:17" ht="27.6" thickBot="1" x14ac:dyDescent="0.35">
      <c r="A183" s="14">
        <v>48553</v>
      </c>
      <c r="B183" s="28">
        <v>45986</v>
      </c>
      <c r="C183" s="14" t="s">
        <v>17</v>
      </c>
      <c r="D183" s="14" t="s">
        <v>209</v>
      </c>
      <c r="E183" s="40" t="s">
        <v>210</v>
      </c>
      <c r="F183" s="14">
        <v>4</v>
      </c>
      <c r="G183" s="76" t="str">
        <f>_xlfn.XLOOKUP([1]!Tabla3[[#This Row],[ID]],[1]!Tabla2[ID],[1]!Tabla2[Corregimiento],"NA")</f>
        <v>El Carmen</v>
      </c>
      <c r="H183" s="16">
        <f>_xlfn.XLOOKUP([1]!Tabla3[[#This Row],[LUGAR ENVÍO]],[1]!Tabla9[[Nombre ]],[1]!Tabla9[Distancia],"NA")</f>
        <v>2.649999999999999</v>
      </c>
      <c r="I183" s="77">
        <f>[1]!Tabla3[[#This Row],[Valor Tran]]/([1]!Tabla3[[#This Row],[DISTANCIA (km)]]*2)</f>
        <v>13207.547169811325</v>
      </c>
      <c r="J183" s="18"/>
      <c r="K183" s="14">
        <v>1</v>
      </c>
      <c r="L183" s="19">
        <v>70000</v>
      </c>
      <c r="M183" s="19">
        <f>[1]!Tabla3[[#This Row],[VLR. TRANSPORTE]]/[1]!Tabla3[[#This Row],[Numero de Transportes]]</f>
        <v>70000</v>
      </c>
      <c r="N183" s="19">
        <v>270500</v>
      </c>
      <c r="O183" s="19">
        <f>[1]!Tabla3[[#This Row],[VLR. TOTAL FACT.]]-[1]!Tabla3[[#This Row],[VLR. TRANSPORTE]]</f>
        <v>200500</v>
      </c>
      <c r="P183" s="14">
        <v>1</v>
      </c>
      <c r="Q183" s="14" t="s">
        <v>25</v>
      </c>
    </row>
    <row r="184" spans="1:17" ht="27.6" thickBot="1" x14ac:dyDescent="0.35">
      <c r="A184" s="20">
        <v>59198</v>
      </c>
      <c r="B184" s="21">
        <v>45991</v>
      </c>
      <c r="C184" s="20" t="s">
        <v>17</v>
      </c>
      <c r="D184" s="20" t="s">
        <v>211</v>
      </c>
      <c r="E184" s="8" t="s">
        <v>210</v>
      </c>
      <c r="F184" s="20">
        <v>4</v>
      </c>
      <c r="G184" s="67" t="str">
        <f>_xlfn.XLOOKUP([1]!Tabla3[[#This Row],[ID]],[1]!Tabla2[ID],[1]!Tabla2[Corregimiento],"NA")</f>
        <v>El Carmen</v>
      </c>
      <c r="H184" s="10">
        <f>_xlfn.XLOOKUP([1]!Tabla3[[#This Row],[LUGAR ENVÍO]],[1]!Tabla9[[Nombre ]],[1]!Tabla9[Distancia],"NA")</f>
        <v>2.649999999999999</v>
      </c>
      <c r="I184" s="69">
        <f>[1]!Tabla3[[#This Row],[Valor Tran]]/([1]!Tabla3[[#This Row],[DISTANCIA (km)]]*2)</f>
        <v>7547.1698113207576</v>
      </c>
      <c r="J184" s="24"/>
      <c r="K184" s="20">
        <v>1</v>
      </c>
      <c r="L184" s="25">
        <v>40000</v>
      </c>
      <c r="M184" s="25">
        <f>[1]!Tabla3[[#This Row],[VLR. TRANSPORTE]]/[1]!Tabla3[[#This Row],[Numero de Transportes]]</f>
        <v>40000</v>
      </c>
      <c r="N184" s="25">
        <v>380000</v>
      </c>
      <c r="O184" s="25">
        <f>[1]!Tabla3[[#This Row],[VLR. TOTAL FACT.]]-[1]!Tabla3[[#This Row],[VLR. TRANSPORTE]]</f>
        <v>340000</v>
      </c>
      <c r="P184" s="20">
        <v>0</v>
      </c>
      <c r="Q184" s="20" t="s">
        <v>22</v>
      </c>
    </row>
    <row r="185" spans="1:17" ht="27.6" thickBot="1" x14ac:dyDescent="0.35">
      <c r="A185" s="14">
        <v>30506</v>
      </c>
      <c r="B185" s="28">
        <v>45973</v>
      </c>
      <c r="C185" s="14" t="s">
        <v>17</v>
      </c>
      <c r="D185" s="14" t="s">
        <v>26</v>
      </c>
      <c r="E185" s="14" t="s">
        <v>210</v>
      </c>
      <c r="F185" s="14">
        <v>4</v>
      </c>
      <c r="G185" s="76" t="str">
        <f>_xlfn.XLOOKUP([1]!Tabla3[[#This Row],[ID]],[1]!Tabla2[ID],[1]!Tabla2[Corregimiento],"NA")</f>
        <v>El Carmen</v>
      </c>
      <c r="H185" s="16">
        <f>_xlfn.XLOOKUP([1]!Tabla3[[#This Row],[LUGAR ENVÍO]],[1]!Tabla9[[Nombre ]],[1]!Tabla9[Distancia],"NA")</f>
        <v>2.649999999999999</v>
      </c>
      <c r="I185" s="77">
        <f>[1]!Tabla3[[#This Row],[Valor Tran]]/([1]!Tabla3[[#This Row],[DISTANCIA (km)]]*2)</f>
        <v>11320.754716981137</v>
      </c>
      <c r="J185" s="18"/>
      <c r="K185" s="14">
        <v>1</v>
      </c>
      <c r="L185" s="19">
        <v>60000</v>
      </c>
      <c r="M185" s="19">
        <f>[1]!Tabla3[[#This Row],[VLR. TRANSPORTE]]/[1]!Tabla3[[#This Row],[Numero de Transportes]]</f>
        <v>60000</v>
      </c>
      <c r="N185" s="19">
        <v>524000</v>
      </c>
      <c r="O185" s="19">
        <f>[1]!Tabla3[[#This Row],[VLR. TOTAL FACT.]]-[1]!Tabla3[[#This Row],[VLR. TRANSPORTE]]</f>
        <v>464000</v>
      </c>
      <c r="P185" s="14">
        <v>0</v>
      </c>
      <c r="Q185" s="14" t="s">
        <v>57</v>
      </c>
    </row>
    <row r="186" spans="1:17" ht="27.6" thickBot="1" x14ac:dyDescent="0.35">
      <c r="A186" s="8">
        <v>48458</v>
      </c>
      <c r="B186" s="9">
        <v>45983</v>
      </c>
      <c r="C186" s="8" t="s">
        <v>17</v>
      </c>
      <c r="D186" s="8" t="s">
        <v>212</v>
      </c>
      <c r="E186" s="27" t="s">
        <v>210</v>
      </c>
      <c r="F186" s="8">
        <v>4</v>
      </c>
      <c r="G186" s="46" t="str">
        <f>_xlfn.XLOOKUP([1]!Tabla3[[#This Row],[ID]],[1]!Tabla2[ID],[1]!Tabla2[Corregimiento],"NA")</f>
        <v>El Carmen</v>
      </c>
      <c r="H186" s="10">
        <f>_xlfn.XLOOKUP([1]!Tabla3[[#This Row],[LUGAR ENVÍO]],[1]!Tabla9[[Nombre ]],[1]!Tabla9[Distancia],"NA")</f>
        <v>2.649999999999999</v>
      </c>
      <c r="I186" s="48">
        <f>[1]!Tabla3[[#This Row],[Valor Tran]]/([1]!Tabla3[[#This Row],[DISTANCIA (km)]]*2)</f>
        <v>11320.754716981137</v>
      </c>
      <c r="J186" s="12"/>
      <c r="K186" s="8">
        <v>1</v>
      </c>
      <c r="L186" s="13">
        <v>60000</v>
      </c>
      <c r="M186" s="13">
        <f>[1]!Tabla3[[#This Row],[VLR. TRANSPORTE]]/[1]!Tabla3[[#This Row],[Numero de Transportes]]</f>
        <v>60000</v>
      </c>
      <c r="N186" s="13">
        <v>854500</v>
      </c>
      <c r="O186" s="13">
        <f>[1]!Tabla3[[#This Row],[VLR. TOTAL FACT.]]-[1]!Tabla3[[#This Row],[VLR. TRANSPORTE]]</f>
        <v>794500</v>
      </c>
      <c r="P186" s="8">
        <v>1</v>
      </c>
      <c r="Q186" s="8" t="s">
        <v>25</v>
      </c>
    </row>
    <row r="187" spans="1:17" ht="27.6" thickBot="1" x14ac:dyDescent="0.35">
      <c r="A187" s="14">
        <v>59254</v>
      </c>
      <c r="B187" s="28">
        <v>45990</v>
      </c>
      <c r="C187" s="14" t="s">
        <v>17</v>
      </c>
      <c r="D187" s="14" t="s">
        <v>213</v>
      </c>
      <c r="E187" s="14" t="s">
        <v>210</v>
      </c>
      <c r="F187" s="14">
        <v>4</v>
      </c>
      <c r="G187" s="76" t="str">
        <f>_xlfn.XLOOKUP([1]!Tabla3[[#This Row],[ID]],[1]!Tabla2[ID],[1]!Tabla2[Corregimiento],"NA")</f>
        <v>El Carmen</v>
      </c>
      <c r="H187" s="16">
        <f>_xlfn.XLOOKUP([1]!Tabla3[[#This Row],[LUGAR ENVÍO]],[1]!Tabla9[[Nombre ]],[1]!Tabla9[Distancia],"NA")</f>
        <v>2.649999999999999</v>
      </c>
      <c r="I187" s="77">
        <f>[1]!Tabla3[[#This Row],[Valor Tran]]/([1]!Tabla3[[#This Row],[DISTANCIA (km)]]*2)</f>
        <v>15094.339622641515</v>
      </c>
      <c r="J187" s="18"/>
      <c r="K187" s="14">
        <v>1</v>
      </c>
      <c r="L187" s="19">
        <v>80000</v>
      </c>
      <c r="M187" s="19">
        <f>[1]!Tabla3[[#This Row],[VLR. TRANSPORTE]]/[1]!Tabla3[[#This Row],[Numero de Transportes]]</f>
        <v>80000</v>
      </c>
      <c r="N187" s="19">
        <v>932200</v>
      </c>
      <c r="O187" s="19">
        <f>[1]!Tabla3[[#This Row],[VLR. TOTAL FACT.]]-[1]!Tabla3[[#This Row],[VLR. TRANSPORTE]]</f>
        <v>852200</v>
      </c>
      <c r="P187" s="14">
        <v>0</v>
      </c>
      <c r="Q187" s="14" t="s">
        <v>22</v>
      </c>
    </row>
    <row r="188" spans="1:17" ht="27.6" thickBot="1" x14ac:dyDescent="0.35">
      <c r="A188" s="33">
        <v>47729</v>
      </c>
      <c r="B188" s="34" t="s">
        <v>63</v>
      </c>
      <c r="C188" s="33" t="s">
        <v>17</v>
      </c>
      <c r="D188" s="33" t="s">
        <v>64</v>
      </c>
      <c r="E188" s="40" t="s">
        <v>210</v>
      </c>
      <c r="F188" s="33">
        <v>4</v>
      </c>
      <c r="G188" s="46" t="str">
        <f>_xlfn.XLOOKUP([1]!Tabla3[[#This Row],[ID]],[1]!Tabla2[ID],[1]!Tabla2[Corregimiento],"NA")</f>
        <v>El Carmen</v>
      </c>
      <c r="H188" s="10">
        <f>_xlfn.XLOOKUP([1]!Tabla3[[#This Row],[LUGAR ENVÍO]],[1]!Tabla9[[Nombre ]],[1]!Tabla9[Distancia],"NA")</f>
        <v>2.649999999999999</v>
      </c>
      <c r="I188" s="48">
        <f>[1]!Tabla3[[#This Row],[Valor Tran]]/([1]!Tabla3[[#This Row],[DISTANCIA (km)]]*2)</f>
        <v>13207.547169811325</v>
      </c>
      <c r="J188" s="36"/>
      <c r="K188" s="33">
        <v>1</v>
      </c>
      <c r="L188" s="37">
        <v>70000</v>
      </c>
      <c r="M188" s="37">
        <v>70000</v>
      </c>
      <c r="N188" s="37">
        <v>1128800</v>
      </c>
      <c r="O188" s="13">
        <f>[1]!Tabla3[[#This Row],[VLR. TOTAL FACT.]]-[1]!Tabla3[[#This Row],[VLR. TRANSPORTE]]</f>
        <v>1058800</v>
      </c>
      <c r="P188" s="33">
        <v>1</v>
      </c>
      <c r="Q188" s="33" t="s">
        <v>22</v>
      </c>
    </row>
    <row r="189" spans="1:17" ht="27.6" thickBot="1" x14ac:dyDescent="0.35">
      <c r="A189" s="29">
        <v>54994</v>
      </c>
      <c r="B189" s="30" t="s">
        <v>151</v>
      </c>
      <c r="C189" s="29" t="s">
        <v>27</v>
      </c>
      <c r="D189" s="29" t="s">
        <v>107</v>
      </c>
      <c r="E189" s="40" t="s">
        <v>210</v>
      </c>
      <c r="F189" s="29">
        <v>4</v>
      </c>
      <c r="G189" s="76" t="str">
        <f>_xlfn.XLOOKUP([1]!Tabla3[[#This Row],[ID]],[1]!Tabla2[ID],[1]!Tabla2[Corregimiento],"NA")</f>
        <v>El Carmen</v>
      </c>
      <c r="H189" s="16">
        <f>_xlfn.XLOOKUP([1]!Tabla3[[#This Row],[LUGAR ENVÍO]],[1]!Tabla9[[Nombre ]],[1]!Tabla9[Distancia],"NA")</f>
        <v>2.649999999999999</v>
      </c>
      <c r="I189" s="77">
        <f>[1]!Tabla3[[#This Row],[Valor Tran]]/([1]!Tabla3[[#This Row],[DISTANCIA (km)]]*2)</f>
        <v>16981.132075471705</v>
      </c>
      <c r="J189" s="31"/>
      <c r="K189" s="29">
        <v>3</v>
      </c>
      <c r="L189" s="32">
        <v>270000</v>
      </c>
      <c r="M189" s="32">
        <v>90000</v>
      </c>
      <c r="N189" s="32">
        <v>1338600</v>
      </c>
      <c r="O189" s="19">
        <f>[1]!Tabla3[[#This Row],[VLR. TOTAL FACT.]]-[1]!Tabla3[[#This Row],[VLR. TRANSPORTE]]</f>
        <v>1068600</v>
      </c>
      <c r="P189" s="29">
        <v>1</v>
      </c>
      <c r="Q189" s="29" t="s">
        <v>25</v>
      </c>
    </row>
    <row r="190" spans="1:17" ht="27.6" thickBot="1" x14ac:dyDescent="0.35">
      <c r="A190" s="8">
        <v>48569</v>
      </c>
      <c r="B190" s="9">
        <v>45984</v>
      </c>
      <c r="C190" s="8" t="s">
        <v>17</v>
      </c>
      <c r="D190" s="8" t="s">
        <v>214</v>
      </c>
      <c r="E190" s="8" t="s">
        <v>210</v>
      </c>
      <c r="F190" s="8">
        <v>4</v>
      </c>
      <c r="G190" s="46" t="str">
        <f>_xlfn.XLOOKUP([1]!Tabla3[[#This Row],[ID]],[1]!Tabla2[ID],[1]!Tabla2[Corregimiento],"NA")</f>
        <v>El Carmen</v>
      </c>
      <c r="H190" s="10">
        <f>_xlfn.XLOOKUP([1]!Tabla3[[#This Row],[LUGAR ENVÍO]],[1]!Tabla9[[Nombre ]],[1]!Tabla9[Distancia],"NA")</f>
        <v>2.649999999999999</v>
      </c>
      <c r="I190" s="48">
        <f>[1]!Tabla3[[#This Row],[Valor Tran]]/([1]!Tabla3[[#This Row],[DISTANCIA (km)]]*2)</f>
        <v>15094.339622641515</v>
      </c>
      <c r="J190" s="12"/>
      <c r="K190" s="8">
        <v>1</v>
      </c>
      <c r="L190" s="13">
        <v>80000</v>
      </c>
      <c r="M190" s="13">
        <f>[1]!Tabla3[[#This Row],[VLR. TRANSPORTE]]/[1]!Tabla3[[#This Row],[Numero de Transportes]]</f>
        <v>80000</v>
      </c>
      <c r="N190" s="13">
        <v>1219500</v>
      </c>
      <c r="O190" s="13">
        <f>[1]!Tabla3[[#This Row],[VLR. TOTAL FACT.]]-[1]!Tabla3[[#This Row],[VLR. TRANSPORTE]]</f>
        <v>1139500</v>
      </c>
      <c r="P190" s="8">
        <v>1</v>
      </c>
      <c r="Q190" s="8" t="s">
        <v>25</v>
      </c>
    </row>
    <row r="191" spans="1:17" ht="27.6" thickBot="1" x14ac:dyDescent="0.35">
      <c r="A191" s="76">
        <v>48607</v>
      </c>
      <c r="B191" s="80">
        <v>45985</v>
      </c>
      <c r="C191" s="76" t="s">
        <v>17</v>
      </c>
      <c r="D191" s="76" t="s">
        <v>215</v>
      </c>
      <c r="E191" s="76" t="s">
        <v>210</v>
      </c>
      <c r="F191" s="76">
        <v>4</v>
      </c>
      <c r="G191" s="76" t="str">
        <f>_xlfn.XLOOKUP([1]!Tabla3[[#This Row],[ID]],[1]!Tabla2[ID],[1]!Tabla2[Corregimiento],"NA")</f>
        <v>El Carmen</v>
      </c>
      <c r="H191" s="16">
        <f>_xlfn.XLOOKUP([1]!Tabla3[[#This Row],[LUGAR ENVÍO]],[1]!Tabla9[[Nombre ]],[1]!Tabla9[Distancia],"NA")</f>
        <v>2.649999999999999</v>
      </c>
      <c r="I191" s="77">
        <f>[1]!Tabla3[[#This Row],[Valor Tran]]/([1]!Tabla3[[#This Row],[DISTANCIA (km)]]*2)</f>
        <v>7547.1698113207576</v>
      </c>
      <c r="J191" s="81"/>
      <c r="K191" s="76">
        <v>2</v>
      </c>
      <c r="L191" s="73">
        <v>80000</v>
      </c>
      <c r="M191" s="73">
        <f>[1]!Tabla3[[#This Row],[VLR. TRANSPORTE]]/[1]!Tabla3[[#This Row],[Numero de Transportes]]</f>
        <v>40000</v>
      </c>
      <c r="N191" s="73">
        <v>1495000</v>
      </c>
      <c r="O191" s="19">
        <f>[1]!Tabla3[[#This Row],[VLR. TOTAL FACT.]]-[1]!Tabla3[[#This Row],[VLR. TRANSPORTE]]</f>
        <v>1415000</v>
      </c>
      <c r="P191" s="76">
        <v>1</v>
      </c>
      <c r="Q191" s="76" t="s">
        <v>25</v>
      </c>
    </row>
    <row r="192" spans="1:17" ht="27.6" thickBot="1" x14ac:dyDescent="0.35">
      <c r="A192" s="8">
        <v>30513</v>
      </c>
      <c r="B192" s="9">
        <v>45973</v>
      </c>
      <c r="C192" s="8" t="s">
        <v>17</v>
      </c>
      <c r="D192" s="8" t="s">
        <v>36</v>
      </c>
      <c r="E192" s="8" t="s">
        <v>210</v>
      </c>
      <c r="F192" s="8">
        <v>4</v>
      </c>
      <c r="G192" s="46" t="str">
        <f>_xlfn.XLOOKUP([1]!Tabla3[[#This Row],[ID]],[1]!Tabla2[ID],[1]!Tabla2[Corregimiento],"NA")</f>
        <v>El Carmen</v>
      </c>
      <c r="H192" s="10">
        <f>_xlfn.XLOOKUP([1]!Tabla3[[#This Row],[LUGAR ENVÍO]],[1]!Tabla9[[Nombre ]],[1]!Tabla9[Distancia],"NA")</f>
        <v>2.649999999999999</v>
      </c>
      <c r="I192" s="48">
        <f>[1]!Tabla3[[#This Row],[Valor Tran]]/([1]!Tabla3[[#This Row],[DISTANCIA (km)]]*2)</f>
        <v>15094.339622641515</v>
      </c>
      <c r="J192" s="12"/>
      <c r="K192" s="8">
        <v>2</v>
      </c>
      <c r="L192" s="82">
        <v>160000</v>
      </c>
      <c r="M192" s="83">
        <f>[1]!Tabla3[[#This Row],[VLR. TRANSPORTE]]/[1]!Tabla3[[#This Row],[Numero de Transportes]]</f>
        <v>80000</v>
      </c>
      <c r="N192" s="82">
        <v>1595000</v>
      </c>
      <c r="O192" s="13">
        <f>[1]!Tabla3[[#This Row],[VLR. TOTAL FACT.]]-[1]!Tabla3[[#This Row],[VLR. TRANSPORTE]]</f>
        <v>1435000</v>
      </c>
      <c r="P192" s="8">
        <v>1</v>
      </c>
      <c r="Q192" s="8" t="s">
        <v>57</v>
      </c>
    </row>
    <row r="193" spans="1:17" ht="27.6" thickBot="1" x14ac:dyDescent="0.35">
      <c r="A193" s="14">
        <v>58872</v>
      </c>
      <c r="B193" s="15">
        <v>45981</v>
      </c>
      <c r="C193" s="14" t="s">
        <v>17</v>
      </c>
      <c r="D193" s="14" t="s">
        <v>132</v>
      </c>
      <c r="E193" s="14" t="s">
        <v>210</v>
      </c>
      <c r="F193" s="14">
        <v>4</v>
      </c>
      <c r="G193" s="76" t="str">
        <f>_xlfn.XLOOKUP([1]!Tabla3[[#This Row],[ID]],[1]!Tabla2[ID],[1]!Tabla2[Corregimiento],"NA")</f>
        <v>El Carmen</v>
      </c>
      <c r="H193" s="16">
        <f>_xlfn.XLOOKUP([1]!Tabla3[[#This Row],[LUGAR ENVÍO]],[1]!Tabla9[[Nombre ]],[1]!Tabla9[Distancia],"NA")</f>
        <v>2.649999999999999</v>
      </c>
      <c r="I193" s="77">
        <f>[1]!Tabla3[[#This Row],[Valor Tran]]/([1]!Tabla3[[#This Row],[DISTANCIA (km)]]*2)</f>
        <v>2830.1886792452842</v>
      </c>
      <c r="J193" s="18"/>
      <c r="K193" s="14">
        <v>1</v>
      </c>
      <c r="L193" s="19">
        <v>15000</v>
      </c>
      <c r="M193" s="73">
        <f>[1]!Tabla3[[#This Row],[VLR. TRANSPORTE]]/[1]!Tabla3[[#This Row],[Numero de Transportes]]</f>
        <v>15000</v>
      </c>
      <c r="N193" s="19">
        <v>4816000</v>
      </c>
      <c r="O193" s="19">
        <f>[1]!Tabla3[[#This Row],[VLR. TOTAL FACT.]]-[1]!Tabla3[[#This Row],[VLR. TRANSPORTE]]</f>
        <v>4801000</v>
      </c>
      <c r="P193" s="14">
        <v>1</v>
      </c>
      <c r="Q193" s="14" t="s">
        <v>34</v>
      </c>
    </row>
    <row r="194" spans="1:17" ht="27.6" thickBot="1" x14ac:dyDescent="0.35">
      <c r="A194" s="8">
        <v>30764</v>
      </c>
      <c r="B194" s="9">
        <v>45984</v>
      </c>
      <c r="C194" s="8" t="s">
        <v>17</v>
      </c>
      <c r="D194" s="8" t="s">
        <v>216</v>
      </c>
      <c r="E194" s="8" t="s">
        <v>217</v>
      </c>
      <c r="F194" s="8">
        <v>4</v>
      </c>
      <c r="G194" s="46" t="str">
        <f>_xlfn.XLOOKUP([1]!Tabla3[[#This Row],[ID]],[1]!Tabla2[ID],[1]!Tabla2[Corregimiento],"NA")</f>
        <v>El Carmen</v>
      </c>
      <c r="H194" s="10">
        <f>_xlfn.XLOOKUP([1]!Tabla3[[#This Row],[LUGAR ENVÍO]],[1]!Tabla9[[Nombre ]],[1]!Tabla9[Distancia],"NA")</f>
        <v>1.544</v>
      </c>
      <c r="I194" s="48">
        <f>[1]!Tabla3[[#This Row],[Valor Tran]]/([1]!Tabla3[[#This Row],[DISTANCIA (km)]]*2)</f>
        <v>12953.367875647667</v>
      </c>
      <c r="J194" s="12"/>
      <c r="K194" s="8">
        <v>1</v>
      </c>
      <c r="L194" s="13">
        <v>40000</v>
      </c>
      <c r="M194" s="50">
        <f>[1]!Tabla3[[#This Row],[VLR. TRANSPORTE]]/[1]!Tabla3[[#This Row],[Numero de Transportes]]</f>
        <v>40000</v>
      </c>
      <c r="N194" s="13">
        <v>1480000</v>
      </c>
      <c r="O194" s="13">
        <f>[1]!Tabla3[[#This Row],[VLR. TOTAL FACT.]]-[1]!Tabla3[[#This Row],[VLR. TRANSPORTE]]</f>
        <v>1440000</v>
      </c>
      <c r="P194" s="8">
        <v>0</v>
      </c>
      <c r="Q194" s="8" t="s">
        <v>49</v>
      </c>
    </row>
    <row r="195" spans="1:17" ht="27.6" thickBot="1" x14ac:dyDescent="0.35">
      <c r="A195" s="20">
        <v>48443</v>
      </c>
      <c r="B195" s="21">
        <v>45984</v>
      </c>
      <c r="C195" s="20" t="s">
        <v>17</v>
      </c>
      <c r="D195" s="20" t="s">
        <v>218</v>
      </c>
      <c r="E195" s="20" t="s">
        <v>219</v>
      </c>
      <c r="F195" s="20">
        <v>10</v>
      </c>
      <c r="G195" s="67" t="str">
        <f>_xlfn.XLOOKUP([1]!Tabla3[[#This Row],[ID]],[1]!Tabla2[ID],[1]!Tabla2[Corregimiento],"NA")</f>
        <v>El Queremal</v>
      </c>
      <c r="H195" s="16">
        <f>_xlfn.XLOOKUP([1]!Tabla3[[#This Row],[LUGAR ENVÍO]],[1]!Tabla9[[Nombre ]],[1]!Tabla9[Distancia],"NA")</f>
        <v>14.314000000000002</v>
      </c>
      <c r="I195" s="79">
        <f>[1]!Tabla3[[#This Row],[Valor Tran]]/([1]!Tabla3[[#This Row],[DISTANCIA (km)]]*2)</f>
        <v>2445.1585859997203</v>
      </c>
      <c r="J195" s="24"/>
      <c r="K195" s="20">
        <v>1</v>
      </c>
      <c r="L195" s="25">
        <v>70000</v>
      </c>
      <c r="M195" s="71">
        <f>[1]!Tabla3[[#This Row],[VLR. TRANSPORTE]]/[1]!Tabla3[[#This Row],[Numero de Transportes]]</f>
        <v>70000</v>
      </c>
      <c r="N195" s="25">
        <v>300000</v>
      </c>
      <c r="O195" s="25">
        <f>[1]!Tabla3[[#This Row],[VLR. TOTAL FACT.]]-[1]!Tabla3[[#This Row],[VLR. TRANSPORTE]]</f>
        <v>230000</v>
      </c>
      <c r="P195" s="20">
        <v>1</v>
      </c>
      <c r="Q195" s="20" t="s">
        <v>25</v>
      </c>
    </row>
    <row r="196" spans="1:17" ht="27.6" thickBot="1" x14ac:dyDescent="0.35">
      <c r="A196" s="8">
        <v>58658</v>
      </c>
      <c r="B196" s="26">
        <v>46005</v>
      </c>
      <c r="C196" s="8" t="s">
        <v>27</v>
      </c>
      <c r="D196" s="8" t="s">
        <v>122</v>
      </c>
      <c r="E196" s="8" t="s">
        <v>219</v>
      </c>
      <c r="F196" s="8">
        <v>10</v>
      </c>
      <c r="G196" s="46" t="str">
        <f>_xlfn.XLOOKUP([1]!Tabla3[[#This Row],[ID]],[1]!Tabla2[ID],[1]!Tabla2[Corregimiento],"NA")</f>
        <v>El Queremal</v>
      </c>
      <c r="H196" s="10">
        <f>_xlfn.XLOOKUP([1]!Tabla3[[#This Row],[LUGAR ENVÍO]],[1]!Tabla9[[Nombre ]],[1]!Tabla9[Distancia],"NA")</f>
        <v>14.314000000000002</v>
      </c>
      <c r="I196" s="48">
        <f>[1]!Tabla3[[#This Row],[Valor Tran]]/([1]!Tabla3[[#This Row],[DISTANCIA (km)]]*2)</f>
        <v>2794.4669554282518</v>
      </c>
      <c r="J196" s="12"/>
      <c r="K196" s="8">
        <v>1</v>
      </c>
      <c r="L196" s="13">
        <v>80000</v>
      </c>
      <c r="M196" s="50">
        <f>[1]!Tabla3[[#This Row],[VLR. TRANSPORTE]]/[1]!Tabla3[[#This Row],[Numero de Transportes]]</f>
        <v>80000</v>
      </c>
      <c r="N196" s="13">
        <v>817000</v>
      </c>
      <c r="O196" s="13">
        <f>[1]!Tabla3[[#This Row],[VLR. TOTAL FACT.]]-[1]!Tabla3[[#This Row],[VLR. TRANSPORTE]]</f>
        <v>737000</v>
      </c>
      <c r="P196" s="8">
        <v>1</v>
      </c>
      <c r="Q196" s="8" t="s">
        <v>25</v>
      </c>
    </row>
    <row r="197" spans="1:17" ht="27.6" thickBot="1" x14ac:dyDescent="0.35">
      <c r="A197" s="14">
        <v>58024</v>
      </c>
      <c r="B197" s="28">
        <v>45964</v>
      </c>
      <c r="C197" s="14" t="s">
        <v>27</v>
      </c>
      <c r="D197" s="14" t="s">
        <v>220</v>
      </c>
      <c r="E197" s="40" t="s">
        <v>221</v>
      </c>
      <c r="F197" s="14">
        <v>4</v>
      </c>
      <c r="G197" s="76" t="str">
        <f>_xlfn.XLOOKUP([1]!Tabla3[[#This Row],[ID]],[1]!Tabla2[ID],[1]!Tabla2[Corregimiento],"NA")</f>
        <v>El Carmen</v>
      </c>
      <c r="H197" s="16">
        <f>_xlfn.XLOOKUP([1]!Tabla3[[#This Row],[LUGAR ENVÍO]],[1]!Tabla9[[Nombre ]],[1]!Tabla9[Distancia],"NA")</f>
        <v>6.1239999999999988</v>
      </c>
      <c r="I197" s="77">
        <f>[1]!Tabla3[[#This Row],[Valor Tran]]/([1]!Tabla3[[#This Row],[DISTANCIA (km)]]*2)</f>
        <v>4898.758981058133</v>
      </c>
      <c r="J197" s="18"/>
      <c r="K197" s="14">
        <v>1</v>
      </c>
      <c r="L197" s="19">
        <v>60000</v>
      </c>
      <c r="M197" s="73">
        <f>[1]!Tabla3[[#This Row],[VLR. TRANSPORTE]]/[1]!Tabla3[[#This Row],[Numero de Transportes]]</f>
        <v>60000</v>
      </c>
      <c r="N197" s="19">
        <v>301500</v>
      </c>
      <c r="O197" s="19">
        <f>[1]!Tabla3[[#This Row],[VLR. TOTAL FACT.]]-[1]!Tabla3[[#This Row],[VLR. TRANSPORTE]]</f>
        <v>241500</v>
      </c>
      <c r="P197" s="14">
        <v>1</v>
      </c>
      <c r="Q197" s="14" t="s">
        <v>22</v>
      </c>
    </row>
    <row r="198" spans="1:17" ht="27.6" thickBot="1" x14ac:dyDescent="0.35">
      <c r="A198" s="29">
        <v>48504</v>
      </c>
      <c r="B198" s="30" t="s">
        <v>35</v>
      </c>
      <c r="C198" s="29" t="s">
        <v>17</v>
      </c>
      <c r="D198" s="29" t="s">
        <v>88</v>
      </c>
      <c r="E198" s="29" t="s">
        <v>221</v>
      </c>
      <c r="F198" s="29">
        <v>4</v>
      </c>
      <c r="G198" s="46" t="str">
        <f>_xlfn.XLOOKUP([1]!Tabla3[[#This Row],[ID]],[1]!Tabla2[ID],[1]!Tabla2[Corregimiento],"NA")</f>
        <v>El Carmen</v>
      </c>
      <c r="H198" s="10">
        <f>_xlfn.XLOOKUP([1]!Tabla3[[#This Row],[LUGAR ENVÍO]],[1]!Tabla9[[Nombre ]],[1]!Tabla9[Distancia],"NA")</f>
        <v>6.1239999999999988</v>
      </c>
      <c r="I198" s="48">
        <f>[1]!Tabla3[[#This Row],[Valor Tran]]/([1]!Tabla3[[#This Row],[DISTANCIA (km)]]*2)</f>
        <v>4082.2991508817772</v>
      </c>
      <c r="J198" s="31"/>
      <c r="K198" s="29">
        <v>1</v>
      </c>
      <c r="L198" s="32">
        <v>50000</v>
      </c>
      <c r="M198" s="56">
        <v>50000</v>
      </c>
      <c r="N198" s="32">
        <v>352500</v>
      </c>
      <c r="O198" s="13">
        <f>[1]!Tabla3[[#This Row],[VLR. TOTAL FACT.]]-[1]!Tabla3[[#This Row],[VLR. TRANSPORTE]]</f>
        <v>302500</v>
      </c>
      <c r="P198" s="29">
        <v>1</v>
      </c>
      <c r="Q198" s="29" t="s">
        <v>22</v>
      </c>
    </row>
    <row r="199" spans="1:17" ht="27.6" thickBot="1" x14ac:dyDescent="0.35">
      <c r="A199" s="33">
        <v>31052</v>
      </c>
      <c r="B199" s="34" t="s">
        <v>222</v>
      </c>
      <c r="C199" s="33" t="s">
        <v>27</v>
      </c>
      <c r="D199" s="33" t="s">
        <v>61</v>
      </c>
      <c r="E199" s="33" t="s">
        <v>221</v>
      </c>
      <c r="F199" s="33">
        <v>4</v>
      </c>
      <c r="G199" s="76" t="str">
        <f>_xlfn.XLOOKUP([1]!Tabla3[[#This Row],[ID]],[1]!Tabla2[ID],[1]!Tabla2[Corregimiento],"NA")</f>
        <v>El Carmen</v>
      </c>
      <c r="H199" s="16">
        <f>_xlfn.XLOOKUP([1]!Tabla3[[#This Row],[LUGAR ENVÍO]],[1]!Tabla9[[Nombre ]],[1]!Tabla9[Distancia],"NA")</f>
        <v>6.1239999999999988</v>
      </c>
      <c r="I199" s="77">
        <f>[1]!Tabla3[[#This Row],[Valor Tran]]/([1]!Tabla3[[#This Row],[DISTANCIA (km)]]*2)</f>
        <v>4490.5290659699549</v>
      </c>
      <c r="J199" s="36"/>
      <c r="K199" s="33">
        <v>1</v>
      </c>
      <c r="L199" s="37">
        <v>55000</v>
      </c>
      <c r="M199" s="61">
        <v>55000</v>
      </c>
      <c r="N199" s="37">
        <v>391800</v>
      </c>
      <c r="O199" s="19">
        <f>[1]!Tabla3[[#This Row],[VLR. TOTAL FACT.]]-[1]!Tabla3[[#This Row],[VLR. TRANSPORTE]]</f>
        <v>336800</v>
      </c>
      <c r="P199" s="33">
        <v>1</v>
      </c>
      <c r="Q199" s="33" t="s">
        <v>25</v>
      </c>
    </row>
    <row r="200" spans="1:17" ht="27.6" thickBot="1" x14ac:dyDescent="0.35">
      <c r="A200" s="8">
        <v>47035</v>
      </c>
      <c r="B200" s="9">
        <v>45968</v>
      </c>
      <c r="C200" s="8" t="s">
        <v>17</v>
      </c>
      <c r="D200" s="8" t="s">
        <v>160</v>
      </c>
      <c r="E200" s="40" t="s">
        <v>221</v>
      </c>
      <c r="F200" s="8">
        <v>4</v>
      </c>
      <c r="G200" s="46" t="str">
        <f>_xlfn.XLOOKUP([1]!Tabla3[[#This Row],[ID]],[1]!Tabla2[ID],[1]!Tabla2[Corregimiento],"NA")</f>
        <v>El Carmen</v>
      </c>
      <c r="H200" s="10">
        <f>_xlfn.XLOOKUP([1]!Tabla3[[#This Row],[LUGAR ENVÍO]],[1]!Tabla9[[Nombre ]],[1]!Tabla9[Distancia],"NA")</f>
        <v>6.1239999999999988</v>
      </c>
      <c r="I200" s="48">
        <f>[1]!Tabla3[[#This Row],[Valor Tran]]/([1]!Tabla3[[#This Row],[DISTANCIA (km)]]*2)</f>
        <v>4082.2991508817772</v>
      </c>
      <c r="J200" s="12"/>
      <c r="K200" s="8">
        <v>1</v>
      </c>
      <c r="L200" s="13">
        <v>50000</v>
      </c>
      <c r="M200" s="50">
        <f>[1]!Tabla3[[#This Row],[VLR. TRANSPORTE]]/[1]!Tabla3[[#This Row],[Numero de Transportes]]</f>
        <v>50000</v>
      </c>
      <c r="N200" s="13">
        <v>467000</v>
      </c>
      <c r="O200" s="13">
        <f>[1]!Tabla3[[#This Row],[VLR. TOTAL FACT.]]-[1]!Tabla3[[#This Row],[VLR. TRANSPORTE]]</f>
        <v>417000</v>
      </c>
      <c r="P200" s="8">
        <v>1</v>
      </c>
      <c r="Q200" s="8" t="s">
        <v>25</v>
      </c>
    </row>
    <row r="201" spans="1:17" ht="27.6" thickBot="1" x14ac:dyDescent="0.35">
      <c r="A201" s="14">
        <v>58871</v>
      </c>
      <c r="B201" s="15">
        <v>45987</v>
      </c>
      <c r="C201" s="14" t="s">
        <v>17</v>
      </c>
      <c r="D201" s="14" t="s">
        <v>159</v>
      </c>
      <c r="E201" s="14" t="s">
        <v>221</v>
      </c>
      <c r="F201" s="14">
        <v>4</v>
      </c>
      <c r="G201" s="76" t="str">
        <f>_xlfn.XLOOKUP([1]!Tabla3[[#This Row],[ID]],[1]!Tabla2[ID],[1]!Tabla2[Corregimiento],"NA")</f>
        <v>El Carmen</v>
      </c>
      <c r="H201" s="16">
        <f>_xlfn.XLOOKUP([1]!Tabla3[[#This Row],[LUGAR ENVÍO]],[1]!Tabla9[[Nombre ]],[1]!Tabla9[Distancia],"NA")</f>
        <v>6.1239999999999988</v>
      </c>
      <c r="I201" s="77">
        <f>[1]!Tabla3[[#This Row],[Valor Tran]]/([1]!Tabla3[[#This Row],[DISTANCIA (km)]]*2)</f>
        <v>2041.1495754408886</v>
      </c>
      <c r="J201" s="18"/>
      <c r="K201" s="14">
        <v>1</v>
      </c>
      <c r="L201" s="19">
        <v>25000</v>
      </c>
      <c r="M201" s="73">
        <f>[1]!Tabla3[[#This Row],[VLR. TRANSPORTE]]/[1]!Tabla3[[#This Row],[Numero de Transportes]]</f>
        <v>25000</v>
      </c>
      <c r="N201" s="19">
        <v>2649000</v>
      </c>
      <c r="O201" s="19">
        <f>[1]!Tabla3[[#This Row],[VLR. TOTAL FACT.]]-[1]!Tabla3[[#This Row],[VLR. TRANSPORTE]]</f>
        <v>2624000</v>
      </c>
      <c r="P201" s="14">
        <v>1</v>
      </c>
      <c r="Q201" s="14" t="s">
        <v>22</v>
      </c>
    </row>
    <row r="202" spans="1:17" ht="27.6" thickBot="1" x14ac:dyDescent="0.35">
      <c r="A202" s="8">
        <v>58798</v>
      </c>
      <c r="B202" s="26">
        <v>45983</v>
      </c>
      <c r="C202" s="8" t="s">
        <v>27</v>
      </c>
      <c r="D202" s="8" t="s">
        <v>168</v>
      </c>
      <c r="E202" s="8" t="s">
        <v>221</v>
      </c>
      <c r="F202" s="8">
        <v>4</v>
      </c>
      <c r="G202" s="46" t="str">
        <f>_xlfn.XLOOKUP([1]!Tabla3[[#This Row],[ID]],[1]!Tabla2[ID],[1]!Tabla2[Corregimiento],"NA")</f>
        <v>El Carmen</v>
      </c>
      <c r="H202" s="10">
        <f>_xlfn.XLOOKUP([1]!Tabla3[[#This Row],[LUGAR ENVÍO]],[1]!Tabla9[[Nombre ]],[1]!Tabla9[Distancia],"NA")</f>
        <v>6.1239999999999988</v>
      </c>
      <c r="I202" s="48">
        <f>[1]!Tabla3[[#This Row],[Valor Tran]]/([1]!Tabla3[[#This Row],[DISTANCIA (km)]]*2)</f>
        <v>2449.3794905290665</v>
      </c>
      <c r="J202" s="12"/>
      <c r="K202" s="8">
        <v>1</v>
      </c>
      <c r="L202" s="13">
        <v>30000</v>
      </c>
      <c r="M202" s="50">
        <f>[1]!Tabla3[[#This Row],[VLR. TRANSPORTE]]/[1]!Tabla3[[#This Row],[Numero de Transportes]]</f>
        <v>30000</v>
      </c>
      <c r="N202" s="13">
        <v>3213000</v>
      </c>
      <c r="O202" s="13">
        <f>[1]!Tabla3[[#This Row],[VLR. TOTAL FACT.]]-[1]!Tabla3[[#This Row],[VLR. TRANSPORTE]]</f>
        <v>3183000</v>
      </c>
      <c r="P202" s="8">
        <v>1</v>
      </c>
      <c r="Q202" s="8" t="s">
        <v>25</v>
      </c>
    </row>
    <row r="203" spans="1:17" ht="27.6" thickBot="1" x14ac:dyDescent="0.35">
      <c r="A203" s="14">
        <v>58250</v>
      </c>
      <c r="B203" s="28">
        <v>45971</v>
      </c>
      <c r="C203" s="14" t="s">
        <v>27</v>
      </c>
      <c r="D203" s="14" t="s">
        <v>23</v>
      </c>
      <c r="E203" s="40" t="s">
        <v>223</v>
      </c>
      <c r="F203" s="14">
        <v>2</v>
      </c>
      <c r="G203" s="76" t="str">
        <f>_xlfn.XLOOKUP([1]!Tabla3[[#This Row],[ID]],[1]!Tabla2[ID],[1]!Tabla2[Corregimiento],"NA")</f>
        <v>Borrero Ayerbe</v>
      </c>
      <c r="H203" s="16">
        <f>_xlfn.XLOOKUP([1]!Tabla3[[#This Row],[LUGAR ENVÍO]],[1]!Tabla9[[Nombre ]],[1]!Tabla9[Distancia],"NA")</f>
        <v>0.72299999999999998</v>
      </c>
      <c r="I203" s="78">
        <f>[1]!Tabla3[[#This Row],[Valor Tran]]/([1]!Tabla3[[#This Row],[DISTANCIA (km)]]*2)</f>
        <v>6915.6293222683271</v>
      </c>
      <c r="J203" s="18"/>
      <c r="K203" s="14">
        <v>1</v>
      </c>
      <c r="L203" s="19">
        <v>10000</v>
      </c>
      <c r="M203" s="73">
        <f>[1]!Tabla3[[#This Row],[VLR. TRANSPORTE]]/[1]!Tabla3[[#This Row],[Numero de Transportes]]</f>
        <v>10000</v>
      </c>
      <c r="N203" s="19">
        <v>463300</v>
      </c>
      <c r="O203" s="19">
        <f>[1]!Tabla3[[#This Row],[VLR. TOTAL FACT.]]-[1]!Tabla3[[#This Row],[VLR. TRANSPORTE]]</f>
        <v>453300</v>
      </c>
      <c r="P203" s="14">
        <v>0</v>
      </c>
      <c r="Q203" s="14" t="s">
        <v>22</v>
      </c>
    </row>
    <row r="204" spans="1:17" ht="27.6" thickBot="1" x14ac:dyDescent="0.35">
      <c r="A204" s="8">
        <v>58753</v>
      </c>
      <c r="B204" s="26">
        <v>45984</v>
      </c>
      <c r="C204" s="8" t="s">
        <v>17</v>
      </c>
      <c r="D204" s="8" t="s">
        <v>32</v>
      </c>
      <c r="E204" s="8" t="s">
        <v>223</v>
      </c>
      <c r="F204" s="8">
        <v>2</v>
      </c>
      <c r="G204" s="46" t="str">
        <f>_xlfn.XLOOKUP([1]!Tabla3[[#This Row],[ID]],[1]!Tabla2[ID],[1]!Tabla2[Corregimiento],"NA")</f>
        <v>Borrero Ayerbe</v>
      </c>
      <c r="H204" s="10">
        <f>_xlfn.XLOOKUP([1]!Tabla3[[#This Row],[LUGAR ENVÍO]],[1]!Tabla9[[Nombre ]],[1]!Tabla9[Distancia],"NA")</f>
        <v>0.72299999999999998</v>
      </c>
      <c r="I204" s="48">
        <f>[1]!Tabla3[[#This Row],[Valor Tran]]/([1]!Tabla3[[#This Row],[DISTANCIA (km)]]*2)</f>
        <v>17289.073305670816</v>
      </c>
      <c r="J204" s="12"/>
      <c r="K204" s="8">
        <v>2</v>
      </c>
      <c r="L204" s="13">
        <v>50000</v>
      </c>
      <c r="M204" s="50">
        <f>[1]!Tabla3[[#This Row],[VLR. TRANSPORTE]]/[1]!Tabla3[[#This Row],[Numero de Transportes]]</f>
        <v>25000</v>
      </c>
      <c r="N204" s="13">
        <v>1622000</v>
      </c>
      <c r="O204" s="13">
        <f>[1]!Tabla3[[#This Row],[VLR. TOTAL FACT.]]-[1]!Tabla3[[#This Row],[VLR. TRANSPORTE]]</f>
        <v>1572000</v>
      </c>
      <c r="P204" s="8">
        <v>0</v>
      </c>
      <c r="Q204" s="8" t="s">
        <v>22</v>
      </c>
    </row>
    <row r="205" spans="1:17" ht="27.6" thickBot="1" x14ac:dyDescent="0.35">
      <c r="A205" s="14">
        <v>58574</v>
      </c>
      <c r="B205" s="28">
        <v>45979</v>
      </c>
      <c r="C205" s="14" t="s">
        <v>17</v>
      </c>
      <c r="D205" s="14" t="s">
        <v>40</v>
      </c>
      <c r="E205" s="14" t="s">
        <v>224</v>
      </c>
      <c r="F205" s="14">
        <v>2</v>
      </c>
      <c r="G205" s="76" t="str">
        <f>_xlfn.XLOOKUP([1]!Tabla3[[#This Row],[ID]],[1]!Tabla2[ID],[1]!Tabla2[Corregimiento],"NA")</f>
        <v>Borrero Ayerbe</v>
      </c>
      <c r="H205" s="16">
        <f>_xlfn.XLOOKUP([1]!Tabla3[[#This Row],[LUGAR ENVÍO]],[1]!Tabla9[[Nombre ]],[1]!Tabla9[Distancia],"NA")</f>
        <v>4.7809999999999988</v>
      </c>
      <c r="I205" s="77">
        <f>[1]!Tabla3[[#This Row],[Valor Tran]]/([1]!Tabla3[[#This Row],[DISTANCIA (km)]]*2)</f>
        <v>4183.2252666806116</v>
      </c>
      <c r="J205" s="18"/>
      <c r="K205" s="14">
        <v>1</v>
      </c>
      <c r="L205" s="19">
        <v>40000</v>
      </c>
      <c r="M205" s="73">
        <f>[1]!Tabla3[[#This Row],[VLR. TRANSPORTE]]/[1]!Tabla3[[#This Row],[Numero de Transportes]]</f>
        <v>40000</v>
      </c>
      <c r="N205" s="19">
        <v>482000</v>
      </c>
      <c r="O205" s="19">
        <f>[1]!Tabla3[[#This Row],[VLR. TOTAL FACT.]]-[1]!Tabla3[[#This Row],[VLR. TRANSPORTE]]</f>
        <v>442000</v>
      </c>
      <c r="P205" s="14">
        <v>0</v>
      </c>
      <c r="Q205" s="14" t="s">
        <v>57</v>
      </c>
    </row>
    <row r="206" spans="1:17" ht="27.6" thickBot="1" x14ac:dyDescent="0.35">
      <c r="A206" s="8">
        <v>47578</v>
      </c>
      <c r="B206" s="9">
        <v>45972</v>
      </c>
      <c r="C206" s="8" t="s">
        <v>17</v>
      </c>
      <c r="D206" s="8" t="s">
        <v>225</v>
      </c>
      <c r="E206" s="8" t="s">
        <v>224</v>
      </c>
      <c r="F206" s="8">
        <v>2</v>
      </c>
      <c r="G206" s="46" t="str">
        <f>_xlfn.XLOOKUP([1]!Tabla3[[#This Row],[ID]],[1]!Tabla2[ID],[1]!Tabla2[Corregimiento],"NA")</f>
        <v>Borrero Ayerbe</v>
      </c>
      <c r="H206" s="10">
        <f>_xlfn.XLOOKUP([1]!Tabla3[[#This Row],[LUGAR ENVÍO]],[1]!Tabla9[[Nombre ]],[1]!Tabla9[Distancia],"NA")</f>
        <v>4.7809999999999988</v>
      </c>
      <c r="I206" s="48">
        <f>[1]!Tabla3[[#This Row],[Valor Tran]]/([1]!Tabla3[[#This Row],[DISTANCIA (km)]]*2)</f>
        <v>2614.5157916753824</v>
      </c>
      <c r="J206" s="12"/>
      <c r="K206" s="8">
        <v>1</v>
      </c>
      <c r="L206" s="13">
        <v>25000</v>
      </c>
      <c r="M206" s="50">
        <f>[1]!Tabla3[[#This Row],[VLR. TRANSPORTE]]/[1]!Tabla3[[#This Row],[Numero de Transportes]]</f>
        <v>25000</v>
      </c>
      <c r="N206" s="13">
        <v>510000</v>
      </c>
      <c r="O206" s="13">
        <f>[1]!Tabla3[[#This Row],[VLR. TOTAL FACT.]]-[1]!Tabla3[[#This Row],[VLR. TRANSPORTE]]</f>
        <v>485000</v>
      </c>
      <c r="P206" s="8">
        <v>0</v>
      </c>
      <c r="Q206" s="8" t="s">
        <v>49</v>
      </c>
    </row>
    <row r="207" spans="1:17" ht="27.6" thickBot="1" x14ac:dyDescent="0.35">
      <c r="A207" s="14">
        <v>47495</v>
      </c>
      <c r="B207" s="28">
        <v>45971</v>
      </c>
      <c r="C207" s="14" t="s">
        <v>17</v>
      </c>
      <c r="D207" s="14" t="s">
        <v>18</v>
      </c>
      <c r="E207" s="14" t="s">
        <v>224</v>
      </c>
      <c r="F207" s="14">
        <v>2</v>
      </c>
      <c r="G207" s="76" t="str">
        <f>_xlfn.XLOOKUP([1]!Tabla3[[#This Row],[ID]],[1]!Tabla2[ID],[1]!Tabla2[Corregimiento],"NA")</f>
        <v>Borrero Ayerbe</v>
      </c>
      <c r="H207" s="16">
        <f>_xlfn.XLOOKUP([1]!Tabla3[[#This Row],[LUGAR ENVÍO]],[1]!Tabla9[[Nombre ]],[1]!Tabla9[Distancia],"NA")</f>
        <v>4.7809999999999988</v>
      </c>
      <c r="I207" s="77">
        <f>[1]!Tabla3[[#This Row],[Valor Tran]]/([1]!Tabla3[[#This Row],[DISTANCIA (km)]]*2)</f>
        <v>5229.0315833507648</v>
      </c>
      <c r="J207" s="18"/>
      <c r="K207" s="14">
        <v>2</v>
      </c>
      <c r="L207" s="19">
        <v>100000</v>
      </c>
      <c r="M207" s="73">
        <f>[1]!Tabla3[[#This Row],[VLR. TRANSPORTE]]/[1]!Tabla3[[#This Row],[Numero de Transportes]]</f>
        <v>50000</v>
      </c>
      <c r="N207" s="19">
        <v>2479900</v>
      </c>
      <c r="O207" s="19">
        <f>[1]!Tabla3[[#This Row],[VLR. TOTAL FACT.]]-[1]!Tabla3[[#This Row],[VLR. TRANSPORTE]]</f>
        <v>2379900</v>
      </c>
      <c r="P207" s="14">
        <v>0</v>
      </c>
      <c r="Q207" s="14" t="s">
        <v>49</v>
      </c>
    </row>
    <row r="208" spans="1:17" ht="27.6" thickBot="1" x14ac:dyDescent="0.35">
      <c r="A208" s="33">
        <v>38842</v>
      </c>
      <c r="B208" s="34" t="s">
        <v>50</v>
      </c>
      <c r="C208" s="33" t="s">
        <v>27</v>
      </c>
      <c r="D208" s="33" t="s">
        <v>43</v>
      </c>
      <c r="E208" s="33" t="s">
        <v>226</v>
      </c>
      <c r="F208" s="33">
        <v>10</v>
      </c>
      <c r="G208" s="46" t="str">
        <f>_xlfn.XLOOKUP([1]!Tabla3[[#This Row],[ID]],[1]!Tabla2[ID],[1]!Tabla2[Corregimiento],"NA")</f>
        <v>El Queremal</v>
      </c>
      <c r="H208" s="10">
        <f>_xlfn.XLOOKUP([1]!Tabla3[[#This Row],[LUGAR ENVÍO]],[1]!Tabla9[[Nombre ]],[1]!Tabla9[Distancia],"NA")</f>
        <v>4.6260000000000003</v>
      </c>
      <c r="I208" s="48">
        <f>[1]!Tabla3[[#This Row],[Valor Tran]]/([1]!Tabla3[[#This Row],[DISTANCIA (km)]]*2)</f>
        <v>8646.7790747946383</v>
      </c>
      <c r="J208" s="36"/>
      <c r="K208" s="33">
        <v>1</v>
      </c>
      <c r="L208" s="37">
        <v>80000</v>
      </c>
      <c r="M208" s="61">
        <v>80000</v>
      </c>
      <c r="N208" s="37">
        <v>246100</v>
      </c>
      <c r="O208" s="13">
        <f>[1]!Tabla3[[#This Row],[VLR. TOTAL FACT.]]-[1]!Tabla3[[#This Row],[VLR. TRANSPORTE]]</f>
        <v>166100</v>
      </c>
      <c r="P208" s="33">
        <v>1</v>
      </c>
      <c r="Q208" s="33" t="s">
        <v>34</v>
      </c>
    </row>
    <row r="209" spans="1:17" ht="27.6" thickBot="1" x14ac:dyDescent="0.35">
      <c r="A209" s="14">
        <v>47665</v>
      </c>
      <c r="B209" s="28">
        <v>45975</v>
      </c>
      <c r="C209" s="14" t="s">
        <v>17</v>
      </c>
      <c r="D209" s="14" t="s">
        <v>227</v>
      </c>
      <c r="E209" s="14" t="s">
        <v>226</v>
      </c>
      <c r="F209" s="14">
        <v>10</v>
      </c>
      <c r="G209" s="76" t="str">
        <f>_xlfn.XLOOKUP([1]!Tabla3[[#This Row],[ID]],[1]!Tabla2[ID],[1]!Tabla2[Corregimiento],"NA")</f>
        <v>El Queremal</v>
      </c>
      <c r="H209" s="16">
        <f>_xlfn.XLOOKUP([1]!Tabla3[[#This Row],[LUGAR ENVÍO]],[1]!Tabla9[[Nombre ]],[1]!Tabla9[Distancia],"NA")</f>
        <v>4.6260000000000003</v>
      </c>
      <c r="I209" s="77">
        <f>[1]!Tabla3[[#This Row],[Valor Tran]]/([1]!Tabla3[[#This Row],[DISTANCIA (km)]]*2)</f>
        <v>3242.5421530479894</v>
      </c>
      <c r="J209" s="18"/>
      <c r="K209" s="14">
        <v>1</v>
      </c>
      <c r="L209" s="19">
        <v>30000</v>
      </c>
      <c r="M209" s="73">
        <f>[1]!Tabla3[[#This Row],[VLR. TRANSPORTE]]/[1]!Tabla3[[#This Row],[Numero de Transportes]]</f>
        <v>30000</v>
      </c>
      <c r="N209" s="19">
        <v>202000</v>
      </c>
      <c r="O209" s="19">
        <f>[1]!Tabla3[[#This Row],[VLR. TOTAL FACT.]]-[1]!Tabla3[[#This Row],[VLR. TRANSPORTE]]</f>
        <v>172000</v>
      </c>
      <c r="P209" s="14">
        <v>0</v>
      </c>
      <c r="Q209" s="14" t="s">
        <v>25</v>
      </c>
    </row>
    <row r="210" spans="1:17" ht="15" thickBot="1" x14ac:dyDescent="0.35">
      <c r="A210" s="33">
        <v>48630</v>
      </c>
      <c r="B210" s="34" t="s">
        <v>79</v>
      </c>
      <c r="C210" s="33" t="s">
        <v>17</v>
      </c>
      <c r="D210" s="33" t="s">
        <v>115</v>
      </c>
      <c r="E210" s="33" t="s">
        <v>226</v>
      </c>
      <c r="F210" s="33">
        <v>10</v>
      </c>
      <c r="G210" s="46" t="str">
        <f>_xlfn.XLOOKUP([1]!Tabla3[[#This Row],[ID]],[1]!Tabla2[ID],[1]!Tabla2[Corregimiento],"NA")</f>
        <v>El Queremal</v>
      </c>
      <c r="H210" s="10">
        <f>_xlfn.XLOOKUP([1]!Tabla3[[#This Row],[LUGAR ENVÍO]],[1]!Tabla9[[Nombre ]],[1]!Tabla9[Distancia],"NA")</f>
        <v>4.6260000000000003</v>
      </c>
      <c r="I210" s="48">
        <f>[1]!Tabla3[[#This Row],[Valor Tran]]/([1]!Tabla3[[#This Row],[DISTANCIA (km)]]*2)</f>
        <v>8646.7790747946383</v>
      </c>
      <c r="J210" s="36"/>
      <c r="K210" s="33">
        <v>1</v>
      </c>
      <c r="L210" s="37">
        <v>80000</v>
      </c>
      <c r="M210" s="61">
        <v>80000</v>
      </c>
      <c r="N210" s="37">
        <v>273500</v>
      </c>
      <c r="O210" s="13">
        <f>[1]!Tabla3[[#This Row],[VLR. TOTAL FACT.]]-[1]!Tabla3[[#This Row],[VLR. TRANSPORTE]]</f>
        <v>193500</v>
      </c>
      <c r="P210" s="33">
        <v>1</v>
      </c>
      <c r="Q210" s="33" t="s">
        <v>22</v>
      </c>
    </row>
    <row r="211" spans="1:17" ht="27.6" thickBot="1" x14ac:dyDescent="0.35">
      <c r="A211" s="14">
        <v>58760</v>
      </c>
      <c r="B211" s="28">
        <v>45981</v>
      </c>
      <c r="C211" s="14" t="s">
        <v>17</v>
      </c>
      <c r="D211" s="14" t="s">
        <v>64</v>
      </c>
      <c r="E211" s="14" t="s">
        <v>226</v>
      </c>
      <c r="F211" s="14">
        <v>10</v>
      </c>
      <c r="G211" s="76" t="str">
        <f>_xlfn.XLOOKUP([1]!Tabla3[[#This Row],[ID]],[1]!Tabla2[ID],[1]!Tabla2[Corregimiento],"NA")</f>
        <v>El Queremal</v>
      </c>
      <c r="H211" s="16">
        <f>_xlfn.XLOOKUP([1]!Tabla3[[#This Row],[LUGAR ENVÍO]],[1]!Tabla9[[Nombre ]],[1]!Tabla9[Distancia],"NA")</f>
        <v>4.6260000000000003</v>
      </c>
      <c r="I211" s="77">
        <f>[1]!Tabla3[[#This Row],[Valor Tran]]/([1]!Tabla3[[#This Row],[DISTANCIA (km)]]*2)</f>
        <v>8646.7790747946383</v>
      </c>
      <c r="J211" s="18"/>
      <c r="K211" s="14">
        <v>1</v>
      </c>
      <c r="L211" s="19">
        <v>80000</v>
      </c>
      <c r="M211" s="73">
        <f>[1]!Tabla3[[#This Row],[VLR. TRANSPORTE]]/[1]!Tabla3[[#This Row],[Numero de Transportes]]</f>
        <v>80000</v>
      </c>
      <c r="N211" s="19">
        <v>284000</v>
      </c>
      <c r="O211" s="19">
        <f>[1]!Tabla3[[#This Row],[VLR. TOTAL FACT.]]-[1]!Tabla3[[#This Row],[VLR. TRANSPORTE]]</f>
        <v>204000</v>
      </c>
      <c r="P211" s="14">
        <v>1</v>
      </c>
      <c r="Q211" s="14" t="s">
        <v>49</v>
      </c>
    </row>
    <row r="212" spans="1:17" ht="27.6" thickBot="1" x14ac:dyDescent="0.35">
      <c r="A212" s="8">
        <v>47735</v>
      </c>
      <c r="B212" s="9">
        <v>45976</v>
      </c>
      <c r="C212" s="8" t="s">
        <v>17</v>
      </c>
      <c r="D212" s="8" t="s">
        <v>227</v>
      </c>
      <c r="E212" s="8" t="s">
        <v>226</v>
      </c>
      <c r="F212" s="8">
        <v>10</v>
      </c>
      <c r="G212" s="46" t="str">
        <f>_xlfn.XLOOKUP([1]!Tabla3[[#This Row],[ID]],[1]!Tabla2[ID],[1]!Tabla2[Corregimiento],"NA")</f>
        <v>El Queremal</v>
      </c>
      <c r="H212" s="10">
        <f>_xlfn.XLOOKUP([1]!Tabla3[[#This Row],[LUGAR ENVÍO]],[1]!Tabla9[[Nombre ]],[1]!Tabla9[Distancia],"NA")</f>
        <v>4.6260000000000003</v>
      </c>
      <c r="I212" s="48">
        <f>[1]!Tabla3[[#This Row],[Valor Tran]]/([1]!Tabla3[[#This Row],[DISTANCIA (km)]]*2)</f>
        <v>4323.3895373973191</v>
      </c>
      <c r="J212" s="12"/>
      <c r="K212" s="8">
        <v>2</v>
      </c>
      <c r="L212" s="13">
        <v>80000</v>
      </c>
      <c r="M212" s="50">
        <f>[1]!Tabla3[[#This Row],[VLR. TRANSPORTE]]/[1]!Tabla3[[#This Row],[Numero de Transportes]]</f>
        <v>40000</v>
      </c>
      <c r="N212" s="13">
        <v>300000</v>
      </c>
      <c r="O212" s="13">
        <f>[1]!Tabla3[[#This Row],[VLR. TOTAL FACT.]]-[1]!Tabla3[[#This Row],[VLR. TRANSPORTE]]</f>
        <v>220000</v>
      </c>
      <c r="P212" s="8">
        <v>0</v>
      </c>
      <c r="Q212" s="8" t="s">
        <v>25</v>
      </c>
    </row>
    <row r="213" spans="1:17" ht="27.6" thickBot="1" x14ac:dyDescent="0.35">
      <c r="A213" s="20">
        <v>48290</v>
      </c>
      <c r="B213" s="21">
        <v>45981</v>
      </c>
      <c r="C213" s="20" t="s">
        <v>17</v>
      </c>
      <c r="D213" s="20" t="s">
        <v>212</v>
      </c>
      <c r="E213" s="20" t="s">
        <v>226</v>
      </c>
      <c r="F213" s="20">
        <v>10</v>
      </c>
      <c r="G213" s="67" t="str">
        <f>_xlfn.XLOOKUP([1]!Tabla3[[#This Row],[ID]],[1]!Tabla2[ID],[1]!Tabla2[Corregimiento],"NA")</f>
        <v>El Queremal</v>
      </c>
      <c r="H213" s="16">
        <f>_xlfn.XLOOKUP([1]!Tabla3[[#This Row],[LUGAR ENVÍO]],[1]!Tabla9[[Nombre ]],[1]!Tabla9[Distancia],"NA")</f>
        <v>4.6260000000000003</v>
      </c>
      <c r="I213" s="79">
        <f>[1]!Tabla3[[#This Row],[Valor Tran]]/([1]!Tabla3[[#This Row],[DISTANCIA (km)]]*2)</f>
        <v>8646.7790747946383</v>
      </c>
      <c r="J213" s="24"/>
      <c r="K213" s="20">
        <v>1</v>
      </c>
      <c r="L213" s="25">
        <v>80000</v>
      </c>
      <c r="M213" s="71">
        <f>[1]!Tabla3[[#This Row],[VLR. TRANSPORTE]]/[1]!Tabla3[[#This Row],[Numero de Transportes]]</f>
        <v>80000</v>
      </c>
      <c r="N213" s="25">
        <v>386000</v>
      </c>
      <c r="O213" s="25">
        <f>[1]!Tabla3[[#This Row],[VLR. TOTAL FACT.]]-[1]!Tabla3[[#This Row],[VLR. TRANSPORTE]]</f>
        <v>306000</v>
      </c>
      <c r="P213" s="20">
        <v>1</v>
      </c>
      <c r="Q213" s="20" t="s">
        <v>112</v>
      </c>
    </row>
    <row r="214" spans="1:17" ht="40.799999999999997" thickBot="1" x14ac:dyDescent="0.35">
      <c r="A214" s="8">
        <v>58864</v>
      </c>
      <c r="B214" s="26">
        <v>45985</v>
      </c>
      <c r="C214" s="8" t="s">
        <v>17</v>
      </c>
      <c r="D214" s="8" t="s">
        <v>101</v>
      </c>
      <c r="E214" s="8" t="s">
        <v>226</v>
      </c>
      <c r="F214" s="8">
        <v>10</v>
      </c>
      <c r="G214" s="46" t="str">
        <f>_xlfn.XLOOKUP([1]!Tabla3[[#This Row],[ID]],[1]!Tabla2[ID],[1]!Tabla2[Corregimiento],"NA")</f>
        <v>El Queremal</v>
      </c>
      <c r="H214" s="10">
        <f>_xlfn.XLOOKUP([1]!Tabla3[[#This Row],[LUGAR ENVÍO]],[1]!Tabla9[[Nombre ]],[1]!Tabla9[Distancia],"NA")</f>
        <v>4.6260000000000003</v>
      </c>
      <c r="I214" s="48">
        <f>[1]!Tabla3[[#This Row],[Valor Tran]]/([1]!Tabla3[[#This Row],[DISTANCIA (km)]]*2)</f>
        <v>4323.3895373973191</v>
      </c>
      <c r="J214" s="12"/>
      <c r="K214" s="8">
        <v>1</v>
      </c>
      <c r="L214" s="13">
        <v>40000</v>
      </c>
      <c r="M214" s="50">
        <f>[1]!Tabla3[[#This Row],[VLR. TRANSPORTE]]/[1]!Tabla3[[#This Row],[Numero de Transportes]]</f>
        <v>40000</v>
      </c>
      <c r="N214" s="13">
        <v>1524000</v>
      </c>
      <c r="O214" s="13">
        <f>[1]!Tabla3[[#This Row],[VLR. TOTAL FACT.]]-[1]!Tabla3[[#This Row],[VLR. TRANSPORTE]]</f>
        <v>1484000</v>
      </c>
      <c r="P214" s="8">
        <v>1</v>
      </c>
      <c r="Q214" s="8" t="s">
        <v>34</v>
      </c>
    </row>
    <row r="215" spans="1:17" ht="27.6" thickBot="1" x14ac:dyDescent="0.35">
      <c r="A215" s="14">
        <v>58449</v>
      </c>
      <c r="B215" s="28">
        <v>45975</v>
      </c>
      <c r="C215" s="14" t="s">
        <v>27</v>
      </c>
      <c r="D215" s="14" t="s">
        <v>165</v>
      </c>
      <c r="E215" s="40" t="s">
        <v>228</v>
      </c>
      <c r="F215" s="14">
        <v>4</v>
      </c>
      <c r="G215" s="76" t="str">
        <f>_xlfn.XLOOKUP([1]!Tabla3[[#This Row],[ID]],[1]!Tabla2[ID],[1]!Tabla2[Corregimiento],"NA")</f>
        <v>El Carmen</v>
      </c>
      <c r="H215" s="16">
        <f>_xlfn.XLOOKUP([1]!Tabla3[[#This Row],[LUGAR ENVÍO]],[1]!Tabla9[[Nombre ]],[1]!Tabla9[Distancia],"NA")</f>
        <v>4.2009999999999987</v>
      </c>
      <c r="I215" s="77">
        <f>[1]!Tabla3[[#This Row],[Valor Tran]]/([1]!Tabla3[[#This Row],[DISTANCIA (km)]]*2)</f>
        <v>7141.1568674125228</v>
      </c>
      <c r="J215" s="18"/>
      <c r="K215" s="14">
        <v>1</v>
      </c>
      <c r="L215" s="19">
        <v>60000</v>
      </c>
      <c r="M215" s="73">
        <f>[1]!Tabla3[[#This Row],[VLR. TRANSPORTE]]/[1]!Tabla3[[#This Row],[Numero de Transportes]]</f>
        <v>60000</v>
      </c>
      <c r="N215" s="19">
        <v>213000</v>
      </c>
      <c r="O215" s="19">
        <f>[1]!Tabla3[[#This Row],[VLR. TOTAL FACT.]]-[1]!Tabla3[[#This Row],[VLR. TRANSPORTE]]</f>
        <v>153000</v>
      </c>
      <c r="P215" s="14">
        <v>1</v>
      </c>
      <c r="Q215" s="14" t="s">
        <v>22</v>
      </c>
    </row>
    <row r="216" spans="1:17" ht="15" thickBot="1" x14ac:dyDescent="0.35">
      <c r="A216" s="8">
        <v>58895</v>
      </c>
      <c r="B216" s="26">
        <v>45991</v>
      </c>
      <c r="C216" s="8" t="s">
        <v>17</v>
      </c>
      <c r="D216" s="8" t="s">
        <v>131</v>
      </c>
      <c r="E216" s="8" t="s">
        <v>228</v>
      </c>
      <c r="F216" s="8">
        <v>4</v>
      </c>
      <c r="G216" s="46" t="str">
        <f>_xlfn.XLOOKUP([1]!Tabla3[[#This Row],[ID]],[1]!Tabla2[ID],[1]!Tabla2[Corregimiento],"NA")</f>
        <v>El Carmen</v>
      </c>
      <c r="H216" s="10">
        <f>_xlfn.XLOOKUP([1]!Tabla3[[#This Row],[LUGAR ENVÍO]],[1]!Tabla9[[Nombre ]],[1]!Tabla9[Distancia],"NA")</f>
        <v>4.2009999999999987</v>
      </c>
      <c r="I216" s="48">
        <f>[1]!Tabla3[[#This Row],[Valor Tran]]/([1]!Tabla3[[#This Row],[DISTANCIA (km)]]*2)</f>
        <v>4760.7712449416822</v>
      </c>
      <c r="J216" s="12"/>
      <c r="K216" s="8">
        <v>1</v>
      </c>
      <c r="L216" s="13">
        <v>40000</v>
      </c>
      <c r="M216" s="50">
        <f>[1]!Tabla3[[#This Row],[VLR. TRANSPORTE]]/[1]!Tabla3[[#This Row],[Numero de Transportes]]</f>
        <v>40000</v>
      </c>
      <c r="N216" s="13">
        <v>233000</v>
      </c>
      <c r="O216" s="13">
        <f>[1]!Tabla3[[#This Row],[VLR. TOTAL FACT.]]-[1]!Tabla3[[#This Row],[VLR. TRANSPORTE]]</f>
        <v>193000</v>
      </c>
      <c r="P216" s="8">
        <v>1</v>
      </c>
      <c r="Q216" s="8" t="s">
        <v>22</v>
      </c>
    </row>
    <row r="217" spans="1:17" ht="27.6" thickBot="1" x14ac:dyDescent="0.35">
      <c r="A217" s="14">
        <v>58703</v>
      </c>
      <c r="B217" s="28">
        <v>45980</v>
      </c>
      <c r="C217" s="14" t="s">
        <v>17</v>
      </c>
      <c r="D217" s="14" t="s">
        <v>165</v>
      </c>
      <c r="E217" s="40" t="s">
        <v>228</v>
      </c>
      <c r="F217" s="14">
        <v>4</v>
      </c>
      <c r="G217" s="76" t="str">
        <f>_xlfn.XLOOKUP([1]!Tabla3[[#This Row],[ID]],[1]!Tabla2[ID],[1]!Tabla2[Corregimiento],"NA")</f>
        <v>El Carmen</v>
      </c>
      <c r="H217" s="16">
        <f>_xlfn.XLOOKUP([1]!Tabla3[[#This Row],[LUGAR ENVÍO]],[1]!Tabla9[[Nombre ]],[1]!Tabla9[Distancia],"NA")</f>
        <v>4.2009999999999987</v>
      </c>
      <c r="I217" s="77">
        <f>[1]!Tabla3[[#This Row],[Valor Tran]]/([1]!Tabla3[[#This Row],[DISTANCIA (km)]]*2)</f>
        <v>4760.7712449416822</v>
      </c>
      <c r="J217" s="18"/>
      <c r="K217" s="14">
        <v>1</v>
      </c>
      <c r="L217" s="19">
        <v>40000</v>
      </c>
      <c r="M217" s="73">
        <f>[1]!Tabla3[[#This Row],[VLR. TRANSPORTE]]/[1]!Tabla3[[#This Row],[Numero de Transportes]]</f>
        <v>40000</v>
      </c>
      <c r="N217" s="19">
        <v>730000</v>
      </c>
      <c r="O217" s="19">
        <f>[1]!Tabla3[[#This Row],[VLR. TOTAL FACT.]]-[1]!Tabla3[[#This Row],[VLR. TRANSPORTE]]</f>
        <v>690000</v>
      </c>
      <c r="P217" s="14">
        <v>1</v>
      </c>
      <c r="Q217" s="14" t="s">
        <v>22</v>
      </c>
    </row>
    <row r="218" spans="1:17" ht="27.6" thickBot="1" x14ac:dyDescent="0.35">
      <c r="A218" s="8">
        <v>47595</v>
      </c>
      <c r="B218" s="9">
        <v>45974</v>
      </c>
      <c r="C218" s="8" t="s">
        <v>17</v>
      </c>
      <c r="D218" s="8" t="s">
        <v>229</v>
      </c>
      <c r="E218" s="40" t="s">
        <v>228</v>
      </c>
      <c r="F218" s="8">
        <v>4</v>
      </c>
      <c r="G218" s="46" t="str">
        <f>_xlfn.XLOOKUP([1]!Tabla3[[#This Row],[ID]],[1]!Tabla2[ID],[1]!Tabla2[Corregimiento],"NA")</f>
        <v>El Carmen</v>
      </c>
      <c r="H218" s="10">
        <f>_xlfn.XLOOKUP([1]!Tabla3[[#This Row],[LUGAR ENVÍO]],[1]!Tabla9[[Nombre ]],[1]!Tabla9[Distancia],"NA")</f>
        <v>4.2009999999999987</v>
      </c>
      <c r="I218" s="48">
        <f>[1]!Tabla3[[#This Row],[Valor Tran]]/([1]!Tabla3[[#This Row],[DISTANCIA (km)]]*2)</f>
        <v>4760.7712449416822</v>
      </c>
      <c r="J218" s="12"/>
      <c r="K218" s="8">
        <v>1</v>
      </c>
      <c r="L218" s="13">
        <v>40000</v>
      </c>
      <c r="M218" s="50">
        <f>[1]!Tabla3[[#This Row],[VLR. TRANSPORTE]]/[1]!Tabla3[[#This Row],[Numero de Transportes]]</f>
        <v>40000</v>
      </c>
      <c r="N218" s="13">
        <v>881000</v>
      </c>
      <c r="O218" s="13">
        <f>[1]!Tabla3[[#This Row],[VLR. TOTAL FACT.]]-[1]!Tabla3[[#This Row],[VLR. TRANSPORTE]]</f>
        <v>841000</v>
      </c>
      <c r="P218" s="8">
        <v>0</v>
      </c>
      <c r="Q218" s="8" t="s">
        <v>25</v>
      </c>
    </row>
    <row r="219" spans="1:17" ht="27.6" thickBot="1" x14ac:dyDescent="0.35">
      <c r="A219" s="14">
        <v>47595</v>
      </c>
      <c r="B219" s="28">
        <v>45974</v>
      </c>
      <c r="C219" s="14" t="s">
        <v>17</v>
      </c>
      <c r="D219" s="14" t="s">
        <v>201</v>
      </c>
      <c r="E219" s="40" t="s">
        <v>228</v>
      </c>
      <c r="F219" s="14">
        <v>4</v>
      </c>
      <c r="G219" s="76" t="str">
        <f>_xlfn.XLOOKUP([1]!Tabla3[[#This Row],[ID]],[1]!Tabla2[ID],[1]!Tabla2[Corregimiento],"NA")</f>
        <v>El Carmen</v>
      </c>
      <c r="H219" s="16">
        <f>_xlfn.XLOOKUP([1]!Tabla3[[#This Row],[LUGAR ENVÍO]],[1]!Tabla9[[Nombre ]],[1]!Tabla9[Distancia],"NA")</f>
        <v>4.2009999999999987</v>
      </c>
      <c r="I219" s="77">
        <f>[1]!Tabla3[[#This Row],[Valor Tran]]/([1]!Tabla3[[#This Row],[DISTANCIA (km)]]*2)</f>
        <v>3570.5784337062614</v>
      </c>
      <c r="J219" s="18"/>
      <c r="K219" s="14">
        <v>1</v>
      </c>
      <c r="L219" s="19">
        <v>30000</v>
      </c>
      <c r="M219" s="73">
        <f>[1]!Tabla3[[#This Row],[VLR. TRANSPORTE]]/[1]!Tabla3[[#This Row],[Numero de Transportes]]</f>
        <v>30000</v>
      </c>
      <c r="N219" s="19">
        <v>1940400</v>
      </c>
      <c r="O219" s="19">
        <f>[1]!Tabla3[[#This Row],[VLR. TOTAL FACT.]]-[1]!Tabla3[[#This Row],[VLR. TRANSPORTE]]</f>
        <v>1910400</v>
      </c>
      <c r="P219" s="14">
        <v>0</v>
      </c>
      <c r="Q219" s="14" t="s">
        <v>25</v>
      </c>
    </row>
    <row r="220" spans="1:17" ht="27.6" thickBot="1" x14ac:dyDescent="0.35">
      <c r="A220" s="29">
        <v>58505</v>
      </c>
      <c r="B220" s="30" t="s">
        <v>230</v>
      </c>
      <c r="C220" s="29" t="s">
        <v>17</v>
      </c>
      <c r="D220" s="29" t="s">
        <v>127</v>
      </c>
      <c r="E220" s="29" t="s">
        <v>231</v>
      </c>
      <c r="F220" s="29">
        <v>4</v>
      </c>
      <c r="G220" s="46" t="str">
        <f>_xlfn.XLOOKUP([1]!Tabla3[[#This Row],[ID]],[1]!Tabla2[ID],[1]!Tabla2[Corregimiento],"NA")</f>
        <v>El Carmen</v>
      </c>
      <c r="H220" s="10">
        <f>_xlfn.XLOOKUP([1]!Tabla3[[#This Row],[LUGAR ENVÍO]],[1]!Tabla9[[Nombre ]],[1]!Tabla9[Distancia],"NA")</f>
        <v>5.6</v>
      </c>
      <c r="I220" s="48">
        <f>[1]!Tabla3[[#This Row],[Valor Tran]]/([1]!Tabla3[[#This Row],[DISTANCIA (km)]]*2)</f>
        <v>4464.2857142857147</v>
      </c>
      <c r="J220" s="31"/>
      <c r="K220" s="29">
        <v>1</v>
      </c>
      <c r="L220" s="32">
        <v>50000</v>
      </c>
      <c r="M220" s="56">
        <v>50000</v>
      </c>
      <c r="N220" s="32">
        <v>133500</v>
      </c>
      <c r="O220" s="13">
        <f>[1]!Tabla3[[#This Row],[VLR. TOTAL FACT.]]-[1]!Tabla3[[#This Row],[VLR. TRANSPORTE]]</f>
        <v>83500</v>
      </c>
      <c r="P220" s="29">
        <v>1</v>
      </c>
      <c r="Q220" s="29" t="s">
        <v>34</v>
      </c>
    </row>
    <row r="221" spans="1:17" ht="27.6" thickBot="1" x14ac:dyDescent="0.35">
      <c r="A221" s="29">
        <v>52478</v>
      </c>
      <c r="B221" s="30" t="s">
        <v>60</v>
      </c>
      <c r="C221" s="29" t="s">
        <v>17</v>
      </c>
      <c r="D221" s="29" t="s">
        <v>64</v>
      </c>
      <c r="E221" s="29" t="s">
        <v>231</v>
      </c>
      <c r="F221" s="29">
        <v>4</v>
      </c>
      <c r="G221" s="76" t="str">
        <f>_xlfn.XLOOKUP([1]!Tabla3[[#This Row],[ID]],[1]!Tabla2[ID],[1]!Tabla2[Corregimiento],"NA")</f>
        <v>El Carmen</v>
      </c>
      <c r="H221" s="16">
        <f>_xlfn.XLOOKUP([1]!Tabla3[[#This Row],[LUGAR ENVÍO]],[1]!Tabla9[[Nombre ]],[1]!Tabla9[Distancia],"NA")</f>
        <v>5.6</v>
      </c>
      <c r="I221" s="77">
        <f>[1]!Tabla3[[#This Row],[Valor Tran]]/([1]!Tabla3[[#This Row],[DISTANCIA (km)]]*2)</f>
        <v>4464.2857142857147</v>
      </c>
      <c r="J221" s="31"/>
      <c r="K221" s="29">
        <v>1</v>
      </c>
      <c r="L221" s="32">
        <v>50000</v>
      </c>
      <c r="M221" s="56">
        <v>50000</v>
      </c>
      <c r="N221" s="32">
        <v>216700</v>
      </c>
      <c r="O221" s="19">
        <f>[1]!Tabla3[[#This Row],[VLR. TOTAL FACT.]]-[1]!Tabla3[[#This Row],[VLR. TRANSPORTE]]</f>
        <v>166700</v>
      </c>
      <c r="P221" s="29">
        <v>1</v>
      </c>
      <c r="Q221" s="29" t="s">
        <v>25</v>
      </c>
    </row>
    <row r="222" spans="1:17" ht="27.6" thickBot="1" x14ac:dyDescent="0.35">
      <c r="A222" s="20">
        <v>47598</v>
      </c>
      <c r="B222" s="21">
        <v>45974</v>
      </c>
      <c r="C222" s="20" t="s">
        <v>17</v>
      </c>
      <c r="D222" s="20" t="s">
        <v>232</v>
      </c>
      <c r="E222" s="20" t="s">
        <v>231</v>
      </c>
      <c r="F222" s="20">
        <v>4</v>
      </c>
      <c r="G222" s="67" t="str">
        <f>_xlfn.XLOOKUP([1]!Tabla3[[#This Row],[ID]],[1]!Tabla2[ID],[1]!Tabla2[Corregimiento],"NA")</f>
        <v>El Carmen</v>
      </c>
      <c r="H222" s="10">
        <f>_xlfn.XLOOKUP([1]!Tabla3[[#This Row],[LUGAR ENVÍO]],[1]!Tabla9[[Nombre ]],[1]!Tabla9[Distancia],"NA")</f>
        <v>5.6</v>
      </c>
      <c r="I222" s="69">
        <f>[1]!Tabla3[[#This Row],[Valor Tran]]/([1]!Tabla3[[#This Row],[DISTANCIA (km)]]*2)</f>
        <v>4464.2857142857147</v>
      </c>
      <c r="J222" s="24"/>
      <c r="K222" s="20">
        <v>1</v>
      </c>
      <c r="L222" s="25">
        <v>50000</v>
      </c>
      <c r="M222" s="71">
        <f>[1]!Tabla3[[#This Row],[VLR. TRANSPORTE]]/[1]!Tabla3[[#This Row],[Numero de Transportes]]</f>
        <v>50000</v>
      </c>
      <c r="N222" s="25">
        <v>404000</v>
      </c>
      <c r="O222" s="25">
        <f>[1]!Tabla3[[#This Row],[VLR. TOTAL FACT.]]-[1]!Tabla3[[#This Row],[VLR. TRANSPORTE]]</f>
        <v>354000</v>
      </c>
      <c r="P222" s="20">
        <v>0</v>
      </c>
      <c r="Q222" s="20" t="s">
        <v>25</v>
      </c>
    </row>
    <row r="223" spans="1:17" ht="27.6" thickBot="1" x14ac:dyDescent="0.35">
      <c r="A223" s="20">
        <v>30747</v>
      </c>
      <c r="B223" s="21">
        <v>45990</v>
      </c>
      <c r="C223" s="20" t="s">
        <v>17</v>
      </c>
      <c r="D223" s="20" t="s">
        <v>23</v>
      </c>
      <c r="E223" s="20" t="s">
        <v>233</v>
      </c>
      <c r="F223" s="20">
        <v>2</v>
      </c>
      <c r="G223" s="67" t="str">
        <f>_xlfn.XLOOKUP([1]!Tabla3[[#This Row],[ID]],[1]!Tabla2[ID],[1]!Tabla2[Corregimiento],"NA")</f>
        <v>Borrero Ayerbe</v>
      </c>
      <c r="H223" s="16">
        <f>_xlfn.XLOOKUP([1]!Tabla3[[#This Row],[LUGAR ENVÍO]],[1]!Tabla9[[Nombre ]],[1]!Tabla9[Distancia],"NA")</f>
        <v>2.31</v>
      </c>
      <c r="I223" s="69">
        <f>[1]!Tabla3[[#This Row],[Valor Tran]]/([1]!Tabla3[[#This Row],[DISTANCIA (km)]]*2)</f>
        <v>6493.5064935064929</v>
      </c>
      <c r="J223" s="24"/>
      <c r="K223" s="20">
        <v>1</v>
      </c>
      <c r="L223" s="25">
        <v>30000</v>
      </c>
      <c r="M223" s="71">
        <f>[1]!Tabla3[[#This Row],[VLR. TRANSPORTE]]/[1]!Tabla3[[#This Row],[Numero de Transportes]]</f>
        <v>30000</v>
      </c>
      <c r="N223" s="25">
        <v>232000</v>
      </c>
      <c r="O223" s="25">
        <f>[1]!Tabla3[[#This Row],[VLR. TOTAL FACT.]]-[1]!Tabla3[[#This Row],[VLR. TRANSPORTE]]</f>
        <v>202000</v>
      </c>
      <c r="P223" s="20">
        <v>0</v>
      </c>
      <c r="Q223" s="20" t="s">
        <v>49</v>
      </c>
    </row>
    <row r="224" spans="1:17" ht="27.6" thickBot="1" x14ac:dyDescent="0.35">
      <c r="A224" s="8">
        <v>58646</v>
      </c>
      <c r="B224" s="9">
        <v>45981</v>
      </c>
      <c r="C224" s="8" t="s">
        <v>17</v>
      </c>
      <c r="D224" s="8" t="s">
        <v>51</v>
      </c>
      <c r="E224" s="8" t="s">
        <v>233</v>
      </c>
      <c r="F224" s="8">
        <v>2</v>
      </c>
      <c r="G224" s="46" t="str">
        <f>_xlfn.XLOOKUP([1]!Tabla3[[#This Row],[ID]],[1]!Tabla2[ID],[1]!Tabla2[Corregimiento],"NA")</f>
        <v>Borrero Ayerbe</v>
      </c>
      <c r="H224" s="10">
        <f>_xlfn.XLOOKUP([1]!Tabla3[[#This Row],[LUGAR ENVÍO]],[1]!Tabla9[[Nombre ]],[1]!Tabla9[Distancia],"NA")</f>
        <v>2.31</v>
      </c>
      <c r="I224" s="48">
        <f>[1]!Tabla3[[#This Row],[Valor Tran]]/([1]!Tabla3[[#This Row],[DISTANCIA (km)]]*2)</f>
        <v>12987.012987012986</v>
      </c>
      <c r="J224" s="12"/>
      <c r="K224" s="8">
        <v>1</v>
      </c>
      <c r="L224" s="13">
        <v>60000</v>
      </c>
      <c r="M224" s="50">
        <f>[1]!Tabla3[[#This Row],[VLR. TRANSPORTE]]/[1]!Tabla3[[#This Row],[Numero de Transportes]]</f>
        <v>60000</v>
      </c>
      <c r="N224" s="13">
        <v>733000</v>
      </c>
      <c r="O224" s="13">
        <f>[1]!Tabla3[[#This Row],[VLR. TOTAL FACT.]]-[1]!Tabla3[[#This Row],[VLR. TRANSPORTE]]</f>
        <v>673000</v>
      </c>
      <c r="P224" s="8">
        <v>1</v>
      </c>
      <c r="Q224" s="8" t="s">
        <v>22</v>
      </c>
    </row>
    <row r="225" spans="1:17" ht="27.6" thickBot="1" x14ac:dyDescent="0.35">
      <c r="A225" s="14">
        <v>48370</v>
      </c>
      <c r="B225" s="28">
        <v>45981</v>
      </c>
      <c r="C225" s="14" t="s">
        <v>17</v>
      </c>
      <c r="D225" s="14" t="s">
        <v>234</v>
      </c>
      <c r="E225" s="14" t="s">
        <v>235</v>
      </c>
      <c r="F225" s="14">
        <v>4</v>
      </c>
      <c r="G225" s="76" t="str">
        <f>_xlfn.XLOOKUP([1]!Tabla3[[#This Row],[ID]],[1]!Tabla2[ID],[1]!Tabla2[Corregimiento],"NA")</f>
        <v>El Carmen</v>
      </c>
      <c r="H225" s="16">
        <f>_xlfn.XLOOKUP([1]!Tabla3[[#This Row],[LUGAR ENVÍO]],[1]!Tabla9[[Nombre ]],[1]!Tabla9[Distancia],"NA")</f>
        <v>5.4639999999999986</v>
      </c>
      <c r="I225" s="77">
        <f>[1]!Tabla3[[#This Row],[Valor Tran]]/([1]!Tabla3[[#This Row],[DISTANCIA (km)]]*2)</f>
        <v>3660.3221083455355</v>
      </c>
      <c r="J225" s="18"/>
      <c r="K225" s="14">
        <v>1</v>
      </c>
      <c r="L225" s="19">
        <v>40000</v>
      </c>
      <c r="M225" s="73">
        <f>[1]!Tabla3[[#This Row],[VLR. TRANSPORTE]]/[1]!Tabla3[[#This Row],[Numero de Transportes]]</f>
        <v>40000</v>
      </c>
      <c r="N225" s="19">
        <v>228200</v>
      </c>
      <c r="O225" s="19">
        <f>[1]!Tabla3[[#This Row],[VLR. TOTAL FACT.]]-[1]!Tabla3[[#This Row],[VLR. TRANSPORTE]]</f>
        <v>188200</v>
      </c>
      <c r="P225" s="14">
        <v>0</v>
      </c>
      <c r="Q225" s="14" t="s">
        <v>25</v>
      </c>
    </row>
    <row r="226" spans="1:17" ht="27.6" thickBot="1" x14ac:dyDescent="0.35">
      <c r="A226" s="33">
        <v>55570</v>
      </c>
      <c r="B226" s="34" t="s">
        <v>164</v>
      </c>
      <c r="C226" s="33" t="s">
        <v>17</v>
      </c>
      <c r="D226" s="33" t="s">
        <v>191</v>
      </c>
      <c r="E226" s="33" t="s">
        <v>235</v>
      </c>
      <c r="F226" s="33">
        <v>4</v>
      </c>
      <c r="G226" s="46" t="str">
        <f>_xlfn.XLOOKUP([1]!Tabla3[[#This Row],[ID]],[1]!Tabla2[ID],[1]!Tabla2[Corregimiento],"NA")</f>
        <v>El Carmen</v>
      </c>
      <c r="H226" s="10">
        <f>_xlfn.XLOOKUP([1]!Tabla3[[#This Row],[LUGAR ENVÍO]],[1]!Tabla9[[Nombre ]],[1]!Tabla9[Distancia],"NA")</f>
        <v>5.4639999999999986</v>
      </c>
      <c r="I226" s="48">
        <f>[1]!Tabla3[[#This Row],[Valor Tran]]/([1]!Tabla3[[#This Row],[DISTANCIA (km)]]*2)</f>
        <v>5490.4831625183033</v>
      </c>
      <c r="J226" s="36"/>
      <c r="K226" s="33">
        <v>1</v>
      </c>
      <c r="L226" s="37">
        <v>60000</v>
      </c>
      <c r="M226" s="61">
        <v>60000</v>
      </c>
      <c r="N226" s="37">
        <v>534100</v>
      </c>
      <c r="O226" s="13">
        <f>[1]!Tabla3[[#This Row],[VLR. TOTAL FACT.]]-[1]!Tabla3[[#This Row],[VLR. TRANSPORTE]]</f>
        <v>474100</v>
      </c>
      <c r="P226" s="33">
        <v>1</v>
      </c>
      <c r="Q226" s="33" t="s">
        <v>22</v>
      </c>
    </row>
    <row r="227" spans="1:17" ht="27.6" thickBot="1" x14ac:dyDescent="0.35">
      <c r="A227" s="14">
        <v>47038</v>
      </c>
      <c r="B227" s="28">
        <v>45967</v>
      </c>
      <c r="C227" s="14" t="s">
        <v>17</v>
      </c>
      <c r="D227" s="14" t="s">
        <v>185</v>
      </c>
      <c r="E227" s="14" t="s">
        <v>235</v>
      </c>
      <c r="F227" s="14">
        <v>4</v>
      </c>
      <c r="G227" s="76" t="str">
        <f>_xlfn.XLOOKUP([1]!Tabla3[[#This Row],[ID]],[1]!Tabla2[ID],[1]!Tabla2[Corregimiento],"NA")</f>
        <v>El Carmen</v>
      </c>
      <c r="H227" s="16">
        <f>_xlfn.XLOOKUP([1]!Tabla3[[#This Row],[LUGAR ENVÍO]],[1]!Tabla9[[Nombre ]],[1]!Tabla9[Distancia],"NA")</f>
        <v>5.4639999999999986</v>
      </c>
      <c r="I227" s="77">
        <f>[1]!Tabla3[[#This Row],[Valor Tran]]/([1]!Tabla3[[#This Row],[DISTANCIA (km)]]*2)</f>
        <v>3660.3221083455355</v>
      </c>
      <c r="J227" s="18"/>
      <c r="K227" s="14">
        <v>1</v>
      </c>
      <c r="L227" s="19">
        <v>40000</v>
      </c>
      <c r="M227" s="73">
        <f>[1]!Tabla3[[#This Row],[VLR. TRANSPORTE]]/[1]!Tabla3[[#This Row],[Numero de Transportes]]</f>
        <v>40000</v>
      </c>
      <c r="N227" s="19">
        <v>515000</v>
      </c>
      <c r="O227" s="19">
        <f>[1]!Tabla3[[#This Row],[VLR. TOTAL FACT.]]-[1]!Tabla3[[#This Row],[VLR. TRANSPORTE]]</f>
        <v>475000</v>
      </c>
      <c r="P227" s="14">
        <v>0</v>
      </c>
      <c r="Q227" s="14" t="s">
        <v>25</v>
      </c>
    </row>
    <row r="228" spans="1:17" ht="27.6" thickBot="1" x14ac:dyDescent="0.35">
      <c r="A228" s="8">
        <v>47038</v>
      </c>
      <c r="B228" s="9">
        <v>45967</v>
      </c>
      <c r="C228" s="8" t="s">
        <v>17</v>
      </c>
      <c r="D228" s="8" t="s">
        <v>185</v>
      </c>
      <c r="E228" s="8" t="s">
        <v>235</v>
      </c>
      <c r="F228" s="8">
        <v>4</v>
      </c>
      <c r="G228" s="46" t="str">
        <f>_xlfn.XLOOKUP([1]!Tabla3[[#This Row],[ID]],[1]!Tabla2[ID],[1]!Tabla2[Corregimiento],"NA")</f>
        <v>El Carmen</v>
      </c>
      <c r="H228" s="10">
        <f>_xlfn.XLOOKUP([1]!Tabla3[[#This Row],[LUGAR ENVÍO]],[1]!Tabla9[[Nombre ]],[1]!Tabla9[Distancia],"NA")</f>
        <v>5.4639999999999986</v>
      </c>
      <c r="I228" s="48">
        <f>[1]!Tabla3[[#This Row],[Valor Tran]]/([1]!Tabla3[[#This Row],[DISTANCIA (km)]]*2)</f>
        <v>3660.3221083455355</v>
      </c>
      <c r="J228" s="12"/>
      <c r="K228" s="8">
        <v>1</v>
      </c>
      <c r="L228" s="13">
        <v>40000</v>
      </c>
      <c r="M228" s="50">
        <f>[1]!Tabla3[[#This Row],[VLR. TRANSPORTE]]/[1]!Tabla3[[#This Row],[Numero de Transportes]]</f>
        <v>40000</v>
      </c>
      <c r="N228" s="13">
        <v>515800</v>
      </c>
      <c r="O228" s="13">
        <f>[1]!Tabla3[[#This Row],[VLR. TOTAL FACT.]]-[1]!Tabla3[[#This Row],[VLR. TRANSPORTE]]</f>
        <v>475800</v>
      </c>
      <c r="P228" s="8">
        <v>0</v>
      </c>
      <c r="Q228" s="8" t="s">
        <v>25</v>
      </c>
    </row>
    <row r="229" spans="1:17" ht="27.6" thickBot="1" x14ac:dyDescent="0.35">
      <c r="A229" s="14">
        <v>48488</v>
      </c>
      <c r="B229" s="28">
        <v>45985</v>
      </c>
      <c r="C229" s="14" t="s">
        <v>17</v>
      </c>
      <c r="D229" s="14" t="s">
        <v>236</v>
      </c>
      <c r="E229" s="14" t="s">
        <v>235</v>
      </c>
      <c r="F229" s="14">
        <v>4</v>
      </c>
      <c r="G229" s="76" t="str">
        <f>_xlfn.XLOOKUP([1]!Tabla3[[#This Row],[ID]],[1]!Tabla2[ID],[1]!Tabla2[Corregimiento],"NA")</f>
        <v>El Carmen</v>
      </c>
      <c r="H229" s="16">
        <f>_xlfn.XLOOKUP([1]!Tabla3[[#This Row],[LUGAR ENVÍO]],[1]!Tabla9[[Nombre ]],[1]!Tabla9[Distancia],"NA")</f>
        <v>5.4639999999999986</v>
      </c>
      <c r="I229" s="77">
        <f>[1]!Tabla3[[#This Row],[Valor Tran]]/([1]!Tabla3[[#This Row],[DISTANCIA (km)]]*2)</f>
        <v>5490.4831625183033</v>
      </c>
      <c r="J229" s="18"/>
      <c r="K229" s="14">
        <v>1</v>
      </c>
      <c r="L229" s="19">
        <v>60000</v>
      </c>
      <c r="M229" s="73">
        <f>[1]!Tabla3[[#This Row],[VLR. TRANSPORTE]]/[1]!Tabla3[[#This Row],[Numero de Transportes]]</f>
        <v>60000</v>
      </c>
      <c r="N229" s="19">
        <v>575400</v>
      </c>
      <c r="O229" s="19">
        <f>[1]!Tabla3[[#This Row],[VLR. TOTAL FACT.]]-[1]!Tabla3[[#This Row],[VLR. TRANSPORTE]]</f>
        <v>515400</v>
      </c>
      <c r="P229" s="14">
        <v>1</v>
      </c>
      <c r="Q229" s="14" t="s">
        <v>25</v>
      </c>
    </row>
    <row r="230" spans="1:17" ht="27.6" thickBot="1" x14ac:dyDescent="0.35">
      <c r="A230" s="8">
        <v>58345</v>
      </c>
      <c r="B230" s="9">
        <v>45987</v>
      </c>
      <c r="C230" s="8" t="s">
        <v>17</v>
      </c>
      <c r="D230" s="8" t="s">
        <v>159</v>
      </c>
      <c r="E230" s="8" t="s">
        <v>235</v>
      </c>
      <c r="F230" s="8">
        <v>4</v>
      </c>
      <c r="G230" s="46" t="str">
        <f>_xlfn.XLOOKUP([1]!Tabla3[[#This Row],[ID]],[1]!Tabla2[ID],[1]!Tabla2[Corregimiento],"NA")</f>
        <v>El Carmen</v>
      </c>
      <c r="H230" s="10">
        <f>_xlfn.XLOOKUP([1]!Tabla3[[#This Row],[LUGAR ENVÍO]],[1]!Tabla9[[Nombre ]],[1]!Tabla9[Distancia],"NA")</f>
        <v>5.4639999999999986</v>
      </c>
      <c r="I230" s="48">
        <f>[1]!Tabla3[[#This Row],[Valor Tran]]/([1]!Tabla3[[#This Row],[DISTANCIA (km)]]*2)</f>
        <v>4575.4026354319194</v>
      </c>
      <c r="J230" s="12"/>
      <c r="K230" s="8">
        <v>1</v>
      </c>
      <c r="L230" s="13">
        <v>50000</v>
      </c>
      <c r="M230" s="50">
        <f>[1]!Tabla3[[#This Row],[VLR. TRANSPORTE]]/[1]!Tabla3[[#This Row],[Numero de Transportes]]</f>
        <v>50000</v>
      </c>
      <c r="N230" s="13">
        <v>694000</v>
      </c>
      <c r="O230" s="13">
        <f>[1]!Tabla3[[#This Row],[VLR. TOTAL FACT.]]-[1]!Tabla3[[#This Row],[VLR. TRANSPORTE]]</f>
        <v>644000</v>
      </c>
      <c r="P230" s="8">
        <v>0</v>
      </c>
      <c r="Q230" s="8" t="s">
        <v>34</v>
      </c>
    </row>
    <row r="231" spans="1:17" ht="27.6" thickBot="1" x14ac:dyDescent="0.35">
      <c r="A231" s="33">
        <v>54793</v>
      </c>
      <c r="B231" s="34" t="s">
        <v>95</v>
      </c>
      <c r="C231" s="33" t="s">
        <v>17</v>
      </c>
      <c r="D231" s="33" t="s">
        <v>182</v>
      </c>
      <c r="E231" s="33" t="s">
        <v>235</v>
      </c>
      <c r="F231" s="33">
        <v>4</v>
      </c>
      <c r="G231" s="76" t="str">
        <f>_xlfn.XLOOKUP([1]!Tabla3[[#This Row],[ID]],[1]!Tabla2[ID],[1]!Tabla2[Corregimiento],"NA")</f>
        <v>El Carmen</v>
      </c>
      <c r="H231" s="16">
        <f>_xlfn.XLOOKUP([1]!Tabla3[[#This Row],[LUGAR ENVÍO]],[1]!Tabla9[[Nombre ]],[1]!Tabla9[Distancia],"NA")</f>
        <v>5.4639999999999986</v>
      </c>
      <c r="I231" s="77">
        <f>[1]!Tabla3[[#This Row],[Valor Tran]]/([1]!Tabla3[[#This Row],[DISTANCIA (km)]]*2)</f>
        <v>5490.4831625183033</v>
      </c>
      <c r="J231" s="36"/>
      <c r="K231" s="33">
        <v>1</v>
      </c>
      <c r="L231" s="37">
        <v>60000</v>
      </c>
      <c r="M231" s="61">
        <v>60000</v>
      </c>
      <c r="N231" s="37">
        <v>899500</v>
      </c>
      <c r="O231" s="19">
        <f>[1]!Tabla3[[#This Row],[VLR. TOTAL FACT.]]-[1]!Tabla3[[#This Row],[VLR. TRANSPORTE]]</f>
        <v>839500</v>
      </c>
      <c r="P231" s="33">
        <v>1</v>
      </c>
      <c r="Q231" s="33" t="s">
        <v>25</v>
      </c>
    </row>
    <row r="232" spans="1:17" ht="27.6" thickBot="1" x14ac:dyDescent="0.35">
      <c r="A232" s="33">
        <v>39927</v>
      </c>
      <c r="B232" s="34" t="s">
        <v>92</v>
      </c>
      <c r="C232" s="33" t="s">
        <v>27</v>
      </c>
      <c r="D232" s="33" t="s">
        <v>115</v>
      </c>
      <c r="E232" s="33" t="s">
        <v>235</v>
      </c>
      <c r="F232" s="33">
        <v>4</v>
      </c>
      <c r="G232" s="46" t="str">
        <f>_xlfn.XLOOKUP([1]!Tabla3[[#This Row],[ID]],[1]!Tabla2[ID],[1]!Tabla2[Corregimiento],"NA")</f>
        <v>El Carmen</v>
      </c>
      <c r="H232" s="10">
        <f>_xlfn.XLOOKUP([1]!Tabla3[[#This Row],[LUGAR ENVÍO]],[1]!Tabla9[[Nombre ]],[1]!Tabla9[Distancia],"NA")</f>
        <v>5.4639999999999986</v>
      </c>
      <c r="I232" s="48">
        <f>[1]!Tabla3[[#This Row],[Valor Tran]]/([1]!Tabla3[[#This Row],[DISTANCIA (km)]]*2)</f>
        <v>5490.4831625183033</v>
      </c>
      <c r="J232" s="36"/>
      <c r="K232" s="33">
        <v>1</v>
      </c>
      <c r="L232" s="37">
        <v>60000</v>
      </c>
      <c r="M232" s="61">
        <v>60000</v>
      </c>
      <c r="N232" s="37">
        <v>985600</v>
      </c>
      <c r="O232" s="13">
        <f>[1]!Tabla3[[#This Row],[VLR. TOTAL FACT.]]-[1]!Tabla3[[#This Row],[VLR. TRANSPORTE]]</f>
        <v>925600</v>
      </c>
      <c r="P232" s="33">
        <v>1</v>
      </c>
      <c r="Q232" s="33" t="s">
        <v>22</v>
      </c>
    </row>
    <row r="233" spans="1:17" ht="27.6" thickBot="1" x14ac:dyDescent="0.35">
      <c r="A233" s="14">
        <v>58947</v>
      </c>
      <c r="B233" s="28">
        <v>45981</v>
      </c>
      <c r="C233" s="14" t="s">
        <v>17</v>
      </c>
      <c r="D233" s="14" t="s">
        <v>237</v>
      </c>
      <c r="E233" s="14" t="s">
        <v>235</v>
      </c>
      <c r="F233" s="14">
        <v>4</v>
      </c>
      <c r="G233" s="76" t="str">
        <f>_xlfn.XLOOKUP([1]!Tabla3[[#This Row],[ID]],[1]!Tabla2[ID],[1]!Tabla2[Corregimiento],"NA")</f>
        <v>El Carmen</v>
      </c>
      <c r="H233" s="16">
        <f>_xlfn.XLOOKUP([1]!Tabla3[[#This Row],[LUGAR ENVÍO]],[1]!Tabla9[[Nombre ]],[1]!Tabla9[Distancia],"NA")</f>
        <v>5.4639999999999986</v>
      </c>
      <c r="I233" s="77">
        <f>[1]!Tabla3[[#This Row],[Valor Tran]]/([1]!Tabla3[[#This Row],[DISTANCIA (km)]]*2)</f>
        <v>4575.4026354319194</v>
      </c>
      <c r="J233" s="18"/>
      <c r="K233" s="14">
        <v>1</v>
      </c>
      <c r="L233" s="19">
        <v>50000</v>
      </c>
      <c r="M233" s="73">
        <f>[1]!Tabla3[[#This Row],[VLR. TRANSPORTE]]/[1]!Tabla3[[#This Row],[Numero de Transportes]]</f>
        <v>50000</v>
      </c>
      <c r="N233" s="19">
        <v>1130700</v>
      </c>
      <c r="O233" s="19">
        <f>[1]!Tabla3[[#This Row],[VLR. TOTAL FACT.]]-[1]!Tabla3[[#This Row],[VLR. TRANSPORTE]]</f>
        <v>1080700</v>
      </c>
      <c r="P233" s="14">
        <v>0</v>
      </c>
      <c r="Q233" s="14" t="s">
        <v>49</v>
      </c>
    </row>
    <row r="234" spans="1:17" ht="27.6" thickBot="1" x14ac:dyDescent="0.35">
      <c r="A234" s="8">
        <v>46751</v>
      </c>
      <c r="B234" s="9">
        <v>45966</v>
      </c>
      <c r="C234" s="8" t="s">
        <v>17</v>
      </c>
      <c r="D234" s="8" t="s">
        <v>238</v>
      </c>
      <c r="E234" s="40" t="s">
        <v>239</v>
      </c>
      <c r="F234" s="8">
        <v>4</v>
      </c>
      <c r="G234" s="46" t="str">
        <f>_xlfn.XLOOKUP([1]!Tabla3[[#This Row],[ID]],[1]!Tabla2[ID],[1]!Tabla2[Corregimiento],"NA")</f>
        <v>El Carmen</v>
      </c>
      <c r="H234" s="10">
        <f>_xlfn.XLOOKUP([1]!Tabla3[[#This Row],[LUGAR ENVÍO]],[1]!Tabla9[[Nombre ]],[1]!Tabla9[Distancia],"NA")</f>
        <v>6.7240000000000002</v>
      </c>
      <c r="I234" s="48">
        <f>[1]!Tabla3[[#This Row],[Valor Tran]]/([1]!Tabla3[[#This Row],[DISTANCIA (km)]]*2)</f>
        <v>4461.6299821534803</v>
      </c>
      <c r="J234" s="12"/>
      <c r="K234" s="8">
        <v>1</v>
      </c>
      <c r="L234" s="13">
        <v>60000</v>
      </c>
      <c r="M234" s="50">
        <f>[1]!Tabla3[[#This Row],[VLR. TRANSPORTE]]/[1]!Tabla3[[#This Row],[Numero de Transportes]]</f>
        <v>60000</v>
      </c>
      <c r="N234" s="13">
        <v>194200</v>
      </c>
      <c r="O234" s="13">
        <f>[1]!Tabla3[[#This Row],[VLR. TOTAL FACT.]]-[1]!Tabla3[[#This Row],[VLR. TRANSPORTE]]</f>
        <v>134200</v>
      </c>
      <c r="P234" s="8">
        <v>1</v>
      </c>
      <c r="Q234" s="8" t="s">
        <v>25</v>
      </c>
    </row>
    <row r="235" spans="1:17" ht="27.6" thickBot="1" x14ac:dyDescent="0.35">
      <c r="A235" s="29">
        <v>58712</v>
      </c>
      <c r="B235" s="30" t="s">
        <v>105</v>
      </c>
      <c r="C235" s="29" t="s">
        <v>17</v>
      </c>
      <c r="D235" s="29" t="s">
        <v>80</v>
      </c>
      <c r="E235" s="40" t="s">
        <v>239</v>
      </c>
      <c r="F235" s="29">
        <v>4</v>
      </c>
      <c r="G235" s="76" t="str">
        <f>_xlfn.XLOOKUP([1]!Tabla3[[#This Row],[ID]],[1]!Tabla2[ID],[1]!Tabla2[Corregimiento],"NA")</f>
        <v>El Carmen</v>
      </c>
      <c r="H235" s="16">
        <f>_xlfn.XLOOKUP([1]!Tabla3[[#This Row],[LUGAR ENVÍO]],[1]!Tabla9[[Nombre ]],[1]!Tabla9[Distancia],"NA")</f>
        <v>6.7240000000000002</v>
      </c>
      <c r="I235" s="77">
        <f>[1]!Tabla3[[#This Row],[Valor Tran]]/([1]!Tabla3[[#This Row],[DISTANCIA (km)]]*2)</f>
        <v>4461.6299821534803</v>
      </c>
      <c r="J235" s="31"/>
      <c r="K235" s="29">
        <v>1</v>
      </c>
      <c r="L235" s="32">
        <v>60000</v>
      </c>
      <c r="M235" s="56">
        <v>60000</v>
      </c>
      <c r="N235" s="32">
        <v>294900</v>
      </c>
      <c r="O235" s="19">
        <f>[1]!Tabla3[[#This Row],[VLR. TOTAL FACT.]]-[1]!Tabla3[[#This Row],[VLR. TRANSPORTE]]</f>
        <v>234900</v>
      </c>
      <c r="P235" s="29">
        <v>1</v>
      </c>
      <c r="Q235" s="29" t="s">
        <v>25</v>
      </c>
    </row>
    <row r="236" spans="1:17" ht="15" thickBot="1" x14ac:dyDescent="0.35">
      <c r="A236" s="8">
        <v>58104</v>
      </c>
      <c r="B236" s="9">
        <v>45966</v>
      </c>
      <c r="C236" s="8" t="s">
        <v>17</v>
      </c>
      <c r="D236" s="8" t="s">
        <v>240</v>
      </c>
      <c r="E236" s="40" t="s">
        <v>239</v>
      </c>
      <c r="F236" s="8">
        <v>4</v>
      </c>
      <c r="G236" s="46" t="str">
        <f>_xlfn.XLOOKUP([1]!Tabla3[[#This Row],[ID]],[1]!Tabla2[ID],[1]!Tabla2[Corregimiento],"NA")</f>
        <v>El Carmen</v>
      </c>
      <c r="H236" s="10">
        <f>_xlfn.XLOOKUP([1]!Tabla3[[#This Row],[LUGAR ENVÍO]],[1]!Tabla9[[Nombre ]],[1]!Tabla9[Distancia],"NA")</f>
        <v>6.7240000000000002</v>
      </c>
      <c r="I236" s="48">
        <f>[1]!Tabla3[[#This Row],[Valor Tran]]/([1]!Tabla3[[#This Row],[DISTANCIA (km)]]*2)</f>
        <v>5205.2349791790602</v>
      </c>
      <c r="J236" s="12"/>
      <c r="K236" s="8">
        <v>1</v>
      </c>
      <c r="L236" s="13">
        <v>70000</v>
      </c>
      <c r="M236" s="50">
        <f>[1]!Tabla3[[#This Row],[VLR. TRANSPORTE]]/[1]!Tabla3[[#This Row],[Numero de Transportes]]</f>
        <v>70000</v>
      </c>
      <c r="N236" s="13">
        <v>376000</v>
      </c>
      <c r="O236" s="13">
        <f>[1]!Tabla3[[#This Row],[VLR. TOTAL FACT.]]-[1]!Tabla3[[#This Row],[VLR. TRANSPORTE]]</f>
        <v>306000</v>
      </c>
      <c r="P236" s="8">
        <v>1</v>
      </c>
      <c r="Q236" s="8" t="s">
        <v>22</v>
      </c>
    </row>
    <row r="237" spans="1:17" ht="27.6" thickBot="1" x14ac:dyDescent="0.35">
      <c r="A237" s="14">
        <v>58767</v>
      </c>
      <c r="B237" s="15">
        <v>46006</v>
      </c>
      <c r="C237" s="14" t="s">
        <v>17</v>
      </c>
      <c r="D237" s="14" t="s">
        <v>177</v>
      </c>
      <c r="E237" s="14" t="s">
        <v>239</v>
      </c>
      <c r="F237" s="14">
        <v>4</v>
      </c>
      <c r="G237" s="76" t="str">
        <f>_xlfn.XLOOKUP([1]!Tabla3[[#This Row],[ID]],[1]!Tabla2[ID],[1]!Tabla2[Corregimiento],"NA")</f>
        <v>El Carmen</v>
      </c>
      <c r="H237" s="16">
        <f>_xlfn.XLOOKUP([1]!Tabla3[[#This Row],[LUGAR ENVÍO]],[1]!Tabla9[[Nombre ]],[1]!Tabla9[Distancia],"NA")</f>
        <v>6.7240000000000002</v>
      </c>
      <c r="I237" s="77">
        <f>[1]!Tabla3[[#This Row],[Valor Tran]]/([1]!Tabla3[[#This Row],[DISTANCIA (km)]]*2)</f>
        <v>3718.0249851279</v>
      </c>
      <c r="J237" s="18"/>
      <c r="K237" s="14">
        <v>1</v>
      </c>
      <c r="L237" s="19">
        <v>50000</v>
      </c>
      <c r="M237" s="73">
        <f>[1]!Tabla3[[#This Row],[VLR. TRANSPORTE]]/[1]!Tabla3[[#This Row],[Numero de Transportes]]</f>
        <v>50000</v>
      </c>
      <c r="N237" s="19">
        <v>2890000</v>
      </c>
      <c r="O237" s="19">
        <f>[1]!Tabla3[[#This Row],[VLR. TOTAL FACT.]]-[1]!Tabla3[[#This Row],[VLR. TRANSPORTE]]</f>
        <v>2840000</v>
      </c>
      <c r="P237" s="14">
        <v>1</v>
      </c>
      <c r="Q237" s="14" t="s">
        <v>22</v>
      </c>
    </row>
    <row r="238" spans="1:17" ht="27.6" thickBot="1" x14ac:dyDescent="0.35">
      <c r="A238" s="8">
        <v>30602</v>
      </c>
      <c r="B238" s="9">
        <v>45981</v>
      </c>
      <c r="C238" s="8" t="s">
        <v>17</v>
      </c>
      <c r="D238" s="8" t="s">
        <v>108</v>
      </c>
      <c r="E238" s="40" t="s">
        <v>241</v>
      </c>
      <c r="F238" s="8">
        <v>2</v>
      </c>
      <c r="G238" s="46" t="str">
        <f>_xlfn.XLOOKUP([1]!Tabla3[[#This Row],[ID]],[1]!Tabla2[ID],[1]!Tabla2[Corregimiento],"NA")</f>
        <v>Borrero Ayerbe</v>
      </c>
      <c r="H238" s="10">
        <f>_xlfn.XLOOKUP([1]!Tabla3[[#This Row],[LUGAR ENVÍO]],[1]!Tabla9[[Nombre ]],[1]!Tabla9[Distancia],"NA")</f>
        <v>1.343</v>
      </c>
      <c r="I238" s="48">
        <f>[1]!Tabla3[[#This Row],[Valor Tran]]/([1]!Tabla3[[#This Row],[DISTANCIA (km)]]*2)</f>
        <v>14892.032762472078</v>
      </c>
      <c r="J238" s="12"/>
      <c r="K238" s="8">
        <v>1</v>
      </c>
      <c r="L238" s="13">
        <v>40000</v>
      </c>
      <c r="M238" s="50">
        <f>[1]!Tabla3[[#This Row],[VLR. TRANSPORTE]]/[1]!Tabla3[[#This Row],[Numero de Transportes]]</f>
        <v>40000</v>
      </c>
      <c r="N238" s="13">
        <v>1459500</v>
      </c>
      <c r="O238" s="13">
        <f>[1]!Tabla3[[#This Row],[VLR. TOTAL FACT.]]-[1]!Tabla3[[#This Row],[VLR. TRANSPORTE]]</f>
        <v>1419500</v>
      </c>
      <c r="P238" s="8">
        <v>0</v>
      </c>
      <c r="Q238" s="8" t="s">
        <v>34</v>
      </c>
    </row>
    <row r="239" spans="1:17" ht="27.6" thickBot="1" x14ac:dyDescent="0.35">
      <c r="A239" s="14">
        <v>58663</v>
      </c>
      <c r="B239" s="15">
        <v>45986</v>
      </c>
      <c r="C239" s="14" t="s">
        <v>17</v>
      </c>
      <c r="D239" s="14" t="s">
        <v>143</v>
      </c>
      <c r="E239" s="14" t="s">
        <v>241</v>
      </c>
      <c r="F239" s="14">
        <v>2</v>
      </c>
      <c r="G239" s="76" t="str">
        <f>_xlfn.XLOOKUP([1]!Tabla3[[#This Row],[ID]],[1]!Tabla2[ID],[1]!Tabla2[Corregimiento],"NA")</f>
        <v>Borrero Ayerbe</v>
      </c>
      <c r="H239" s="16">
        <f>_xlfn.XLOOKUP([1]!Tabla3[[#This Row],[LUGAR ENVÍO]],[1]!Tabla9[[Nombre ]],[1]!Tabla9[Distancia],"NA")</f>
        <v>1.343</v>
      </c>
      <c r="I239" s="77">
        <f>[1]!Tabla3[[#This Row],[Valor Tran]]/([1]!Tabla3[[#This Row],[DISTANCIA (km)]]*2)</f>
        <v>11169.024571854059</v>
      </c>
      <c r="J239" s="18"/>
      <c r="K239" s="14">
        <v>2</v>
      </c>
      <c r="L239" s="19">
        <v>60000</v>
      </c>
      <c r="M239" s="73">
        <f>[1]!Tabla3[[#This Row],[VLR. TRANSPORTE]]/[1]!Tabla3[[#This Row],[Numero de Transportes]]</f>
        <v>30000</v>
      </c>
      <c r="N239" s="19">
        <v>2526000</v>
      </c>
      <c r="O239" s="19">
        <f>[1]!Tabla3[[#This Row],[VLR. TOTAL FACT.]]-[1]!Tabla3[[#This Row],[VLR. TRANSPORTE]]</f>
        <v>2466000</v>
      </c>
      <c r="P239" s="14">
        <v>1</v>
      </c>
      <c r="Q239" s="14" t="s">
        <v>22</v>
      </c>
    </row>
    <row r="240" spans="1:17" ht="27.6" thickBot="1" x14ac:dyDescent="0.35">
      <c r="A240" s="8">
        <v>58602</v>
      </c>
      <c r="B240" s="26">
        <v>45996</v>
      </c>
      <c r="C240" s="8" t="s">
        <v>17</v>
      </c>
      <c r="D240" s="8" t="s">
        <v>154</v>
      </c>
      <c r="E240" s="8" t="s">
        <v>241</v>
      </c>
      <c r="F240" s="8">
        <v>2</v>
      </c>
      <c r="G240" s="46" t="str">
        <f>_xlfn.XLOOKUP([1]!Tabla3[[#This Row],[ID]],[1]!Tabla2[ID],[1]!Tabla2[Corregimiento],"NA")</f>
        <v>Borrero Ayerbe</v>
      </c>
      <c r="H240" s="10">
        <f>_xlfn.XLOOKUP([1]!Tabla3[[#This Row],[LUGAR ENVÍO]],[1]!Tabla9[[Nombre ]],[1]!Tabla9[Distancia],"NA")</f>
        <v>1.343</v>
      </c>
      <c r="I240" s="48">
        <f>[1]!Tabla3[[#This Row],[Valor Tran]]/([1]!Tabla3[[#This Row],[DISTANCIA (km)]]*2)</f>
        <v>9307.520476545049</v>
      </c>
      <c r="J240" s="12"/>
      <c r="K240" s="8">
        <v>1</v>
      </c>
      <c r="L240" s="13">
        <v>25000</v>
      </c>
      <c r="M240" s="50">
        <f>[1]!Tabla3[[#This Row],[VLR. TRANSPORTE]]/[1]!Tabla3[[#This Row],[Numero de Transportes]]</f>
        <v>25000</v>
      </c>
      <c r="N240" s="13">
        <v>2687000</v>
      </c>
      <c r="O240" s="13">
        <f>[1]!Tabla3[[#This Row],[VLR. TOTAL FACT.]]-[1]!Tabla3[[#This Row],[VLR. TRANSPORTE]]</f>
        <v>2662000</v>
      </c>
      <c r="P240" s="8">
        <v>1</v>
      </c>
      <c r="Q240" s="8" t="s">
        <v>22</v>
      </c>
    </row>
    <row r="241" spans="1:17" ht="27.6" thickBot="1" x14ac:dyDescent="0.35">
      <c r="A241" s="76">
        <v>52000</v>
      </c>
      <c r="B241" s="80">
        <v>45962</v>
      </c>
      <c r="C241" s="76" t="s">
        <v>17</v>
      </c>
      <c r="D241" s="76" t="s">
        <v>188</v>
      </c>
      <c r="E241" s="54" t="s">
        <v>241</v>
      </c>
      <c r="F241" s="76">
        <v>2</v>
      </c>
      <c r="G241" s="76" t="str">
        <f>_xlfn.XLOOKUP([1]!Tabla3[[#This Row],[ID]],[1]!Tabla2[ID],[1]!Tabla2[Corregimiento],"NA")</f>
        <v>Borrero Ayerbe</v>
      </c>
      <c r="H241" s="16">
        <f>_xlfn.XLOOKUP([1]!Tabla3[[#This Row],[LUGAR ENVÍO]],[1]!Tabla9[[Nombre ]],[1]!Tabla9[Distancia],"NA")</f>
        <v>1.343</v>
      </c>
      <c r="I241" s="77">
        <f>[1]!Tabla3[[#This Row],[Valor Tran]]/([1]!Tabla3[[#This Row],[DISTANCIA (km)]]*2)</f>
        <v>14892.032762472078</v>
      </c>
      <c r="J241" s="81"/>
      <c r="K241" s="76">
        <v>3</v>
      </c>
      <c r="L241" s="73">
        <v>120000</v>
      </c>
      <c r="M241" s="73">
        <f>[1]!Tabla3[[#This Row],[VLR. TRANSPORTE]]/[1]!Tabla3[[#This Row],[Numero de Transportes]]</f>
        <v>40000</v>
      </c>
      <c r="N241" s="73">
        <v>4564800</v>
      </c>
      <c r="O241" s="19">
        <f>[1]!Tabla3[[#This Row],[VLR. TOTAL FACT.]]-[1]!Tabla3[[#This Row],[VLR. TRANSPORTE]]</f>
        <v>4444800</v>
      </c>
      <c r="P241" s="76">
        <v>1</v>
      </c>
      <c r="Q241" s="76" t="s">
        <v>25</v>
      </c>
    </row>
  </sheetData>
  <dataValidations count="1">
    <dataValidation type="whole" allowBlank="1" showInputMessage="1" showErrorMessage="1" sqref="F2 F46:F134" xr:uid="{D9FF5A1E-6491-451D-861B-BC73A3AB655A}">
      <formula1>1</formula1>
      <formula2>27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A1EC1F8A0B144191380E3585AAE28D" ma:contentTypeVersion="6" ma:contentTypeDescription="Crear nuevo documento." ma:contentTypeScope="" ma:versionID="e89793b7ed2116041eb7a9d2f54b90c3">
  <xsd:schema xmlns:xsd="http://www.w3.org/2001/XMLSchema" xmlns:xs="http://www.w3.org/2001/XMLSchema" xmlns:p="http://schemas.microsoft.com/office/2006/metadata/properties" xmlns:ns3="a0f30b47-1d41-46f4-9670-949f401cbfac" targetNamespace="http://schemas.microsoft.com/office/2006/metadata/properties" ma:root="true" ma:fieldsID="6a4f36d59c5f7ad61e5b685cb63ce226" ns3:_="">
    <xsd:import namespace="a0f30b47-1d41-46f4-9670-949f401cbfa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30b47-1d41-46f4-9670-949f401cbfa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f30b47-1d41-46f4-9670-949f401cbfac" xsi:nil="true"/>
  </documentManagement>
</p:properties>
</file>

<file path=customXml/itemProps1.xml><?xml version="1.0" encoding="utf-8"?>
<ds:datastoreItem xmlns:ds="http://schemas.openxmlformats.org/officeDocument/2006/customXml" ds:itemID="{FD3D8DAA-14FA-4C8C-B94A-FEB7FCA82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f30b47-1d41-46f4-9670-949f401cbf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19B42E-ED55-4ECB-B767-7E97606822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D648F5-1E7E-46D5-BA38-B8F38BA973AD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a0f30b47-1d41-46f4-9670-949f401cbfac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CAMILO PORTILLA AGUIRRE</dc:creator>
  <cp:lastModifiedBy>JOHAN CAMILO PORTILLA AGUIRRE</cp:lastModifiedBy>
  <dcterms:created xsi:type="dcterms:W3CDTF">2026-03-16T04:46:23Z</dcterms:created>
  <dcterms:modified xsi:type="dcterms:W3CDTF">2026-03-16T05:52:16Z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0x01010099A1EC1F8A0B144191380E3585AAE28D</vt:lpwstr>
  </property>
</Properties>
</file>