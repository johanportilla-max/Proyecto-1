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 Aguirre\Desktop\Ingenieria industrial\5 semestre\Proyecto I\Proyecto-1\"/>
    </mc:Choice>
  </mc:AlternateContent>
  <xr:revisionPtr revIDLastSave="0" documentId="13_ncr:1_{1B7407BD-04EA-4B02-8547-FEC3F5FBCA9A}" xr6:coauthVersionLast="47" xr6:coauthVersionMax="47" xr10:uidLastSave="{00000000-0000-0000-0000-000000000000}"/>
  <bookViews>
    <workbookView xWindow="-108" yWindow="-108" windowWidth="23256" windowHeight="12456" xr2:uid="{519020A2-F1BC-42D4-B86B-63A7C4BE4C05}"/>
  </bookViews>
  <sheets>
    <sheet name="Base de datos" sheetId="1" r:id="rId1"/>
    <sheet name="Hoja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1" i="1" l="1"/>
  <c r="E14" i="2"/>
  <c r="D14" i="2"/>
  <c r="C14" i="2"/>
  <c r="E12" i="2"/>
  <c r="F12" i="2" s="1"/>
  <c r="C2" i="2"/>
  <c r="C3" i="2"/>
  <c r="C4" i="2"/>
  <c r="C5" i="2"/>
  <c r="C6" i="2"/>
  <c r="C7" i="2"/>
  <c r="C8" i="2"/>
  <c r="C9" i="2"/>
  <c r="C10" i="2"/>
  <c r="C11" i="2"/>
  <c r="C12" i="2"/>
  <c r="C13" i="2"/>
  <c r="T2" i="1"/>
  <c r="S2" i="1"/>
  <c r="B2" i="2"/>
  <c r="B14" i="2" s="1"/>
  <c r="C2" i="1"/>
  <c r="B3" i="2"/>
  <c r="D3" i="2" s="1"/>
  <c r="E3" i="2" s="1"/>
  <c r="B4" i="2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E11" i="2" s="1"/>
  <c r="B12" i="2"/>
  <c r="D12" i="2" s="1"/>
  <c r="B1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M366" i="1"/>
  <c r="K366" i="1"/>
  <c r="I366" i="1"/>
  <c r="G366" i="1"/>
  <c r="E366" i="1"/>
  <c r="B366" i="1"/>
  <c r="P365" i="1"/>
  <c r="S365" i="1" s="1"/>
  <c r="O365" i="1"/>
  <c r="Q365" i="1" s="1"/>
  <c r="T365" i="1" s="1"/>
  <c r="P364" i="1"/>
  <c r="O364" i="1"/>
  <c r="Q364" i="1" s="1"/>
  <c r="T364" i="1" s="1"/>
  <c r="Q363" i="1"/>
  <c r="T363" i="1" s="1"/>
  <c r="P363" i="1"/>
  <c r="S363" i="1" s="1"/>
  <c r="O363" i="1"/>
  <c r="P362" i="1"/>
  <c r="S362" i="1" s="1"/>
  <c r="O362" i="1"/>
  <c r="Q362" i="1" s="1"/>
  <c r="T362" i="1" s="1"/>
  <c r="P361" i="1"/>
  <c r="O361" i="1"/>
  <c r="Q361" i="1" s="1"/>
  <c r="T361" i="1" s="1"/>
  <c r="P360" i="1"/>
  <c r="O360" i="1"/>
  <c r="Q360" i="1" s="1"/>
  <c r="T360" i="1" s="1"/>
  <c r="P359" i="1"/>
  <c r="R359" i="1" s="1"/>
  <c r="O359" i="1"/>
  <c r="Q359" i="1" s="1"/>
  <c r="T359" i="1" s="1"/>
  <c r="P358" i="1"/>
  <c r="S358" i="1" s="1"/>
  <c r="O358" i="1"/>
  <c r="Q358" i="1" s="1"/>
  <c r="T358" i="1" s="1"/>
  <c r="Q357" i="1"/>
  <c r="T357" i="1" s="1"/>
  <c r="P357" i="1"/>
  <c r="O357" i="1"/>
  <c r="Q356" i="1"/>
  <c r="T356" i="1" s="1"/>
  <c r="P356" i="1"/>
  <c r="S356" i="1" s="1"/>
  <c r="O356" i="1"/>
  <c r="P355" i="1"/>
  <c r="O355" i="1"/>
  <c r="Q355" i="1" s="1"/>
  <c r="T355" i="1" s="1"/>
  <c r="S354" i="1"/>
  <c r="R354" i="1"/>
  <c r="P354" i="1"/>
  <c r="O354" i="1"/>
  <c r="Q354" i="1" s="1"/>
  <c r="T354" i="1" s="1"/>
  <c r="P353" i="1"/>
  <c r="O353" i="1"/>
  <c r="Q353" i="1" s="1"/>
  <c r="T353" i="1" s="1"/>
  <c r="P352" i="1"/>
  <c r="S352" i="1" s="1"/>
  <c r="O352" i="1"/>
  <c r="Q352" i="1" s="1"/>
  <c r="T352" i="1" s="1"/>
  <c r="R351" i="1"/>
  <c r="P351" i="1"/>
  <c r="S350" i="1"/>
  <c r="P350" i="1"/>
  <c r="R350" i="1" s="1"/>
  <c r="O350" i="1"/>
  <c r="Q350" i="1" s="1"/>
  <c r="T350" i="1" s="1"/>
  <c r="P349" i="1"/>
  <c r="S349" i="1" s="1"/>
  <c r="O349" i="1"/>
  <c r="Q349" i="1" s="1"/>
  <c r="T349" i="1" s="1"/>
  <c r="S348" i="1"/>
  <c r="P348" i="1"/>
  <c r="R348" i="1" s="1"/>
  <c r="O348" i="1"/>
  <c r="Q348" i="1" s="1"/>
  <c r="T348" i="1" s="1"/>
  <c r="Q347" i="1"/>
  <c r="T347" i="1" s="1"/>
  <c r="P347" i="1"/>
  <c r="O347" i="1"/>
  <c r="P346" i="1"/>
  <c r="S346" i="1" s="1"/>
  <c r="O346" i="1"/>
  <c r="Q346" i="1" s="1"/>
  <c r="T346" i="1" s="1"/>
  <c r="P345" i="1"/>
  <c r="S345" i="1" s="1"/>
  <c r="O345" i="1"/>
  <c r="Q345" i="1" s="1"/>
  <c r="T345" i="1" s="1"/>
  <c r="P344" i="1"/>
  <c r="R344" i="1" s="1"/>
  <c r="O344" i="1"/>
  <c r="Q344" i="1" s="1"/>
  <c r="T344" i="1" s="1"/>
  <c r="P343" i="1"/>
  <c r="S343" i="1" s="1"/>
  <c r="O343" i="1"/>
  <c r="Q343" i="1" s="1"/>
  <c r="T343" i="1" s="1"/>
  <c r="P342" i="1"/>
  <c r="O342" i="1"/>
  <c r="Q342" i="1" s="1"/>
  <c r="T342" i="1" s="1"/>
  <c r="Q341" i="1"/>
  <c r="T341" i="1" s="1"/>
  <c r="P341" i="1"/>
  <c r="O341" i="1"/>
  <c r="P340" i="1"/>
  <c r="R340" i="1" s="1"/>
  <c r="O340" i="1"/>
  <c r="Q340" i="1" s="1"/>
  <c r="T340" i="1" s="1"/>
  <c r="Q339" i="1"/>
  <c r="T339" i="1" s="1"/>
  <c r="P339" i="1"/>
  <c r="O339" i="1"/>
  <c r="Q338" i="1"/>
  <c r="T338" i="1" s="1"/>
  <c r="P338" i="1"/>
  <c r="S338" i="1" s="1"/>
  <c r="O338" i="1"/>
  <c r="P337" i="1"/>
  <c r="R337" i="1" s="1"/>
  <c r="O337" i="1"/>
  <c r="Q337" i="1" s="1"/>
  <c r="T337" i="1" s="1"/>
  <c r="P336" i="1"/>
  <c r="S336" i="1" s="1"/>
  <c r="O336" i="1"/>
  <c r="Q336" i="1" s="1"/>
  <c r="T336" i="1" s="1"/>
  <c r="S335" i="1"/>
  <c r="R335" i="1"/>
  <c r="Q335" i="1"/>
  <c r="T335" i="1" s="1"/>
  <c r="P335" i="1"/>
  <c r="O335" i="1"/>
  <c r="P334" i="1"/>
  <c r="S334" i="1" s="1"/>
  <c r="O334" i="1"/>
  <c r="Q334" i="1" s="1"/>
  <c r="T334" i="1" s="1"/>
  <c r="Q333" i="1"/>
  <c r="T333" i="1" s="1"/>
  <c r="P333" i="1"/>
  <c r="S333" i="1" s="1"/>
  <c r="O333" i="1"/>
  <c r="P332" i="1"/>
  <c r="O332" i="1"/>
  <c r="Q332" i="1" s="1"/>
  <c r="T332" i="1" s="1"/>
  <c r="R331" i="1"/>
  <c r="P331" i="1"/>
  <c r="S331" i="1" s="1"/>
  <c r="O331" i="1"/>
  <c r="Q331" i="1" s="1"/>
  <c r="T331" i="1" s="1"/>
  <c r="P330" i="1"/>
  <c r="O330" i="1"/>
  <c r="Q330" i="1" s="1"/>
  <c r="T330" i="1" s="1"/>
  <c r="P329" i="1"/>
  <c r="S329" i="1" s="1"/>
  <c r="O329" i="1"/>
  <c r="Q329" i="1" s="1"/>
  <c r="T329" i="1" s="1"/>
  <c r="P328" i="1"/>
  <c r="O328" i="1"/>
  <c r="Q328" i="1" s="1"/>
  <c r="T328" i="1" s="1"/>
  <c r="P327" i="1"/>
  <c r="O327" i="1"/>
  <c r="Q327" i="1" s="1"/>
  <c r="T327" i="1" s="1"/>
  <c r="P326" i="1"/>
  <c r="R326" i="1" s="1"/>
  <c r="O326" i="1"/>
  <c r="Q326" i="1" s="1"/>
  <c r="T326" i="1" s="1"/>
  <c r="P325" i="1"/>
  <c r="R325" i="1" s="1"/>
  <c r="O325" i="1"/>
  <c r="Q325" i="1" s="1"/>
  <c r="T325" i="1" s="1"/>
  <c r="P324" i="1"/>
  <c r="S324" i="1" s="1"/>
  <c r="O324" i="1"/>
  <c r="Q324" i="1" s="1"/>
  <c r="T324" i="1" s="1"/>
  <c r="P323" i="1"/>
  <c r="S323" i="1" s="1"/>
  <c r="O323" i="1"/>
  <c r="Q323" i="1" s="1"/>
  <c r="T323" i="1" s="1"/>
  <c r="S322" i="1"/>
  <c r="R322" i="1"/>
  <c r="Q322" i="1"/>
  <c r="T322" i="1" s="1"/>
  <c r="P322" i="1"/>
  <c r="O322" i="1"/>
  <c r="P321" i="1"/>
  <c r="S321" i="1" s="1"/>
  <c r="O321" i="1"/>
  <c r="Q321" i="1" s="1"/>
  <c r="T321" i="1" s="1"/>
  <c r="P320" i="1"/>
  <c r="S320" i="1" s="1"/>
  <c r="O320" i="1"/>
  <c r="Q320" i="1" s="1"/>
  <c r="T320" i="1" s="1"/>
  <c r="P319" i="1"/>
  <c r="O319" i="1"/>
  <c r="Q319" i="1" s="1"/>
  <c r="T319" i="1" s="1"/>
  <c r="P318" i="1"/>
  <c r="R318" i="1" s="1"/>
  <c r="O318" i="1"/>
  <c r="Q318" i="1" s="1"/>
  <c r="T318" i="1" s="1"/>
  <c r="P317" i="1"/>
  <c r="O317" i="1"/>
  <c r="Q317" i="1" s="1"/>
  <c r="T317" i="1" s="1"/>
  <c r="P316" i="1"/>
  <c r="S316" i="1" s="1"/>
  <c r="O316" i="1"/>
  <c r="Q316" i="1" s="1"/>
  <c r="T316" i="1" s="1"/>
  <c r="P315" i="1"/>
  <c r="O315" i="1"/>
  <c r="Q315" i="1" s="1"/>
  <c r="T315" i="1" s="1"/>
  <c r="P314" i="1"/>
  <c r="O314" i="1"/>
  <c r="Q314" i="1" s="1"/>
  <c r="T314" i="1" s="1"/>
  <c r="P313" i="1"/>
  <c r="O313" i="1"/>
  <c r="Q313" i="1" s="1"/>
  <c r="T313" i="1" s="1"/>
  <c r="P312" i="1"/>
  <c r="S312" i="1" s="1"/>
  <c r="O312" i="1"/>
  <c r="Q312" i="1" s="1"/>
  <c r="T312" i="1" s="1"/>
  <c r="P311" i="1"/>
  <c r="O311" i="1"/>
  <c r="Q311" i="1" s="1"/>
  <c r="T311" i="1" s="1"/>
  <c r="P310" i="1"/>
  <c r="R310" i="1" s="1"/>
  <c r="O310" i="1"/>
  <c r="Q310" i="1" s="1"/>
  <c r="T310" i="1" s="1"/>
  <c r="Q309" i="1"/>
  <c r="T309" i="1" s="1"/>
  <c r="P309" i="1"/>
  <c r="O309" i="1"/>
  <c r="P308" i="1"/>
  <c r="S308" i="1" s="1"/>
  <c r="O308" i="1"/>
  <c r="Q308" i="1" s="1"/>
  <c r="T308" i="1" s="1"/>
  <c r="P307" i="1"/>
  <c r="O307" i="1"/>
  <c r="Q307" i="1" s="1"/>
  <c r="T307" i="1" s="1"/>
  <c r="P306" i="1"/>
  <c r="S306" i="1" s="1"/>
  <c r="O306" i="1"/>
  <c r="Q306" i="1" s="1"/>
  <c r="T306" i="1" s="1"/>
  <c r="P305" i="1"/>
  <c r="O305" i="1"/>
  <c r="Q305" i="1" s="1"/>
  <c r="T305" i="1" s="1"/>
  <c r="N305" i="1"/>
  <c r="P304" i="1"/>
  <c r="S304" i="1" s="1"/>
  <c r="O304" i="1"/>
  <c r="Q304" i="1" s="1"/>
  <c r="T304" i="1" s="1"/>
  <c r="S303" i="1"/>
  <c r="R303" i="1"/>
  <c r="P303" i="1"/>
  <c r="O303" i="1"/>
  <c r="Q303" i="1" s="1"/>
  <c r="T303" i="1" s="1"/>
  <c r="P302" i="1"/>
  <c r="S302" i="1" s="1"/>
  <c r="O302" i="1"/>
  <c r="Q302" i="1" s="1"/>
  <c r="T302" i="1" s="1"/>
  <c r="P301" i="1"/>
  <c r="R301" i="1" s="1"/>
  <c r="O301" i="1"/>
  <c r="Q301" i="1" s="1"/>
  <c r="T301" i="1" s="1"/>
  <c r="P300" i="1"/>
  <c r="O300" i="1"/>
  <c r="Q300" i="1" s="1"/>
  <c r="T300" i="1" s="1"/>
  <c r="P299" i="1"/>
  <c r="S299" i="1" s="1"/>
  <c r="O299" i="1"/>
  <c r="Q299" i="1" s="1"/>
  <c r="T299" i="1" s="1"/>
  <c r="P298" i="1"/>
  <c r="O298" i="1"/>
  <c r="Q298" i="1" s="1"/>
  <c r="T298" i="1" s="1"/>
  <c r="Q297" i="1"/>
  <c r="T297" i="1" s="1"/>
  <c r="P297" i="1"/>
  <c r="S297" i="1" s="1"/>
  <c r="O297" i="1"/>
  <c r="P296" i="1"/>
  <c r="S296" i="1" s="1"/>
  <c r="O296" i="1"/>
  <c r="Q296" i="1" s="1"/>
  <c r="T296" i="1" s="1"/>
  <c r="P295" i="1"/>
  <c r="S295" i="1" s="1"/>
  <c r="O295" i="1"/>
  <c r="Q295" i="1" s="1"/>
  <c r="T295" i="1" s="1"/>
  <c r="P294" i="1"/>
  <c r="S294" i="1" s="1"/>
  <c r="O294" i="1"/>
  <c r="Q294" i="1" s="1"/>
  <c r="T294" i="1" s="1"/>
  <c r="P293" i="1"/>
  <c r="S293" i="1" s="1"/>
  <c r="O293" i="1"/>
  <c r="Q293" i="1" s="1"/>
  <c r="T293" i="1" s="1"/>
  <c r="P292" i="1"/>
  <c r="S292" i="1" s="1"/>
  <c r="O292" i="1"/>
  <c r="Q292" i="1" s="1"/>
  <c r="T292" i="1" s="1"/>
  <c r="R291" i="1"/>
  <c r="P291" i="1"/>
  <c r="S291" i="1" s="1"/>
  <c r="O291" i="1"/>
  <c r="Q291" i="1" s="1"/>
  <c r="T291" i="1" s="1"/>
  <c r="S290" i="1"/>
  <c r="P290" i="1"/>
  <c r="R290" i="1" s="1"/>
  <c r="O290" i="1"/>
  <c r="Q290" i="1" s="1"/>
  <c r="T290" i="1" s="1"/>
  <c r="P289" i="1"/>
  <c r="S289" i="1" s="1"/>
  <c r="O289" i="1"/>
  <c r="Q289" i="1" s="1"/>
  <c r="T289" i="1" s="1"/>
  <c r="P288" i="1"/>
  <c r="S288" i="1" s="1"/>
  <c r="O288" i="1"/>
  <c r="Q288" i="1" s="1"/>
  <c r="T288" i="1" s="1"/>
  <c r="R287" i="1"/>
  <c r="P287" i="1"/>
  <c r="S287" i="1" s="1"/>
  <c r="O287" i="1"/>
  <c r="Q287" i="1" s="1"/>
  <c r="T287" i="1" s="1"/>
  <c r="S286" i="1"/>
  <c r="R286" i="1"/>
  <c r="Q286" i="1"/>
  <c r="T286" i="1" s="1"/>
  <c r="P286" i="1"/>
  <c r="O286" i="1"/>
  <c r="R285" i="1"/>
  <c r="P285" i="1"/>
  <c r="S285" i="1" s="1"/>
  <c r="O285" i="1"/>
  <c r="Q285" i="1" s="1"/>
  <c r="T285" i="1" s="1"/>
  <c r="P284" i="1"/>
  <c r="S284" i="1" s="1"/>
  <c r="O284" i="1"/>
  <c r="Q284" i="1" s="1"/>
  <c r="T284" i="1" s="1"/>
  <c r="P283" i="1"/>
  <c r="S283" i="1" s="1"/>
  <c r="O283" i="1"/>
  <c r="Q283" i="1" s="1"/>
  <c r="T283" i="1" s="1"/>
  <c r="P282" i="1"/>
  <c r="S282" i="1" s="1"/>
  <c r="O282" i="1"/>
  <c r="Q282" i="1" s="1"/>
  <c r="T282" i="1" s="1"/>
  <c r="P281" i="1"/>
  <c r="R281" i="1" s="1"/>
  <c r="O281" i="1"/>
  <c r="Q281" i="1" s="1"/>
  <c r="T281" i="1" s="1"/>
  <c r="P280" i="1"/>
  <c r="R280" i="1" s="1"/>
  <c r="O280" i="1"/>
  <c r="Q280" i="1" s="1"/>
  <c r="T280" i="1" s="1"/>
  <c r="P279" i="1"/>
  <c r="R279" i="1" s="1"/>
  <c r="O279" i="1"/>
  <c r="Q279" i="1" s="1"/>
  <c r="T279" i="1" s="1"/>
  <c r="P278" i="1"/>
  <c r="S278" i="1" s="1"/>
  <c r="O278" i="1"/>
  <c r="Q278" i="1" s="1"/>
  <c r="T278" i="1" s="1"/>
  <c r="P277" i="1"/>
  <c r="S277" i="1" s="1"/>
  <c r="O277" i="1"/>
  <c r="Q277" i="1" s="1"/>
  <c r="T277" i="1" s="1"/>
  <c r="P276" i="1"/>
  <c r="O276" i="1"/>
  <c r="Q276" i="1" s="1"/>
  <c r="T276" i="1" s="1"/>
  <c r="P275" i="1"/>
  <c r="S275" i="1" s="1"/>
  <c r="O275" i="1"/>
  <c r="Q275" i="1" s="1"/>
  <c r="T275" i="1" s="1"/>
  <c r="P274" i="1"/>
  <c r="O274" i="1"/>
  <c r="Q274" i="1" s="1"/>
  <c r="T274" i="1" s="1"/>
  <c r="P273" i="1"/>
  <c r="S273" i="1" s="1"/>
  <c r="O273" i="1"/>
  <c r="Q273" i="1" s="1"/>
  <c r="T273" i="1" s="1"/>
  <c r="P272" i="1"/>
  <c r="S272" i="1" s="1"/>
  <c r="O272" i="1"/>
  <c r="Q272" i="1" s="1"/>
  <c r="T272" i="1" s="1"/>
  <c r="R271" i="1"/>
  <c r="P271" i="1"/>
  <c r="S271" i="1" s="1"/>
  <c r="O271" i="1"/>
  <c r="Q271" i="1" s="1"/>
  <c r="T271" i="1" s="1"/>
  <c r="P270" i="1"/>
  <c r="S270" i="1" s="1"/>
  <c r="O270" i="1"/>
  <c r="Q270" i="1" s="1"/>
  <c r="T270" i="1" s="1"/>
  <c r="P269" i="1"/>
  <c r="S269" i="1" s="1"/>
  <c r="O269" i="1"/>
  <c r="Q269" i="1" s="1"/>
  <c r="T269" i="1" s="1"/>
  <c r="P268" i="1"/>
  <c r="S268" i="1" s="1"/>
  <c r="O268" i="1"/>
  <c r="Q268" i="1" s="1"/>
  <c r="T268" i="1" s="1"/>
  <c r="P267" i="1"/>
  <c r="S267" i="1" s="1"/>
  <c r="O267" i="1"/>
  <c r="Q267" i="1" s="1"/>
  <c r="T267" i="1" s="1"/>
  <c r="S266" i="1"/>
  <c r="P266" i="1"/>
  <c r="R266" i="1" s="1"/>
  <c r="O266" i="1"/>
  <c r="Q266" i="1" s="1"/>
  <c r="T266" i="1" s="1"/>
  <c r="P265" i="1"/>
  <c r="S265" i="1" s="1"/>
  <c r="O265" i="1"/>
  <c r="Q265" i="1" s="1"/>
  <c r="T265" i="1" s="1"/>
  <c r="S264" i="1"/>
  <c r="P264" i="1"/>
  <c r="R264" i="1" s="1"/>
  <c r="O264" i="1"/>
  <c r="Q264" i="1" s="1"/>
  <c r="T264" i="1" s="1"/>
  <c r="S263" i="1"/>
  <c r="R263" i="1"/>
  <c r="P263" i="1"/>
  <c r="O263" i="1"/>
  <c r="Q263" i="1" s="1"/>
  <c r="T263" i="1" s="1"/>
  <c r="R262" i="1"/>
  <c r="P262" i="1"/>
  <c r="S262" i="1" s="1"/>
  <c r="O262" i="1"/>
  <c r="Q262" i="1" s="1"/>
  <c r="T262" i="1" s="1"/>
  <c r="P261" i="1"/>
  <c r="S261" i="1" s="1"/>
  <c r="O261" i="1"/>
  <c r="Q261" i="1" s="1"/>
  <c r="T261" i="1" s="1"/>
  <c r="P260" i="1"/>
  <c r="S260" i="1" s="1"/>
  <c r="O260" i="1"/>
  <c r="Q260" i="1" s="1"/>
  <c r="T260" i="1" s="1"/>
  <c r="R259" i="1"/>
  <c r="P259" i="1"/>
  <c r="S259" i="1" s="1"/>
  <c r="O259" i="1"/>
  <c r="Q259" i="1" s="1"/>
  <c r="T259" i="1" s="1"/>
  <c r="P258" i="1"/>
  <c r="S258" i="1" s="1"/>
  <c r="O258" i="1"/>
  <c r="Q258" i="1" s="1"/>
  <c r="T258" i="1" s="1"/>
  <c r="P257" i="1"/>
  <c r="S257" i="1" s="1"/>
  <c r="O257" i="1"/>
  <c r="Q257" i="1" s="1"/>
  <c r="T257" i="1" s="1"/>
  <c r="P256" i="1"/>
  <c r="R256" i="1" s="1"/>
  <c r="O256" i="1"/>
  <c r="Q256" i="1" s="1"/>
  <c r="T256" i="1" s="1"/>
  <c r="P255" i="1"/>
  <c r="S255" i="1" s="1"/>
  <c r="O255" i="1"/>
  <c r="Q255" i="1" s="1"/>
  <c r="T255" i="1" s="1"/>
  <c r="P254" i="1"/>
  <c r="S254" i="1" s="1"/>
  <c r="O254" i="1"/>
  <c r="Q254" i="1" s="1"/>
  <c r="T254" i="1" s="1"/>
  <c r="P253" i="1"/>
  <c r="S253" i="1" s="1"/>
  <c r="O253" i="1"/>
  <c r="Q253" i="1" s="1"/>
  <c r="T253" i="1" s="1"/>
  <c r="P252" i="1"/>
  <c r="O252" i="1"/>
  <c r="Q252" i="1" s="1"/>
  <c r="T252" i="1" s="1"/>
  <c r="R251" i="1"/>
  <c r="P251" i="1"/>
  <c r="S251" i="1" s="1"/>
  <c r="O251" i="1"/>
  <c r="Q251" i="1" s="1"/>
  <c r="T251" i="1" s="1"/>
  <c r="P250" i="1"/>
  <c r="O250" i="1"/>
  <c r="Q250" i="1" s="1"/>
  <c r="T250" i="1" s="1"/>
  <c r="S249" i="1"/>
  <c r="P249" i="1"/>
  <c r="R249" i="1" s="1"/>
  <c r="O249" i="1"/>
  <c r="Q249" i="1" s="1"/>
  <c r="T249" i="1" s="1"/>
  <c r="P248" i="1"/>
  <c r="S248" i="1" s="1"/>
  <c r="O248" i="1"/>
  <c r="Q248" i="1" s="1"/>
  <c r="T248" i="1" s="1"/>
  <c r="P247" i="1"/>
  <c r="S247" i="1" s="1"/>
  <c r="O247" i="1"/>
  <c r="Q247" i="1" s="1"/>
  <c r="T247" i="1" s="1"/>
  <c r="P246" i="1"/>
  <c r="S246" i="1" s="1"/>
  <c r="O246" i="1"/>
  <c r="Q246" i="1" s="1"/>
  <c r="T246" i="1" s="1"/>
  <c r="S245" i="1"/>
  <c r="P245" i="1"/>
  <c r="R245" i="1" s="1"/>
  <c r="O245" i="1"/>
  <c r="Q245" i="1" s="1"/>
  <c r="T245" i="1" s="1"/>
  <c r="P244" i="1"/>
  <c r="S244" i="1" s="1"/>
  <c r="O244" i="1"/>
  <c r="Q244" i="1" s="1"/>
  <c r="T244" i="1" s="1"/>
  <c r="R243" i="1"/>
  <c r="P243" i="1"/>
  <c r="S243" i="1" s="1"/>
  <c r="O243" i="1"/>
  <c r="Q243" i="1" s="1"/>
  <c r="T243" i="1" s="1"/>
  <c r="P242" i="1"/>
  <c r="R242" i="1" s="1"/>
  <c r="O242" i="1"/>
  <c r="Q242" i="1" s="1"/>
  <c r="T242" i="1" s="1"/>
  <c r="S241" i="1"/>
  <c r="P241" i="1"/>
  <c r="R241" i="1" s="1"/>
  <c r="O241" i="1"/>
  <c r="Q241" i="1" s="1"/>
  <c r="T241" i="1" s="1"/>
  <c r="S240" i="1"/>
  <c r="R240" i="1"/>
  <c r="P240" i="1"/>
  <c r="O240" i="1"/>
  <c r="Q240" i="1" s="1"/>
  <c r="T240" i="1" s="1"/>
  <c r="P239" i="1"/>
  <c r="S239" i="1" s="1"/>
  <c r="O239" i="1"/>
  <c r="Q239" i="1" s="1"/>
  <c r="T239" i="1" s="1"/>
  <c r="Q238" i="1"/>
  <c r="T238" i="1" s="1"/>
  <c r="P238" i="1"/>
  <c r="S238" i="1" s="1"/>
  <c r="O238" i="1"/>
  <c r="P237" i="1"/>
  <c r="S237" i="1" s="1"/>
  <c r="O237" i="1"/>
  <c r="Q237" i="1" s="1"/>
  <c r="T237" i="1" s="1"/>
  <c r="P236" i="1"/>
  <c r="R236" i="1" s="1"/>
  <c r="O236" i="1"/>
  <c r="Q236" i="1" s="1"/>
  <c r="T236" i="1" s="1"/>
  <c r="P235" i="1"/>
  <c r="S235" i="1" s="1"/>
  <c r="O235" i="1"/>
  <c r="Q235" i="1" s="1"/>
  <c r="T235" i="1" s="1"/>
  <c r="P234" i="1"/>
  <c r="S234" i="1" s="1"/>
  <c r="O234" i="1"/>
  <c r="Q234" i="1" s="1"/>
  <c r="T234" i="1" s="1"/>
  <c r="P233" i="1"/>
  <c r="S233" i="1" s="1"/>
  <c r="O233" i="1"/>
  <c r="Q233" i="1" s="1"/>
  <c r="T233" i="1" s="1"/>
  <c r="P232" i="1"/>
  <c r="S232" i="1" s="1"/>
  <c r="O232" i="1"/>
  <c r="Q232" i="1" s="1"/>
  <c r="T232" i="1" s="1"/>
  <c r="P231" i="1"/>
  <c r="S231" i="1" s="1"/>
  <c r="O231" i="1"/>
  <c r="Q231" i="1" s="1"/>
  <c r="T231" i="1" s="1"/>
  <c r="P230" i="1"/>
  <c r="R230" i="1" s="1"/>
  <c r="O230" i="1"/>
  <c r="Q230" i="1" s="1"/>
  <c r="T230" i="1" s="1"/>
  <c r="Q229" i="1"/>
  <c r="T229" i="1" s="1"/>
  <c r="P229" i="1"/>
  <c r="O229" i="1"/>
  <c r="P228" i="1"/>
  <c r="S228" i="1" s="1"/>
  <c r="O228" i="1"/>
  <c r="Q228" i="1" s="1"/>
  <c r="T228" i="1" s="1"/>
  <c r="P227" i="1"/>
  <c r="O227" i="1"/>
  <c r="Q227" i="1" s="1"/>
  <c r="T227" i="1" s="1"/>
  <c r="P226" i="1"/>
  <c r="S226" i="1" s="1"/>
  <c r="O226" i="1"/>
  <c r="Q226" i="1" s="1"/>
  <c r="T226" i="1" s="1"/>
  <c r="P225" i="1"/>
  <c r="O225" i="1"/>
  <c r="Q225" i="1" s="1"/>
  <c r="T225" i="1" s="1"/>
  <c r="P224" i="1"/>
  <c r="R224" i="1" s="1"/>
  <c r="O224" i="1"/>
  <c r="Q224" i="1" s="1"/>
  <c r="T224" i="1" s="1"/>
  <c r="P223" i="1"/>
  <c r="O223" i="1"/>
  <c r="Q223" i="1" s="1"/>
  <c r="T223" i="1" s="1"/>
  <c r="T222" i="1"/>
  <c r="Q222" i="1"/>
  <c r="P222" i="1"/>
  <c r="S222" i="1" s="1"/>
  <c r="O222" i="1"/>
  <c r="P221" i="1"/>
  <c r="O221" i="1"/>
  <c r="Q221" i="1" s="1"/>
  <c r="T221" i="1" s="1"/>
  <c r="R220" i="1"/>
  <c r="P220" i="1"/>
  <c r="S220" i="1" s="1"/>
  <c r="O220" i="1"/>
  <c r="Q220" i="1" s="1"/>
  <c r="T220" i="1" s="1"/>
  <c r="P219" i="1"/>
  <c r="O219" i="1"/>
  <c r="Q219" i="1" s="1"/>
  <c r="T219" i="1" s="1"/>
  <c r="P218" i="1"/>
  <c r="O218" i="1"/>
  <c r="Q218" i="1" s="1"/>
  <c r="T218" i="1" s="1"/>
  <c r="Q217" i="1"/>
  <c r="T217" i="1" s="1"/>
  <c r="P217" i="1"/>
  <c r="O217" i="1"/>
  <c r="P216" i="1"/>
  <c r="S216" i="1" s="1"/>
  <c r="O216" i="1"/>
  <c r="Q216" i="1" s="1"/>
  <c r="T216" i="1" s="1"/>
  <c r="P215" i="1"/>
  <c r="O215" i="1"/>
  <c r="Q215" i="1" s="1"/>
  <c r="T215" i="1" s="1"/>
  <c r="P214" i="1"/>
  <c r="S214" i="1" s="1"/>
  <c r="O214" i="1"/>
  <c r="Q214" i="1" s="1"/>
  <c r="T214" i="1" s="1"/>
  <c r="P213" i="1"/>
  <c r="O213" i="1"/>
  <c r="Q213" i="1" s="1"/>
  <c r="T213" i="1" s="1"/>
  <c r="P212" i="1"/>
  <c r="S212" i="1" s="1"/>
  <c r="O212" i="1"/>
  <c r="Q212" i="1" s="1"/>
  <c r="T212" i="1" s="1"/>
  <c r="P211" i="1"/>
  <c r="O211" i="1"/>
  <c r="Q211" i="1" s="1"/>
  <c r="T211" i="1" s="1"/>
  <c r="Q210" i="1"/>
  <c r="T210" i="1" s="1"/>
  <c r="P210" i="1"/>
  <c r="S210" i="1" s="1"/>
  <c r="O210" i="1"/>
  <c r="Q209" i="1"/>
  <c r="T209" i="1" s="1"/>
  <c r="P209" i="1"/>
  <c r="O209" i="1"/>
  <c r="S208" i="1"/>
  <c r="Q208" i="1"/>
  <c r="T208" i="1" s="1"/>
  <c r="P208" i="1"/>
  <c r="R208" i="1" s="1"/>
  <c r="O208" i="1"/>
  <c r="P207" i="1"/>
  <c r="O207" i="1"/>
  <c r="Q207" i="1" s="1"/>
  <c r="T207" i="1" s="1"/>
  <c r="P206" i="1"/>
  <c r="O206" i="1"/>
  <c r="Q206" i="1" s="1"/>
  <c r="T206" i="1" s="1"/>
  <c r="Q205" i="1"/>
  <c r="T205" i="1" s="1"/>
  <c r="P205" i="1"/>
  <c r="O205" i="1"/>
  <c r="P204" i="1"/>
  <c r="S204" i="1" s="1"/>
  <c r="O204" i="1"/>
  <c r="Q204" i="1" s="1"/>
  <c r="T204" i="1" s="1"/>
  <c r="Q203" i="1"/>
  <c r="T203" i="1" s="1"/>
  <c r="P203" i="1"/>
  <c r="O203" i="1"/>
  <c r="P202" i="1"/>
  <c r="S202" i="1" s="1"/>
  <c r="O202" i="1"/>
  <c r="Q202" i="1" s="1"/>
  <c r="T202" i="1" s="1"/>
  <c r="P201" i="1"/>
  <c r="O201" i="1"/>
  <c r="Q201" i="1" s="1"/>
  <c r="T201" i="1" s="1"/>
  <c r="P200" i="1"/>
  <c r="S200" i="1" s="1"/>
  <c r="O200" i="1"/>
  <c r="Q200" i="1" s="1"/>
  <c r="T200" i="1" s="1"/>
  <c r="P199" i="1"/>
  <c r="O199" i="1"/>
  <c r="Q199" i="1" s="1"/>
  <c r="T199" i="1" s="1"/>
  <c r="P198" i="1"/>
  <c r="S198" i="1" s="1"/>
  <c r="O198" i="1"/>
  <c r="Q198" i="1" s="1"/>
  <c r="T198" i="1" s="1"/>
  <c r="Q197" i="1"/>
  <c r="T197" i="1" s="1"/>
  <c r="P197" i="1"/>
  <c r="O197" i="1"/>
  <c r="R196" i="1"/>
  <c r="P196" i="1"/>
  <c r="S196" i="1" s="1"/>
  <c r="O196" i="1"/>
  <c r="Q196" i="1" s="1"/>
  <c r="T196" i="1" s="1"/>
  <c r="P195" i="1"/>
  <c r="O195" i="1"/>
  <c r="Q195" i="1" s="1"/>
  <c r="T195" i="1" s="1"/>
  <c r="P194" i="1"/>
  <c r="O194" i="1"/>
  <c r="Q194" i="1" s="1"/>
  <c r="T194" i="1" s="1"/>
  <c r="P193" i="1"/>
  <c r="O193" i="1"/>
  <c r="Q193" i="1" s="1"/>
  <c r="T193" i="1" s="1"/>
  <c r="P192" i="1"/>
  <c r="S192" i="1" s="1"/>
  <c r="O192" i="1"/>
  <c r="Q192" i="1" s="1"/>
  <c r="T192" i="1" s="1"/>
  <c r="Q191" i="1"/>
  <c r="T191" i="1" s="1"/>
  <c r="P191" i="1"/>
  <c r="O191" i="1"/>
  <c r="P190" i="1"/>
  <c r="S190" i="1" s="1"/>
  <c r="O190" i="1"/>
  <c r="Q190" i="1" s="1"/>
  <c r="T190" i="1" s="1"/>
  <c r="P189" i="1"/>
  <c r="O189" i="1"/>
  <c r="Q189" i="1" s="1"/>
  <c r="T189" i="1" s="1"/>
  <c r="R188" i="1"/>
  <c r="P188" i="1"/>
  <c r="S188" i="1" s="1"/>
  <c r="O188" i="1"/>
  <c r="Q188" i="1" s="1"/>
  <c r="T188" i="1" s="1"/>
  <c r="P187" i="1"/>
  <c r="O187" i="1"/>
  <c r="Q187" i="1" s="1"/>
  <c r="T187" i="1" s="1"/>
  <c r="P186" i="1"/>
  <c r="S186" i="1" s="1"/>
  <c r="O186" i="1"/>
  <c r="Q186" i="1" s="1"/>
  <c r="T186" i="1" s="1"/>
  <c r="P185" i="1"/>
  <c r="O185" i="1"/>
  <c r="Q185" i="1" s="1"/>
  <c r="T185" i="1" s="1"/>
  <c r="P184" i="1"/>
  <c r="S184" i="1" s="1"/>
  <c r="O184" i="1"/>
  <c r="Q184" i="1" s="1"/>
  <c r="T184" i="1" s="1"/>
  <c r="P183" i="1"/>
  <c r="O183" i="1"/>
  <c r="Q183" i="1" s="1"/>
  <c r="T183" i="1" s="1"/>
  <c r="P182" i="1"/>
  <c r="O182" i="1"/>
  <c r="Q182" i="1" s="1"/>
  <c r="T182" i="1" s="1"/>
  <c r="P181" i="1"/>
  <c r="O181" i="1"/>
  <c r="Q181" i="1" s="1"/>
  <c r="T181" i="1" s="1"/>
  <c r="P180" i="1"/>
  <c r="S180" i="1" s="1"/>
  <c r="O180" i="1"/>
  <c r="Q180" i="1" s="1"/>
  <c r="T180" i="1" s="1"/>
  <c r="Q179" i="1"/>
  <c r="T179" i="1" s="1"/>
  <c r="P179" i="1"/>
  <c r="O179" i="1"/>
  <c r="P178" i="1"/>
  <c r="S178" i="1" s="1"/>
  <c r="O178" i="1"/>
  <c r="Q178" i="1" s="1"/>
  <c r="T178" i="1" s="1"/>
  <c r="P177" i="1"/>
  <c r="O177" i="1"/>
  <c r="Q177" i="1" s="1"/>
  <c r="T177" i="1" s="1"/>
  <c r="P176" i="1"/>
  <c r="S176" i="1" s="1"/>
  <c r="O176" i="1"/>
  <c r="Q176" i="1" s="1"/>
  <c r="T176" i="1" s="1"/>
  <c r="Q175" i="1"/>
  <c r="T175" i="1" s="1"/>
  <c r="P175" i="1"/>
  <c r="O175" i="1"/>
  <c r="P174" i="1"/>
  <c r="S174" i="1" s="1"/>
  <c r="O174" i="1"/>
  <c r="Q174" i="1" s="1"/>
  <c r="T174" i="1" s="1"/>
  <c r="Q173" i="1"/>
  <c r="T173" i="1" s="1"/>
  <c r="P173" i="1"/>
  <c r="O173" i="1"/>
  <c r="P172" i="1"/>
  <c r="S172" i="1" s="1"/>
  <c r="O172" i="1"/>
  <c r="Q172" i="1" s="1"/>
  <c r="T172" i="1" s="1"/>
  <c r="P171" i="1"/>
  <c r="O171" i="1"/>
  <c r="Q171" i="1" s="1"/>
  <c r="T171" i="1" s="1"/>
  <c r="P170" i="1"/>
  <c r="O170" i="1"/>
  <c r="Q170" i="1" s="1"/>
  <c r="T170" i="1" s="1"/>
  <c r="Q169" i="1"/>
  <c r="T169" i="1" s="1"/>
  <c r="P169" i="1"/>
  <c r="O169" i="1"/>
  <c r="P168" i="1"/>
  <c r="S168" i="1" s="1"/>
  <c r="O168" i="1"/>
  <c r="Q168" i="1" s="1"/>
  <c r="T168" i="1" s="1"/>
  <c r="P167" i="1"/>
  <c r="O167" i="1"/>
  <c r="Q167" i="1" s="1"/>
  <c r="T167" i="1" s="1"/>
  <c r="P166" i="1"/>
  <c r="S166" i="1" s="1"/>
  <c r="O166" i="1"/>
  <c r="Q166" i="1" s="1"/>
  <c r="T166" i="1" s="1"/>
  <c r="P165" i="1"/>
  <c r="O165" i="1"/>
  <c r="Q165" i="1" s="1"/>
  <c r="T165" i="1" s="1"/>
  <c r="R164" i="1"/>
  <c r="P164" i="1"/>
  <c r="S164" i="1" s="1"/>
  <c r="O164" i="1"/>
  <c r="Q164" i="1" s="1"/>
  <c r="T164" i="1" s="1"/>
  <c r="Q163" i="1"/>
  <c r="T163" i="1" s="1"/>
  <c r="P163" i="1"/>
  <c r="O163" i="1"/>
  <c r="P162" i="1"/>
  <c r="S162" i="1" s="1"/>
  <c r="O162" i="1"/>
  <c r="Q162" i="1" s="1"/>
  <c r="T162" i="1" s="1"/>
  <c r="Q161" i="1"/>
  <c r="T161" i="1" s="1"/>
  <c r="P161" i="1"/>
  <c r="O161" i="1"/>
  <c r="Q160" i="1"/>
  <c r="T160" i="1" s="1"/>
  <c r="P160" i="1"/>
  <c r="S160" i="1" s="1"/>
  <c r="O160" i="1"/>
  <c r="T159" i="1"/>
  <c r="Q159" i="1"/>
  <c r="P159" i="1"/>
  <c r="O159" i="1"/>
  <c r="P158" i="1"/>
  <c r="O158" i="1"/>
  <c r="Q158" i="1" s="1"/>
  <c r="T158" i="1" s="1"/>
  <c r="P157" i="1"/>
  <c r="O157" i="1"/>
  <c r="Q157" i="1" s="1"/>
  <c r="T157" i="1" s="1"/>
  <c r="P156" i="1"/>
  <c r="S156" i="1" s="1"/>
  <c r="O156" i="1"/>
  <c r="Q156" i="1" s="1"/>
  <c r="T156" i="1" s="1"/>
  <c r="P155" i="1"/>
  <c r="O155" i="1"/>
  <c r="Q155" i="1" s="1"/>
  <c r="T155" i="1" s="1"/>
  <c r="P154" i="1"/>
  <c r="S154" i="1" s="1"/>
  <c r="O154" i="1"/>
  <c r="Q154" i="1" s="1"/>
  <c r="T154" i="1" s="1"/>
  <c r="P153" i="1"/>
  <c r="O153" i="1"/>
  <c r="Q153" i="1" s="1"/>
  <c r="T153" i="1" s="1"/>
  <c r="P152" i="1"/>
  <c r="S152" i="1" s="1"/>
  <c r="O152" i="1"/>
  <c r="Q152" i="1" s="1"/>
  <c r="T152" i="1" s="1"/>
  <c r="P151" i="1"/>
  <c r="O151" i="1"/>
  <c r="Q151" i="1" s="1"/>
  <c r="T151" i="1" s="1"/>
  <c r="P150" i="1"/>
  <c r="S150" i="1" s="1"/>
  <c r="O150" i="1"/>
  <c r="Q150" i="1" s="1"/>
  <c r="T150" i="1" s="1"/>
  <c r="P149" i="1"/>
  <c r="O149" i="1"/>
  <c r="Q149" i="1" s="1"/>
  <c r="T149" i="1" s="1"/>
  <c r="P148" i="1"/>
  <c r="R148" i="1" s="1"/>
  <c r="O148" i="1"/>
  <c r="Q148" i="1" s="1"/>
  <c r="T148" i="1" s="1"/>
  <c r="Q147" i="1"/>
  <c r="T147" i="1" s="1"/>
  <c r="P147" i="1"/>
  <c r="O147" i="1"/>
  <c r="P146" i="1"/>
  <c r="O146" i="1"/>
  <c r="Q146" i="1" s="1"/>
  <c r="T146" i="1" s="1"/>
  <c r="P145" i="1"/>
  <c r="O145" i="1"/>
  <c r="Q145" i="1" s="1"/>
  <c r="T145" i="1" s="1"/>
  <c r="P144" i="1"/>
  <c r="S144" i="1" s="1"/>
  <c r="O144" i="1"/>
  <c r="Q144" i="1" s="1"/>
  <c r="T144" i="1" s="1"/>
  <c r="P143" i="1"/>
  <c r="O143" i="1"/>
  <c r="Q143" i="1" s="1"/>
  <c r="T143" i="1" s="1"/>
  <c r="P142" i="1"/>
  <c r="S142" i="1" s="1"/>
  <c r="O142" i="1"/>
  <c r="Q142" i="1" s="1"/>
  <c r="T142" i="1" s="1"/>
  <c r="P141" i="1"/>
  <c r="O141" i="1"/>
  <c r="Q141" i="1" s="1"/>
  <c r="T141" i="1" s="1"/>
  <c r="P140" i="1"/>
  <c r="R140" i="1" s="1"/>
  <c r="O140" i="1"/>
  <c r="Q140" i="1" s="1"/>
  <c r="T140" i="1" s="1"/>
  <c r="P139" i="1"/>
  <c r="O139" i="1"/>
  <c r="Q139" i="1" s="1"/>
  <c r="T139" i="1" s="1"/>
  <c r="P138" i="1"/>
  <c r="S138" i="1" s="1"/>
  <c r="O138" i="1"/>
  <c r="Q138" i="1" s="1"/>
  <c r="T138" i="1" s="1"/>
  <c r="P137" i="1"/>
  <c r="O137" i="1"/>
  <c r="Q137" i="1" s="1"/>
  <c r="T137" i="1" s="1"/>
  <c r="P136" i="1"/>
  <c r="R136" i="1" s="1"/>
  <c r="O136" i="1"/>
  <c r="Q136" i="1" s="1"/>
  <c r="T136" i="1" s="1"/>
  <c r="P135" i="1"/>
  <c r="O135" i="1"/>
  <c r="Q135" i="1" s="1"/>
  <c r="T135" i="1" s="1"/>
  <c r="P134" i="1"/>
  <c r="O134" i="1"/>
  <c r="Q134" i="1" s="1"/>
  <c r="T134" i="1" s="1"/>
  <c r="P133" i="1"/>
  <c r="O133" i="1"/>
  <c r="Q133" i="1" s="1"/>
  <c r="T133" i="1" s="1"/>
  <c r="P132" i="1"/>
  <c r="S132" i="1" s="1"/>
  <c r="O132" i="1"/>
  <c r="Q132" i="1" s="1"/>
  <c r="T132" i="1" s="1"/>
  <c r="P131" i="1"/>
  <c r="O131" i="1"/>
  <c r="Q131" i="1" s="1"/>
  <c r="T131" i="1" s="1"/>
  <c r="P130" i="1"/>
  <c r="S130" i="1" s="1"/>
  <c r="O130" i="1"/>
  <c r="Q130" i="1" s="1"/>
  <c r="T130" i="1" s="1"/>
  <c r="P129" i="1"/>
  <c r="O129" i="1"/>
  <c r="Q129" i="1" s="1"/>
  <c r="T129" i="1" s="1"/>
  <c r="R128" i="1"/>
  <c r="P128" i="1"/>
  <c r="S128" i="1" s="1"/>
  <c r="O128" i="1"/>
  <c r="Q128" i="1" s="1"/>
  <c r="T128" i="1" s="1"/>
  <c r="P127" i="1"/>
  <c r="O127" i="1"/>
  <c r="Q127" i="1" s="1"/>
  <c r="T127" i="1" s="1"/>
  <c r="P126" i="1"/>
  <c r="S126" i="1" s="1"/>
  <c r="O126" i="1"/>
  <c r="Q126" i="1" s="1"/>
  <c r="T126" i="1" s="1"/>
  <c r="P125" i="1"/>
  <c r="O125" i="1"/>
  <c r="Q125" i="1" s="1"/>
  <c r="T125" i="1" s="1"/>
  <c r="R124" i="1"/>
  <c r="P124" i="1"/>
  <c r="S124" i="1" s="1"/>
  <c r="O124" i="1"/>
  <c r="Q124" i="1" s="1"/>
  <c r="T124" i="1" s="1"/>
  <c r="P123" i="1"/>
  <c r="O123" i="1"/>
  <c r="Q123" i="1" s="1"/>
  <c r="T123" i="1" s="1"/>
  <c r="P122" i="1"/>
  <c r="O122" i="1"/>
  <c r="Q122" i="1" s="1"/>
  <c r="T122" i="1" s="1"/>
  <c r="P121" i="1"/>
  <c r="O121" i="1"/>
  <c r="Q121" i="1" s="1"/>
  <c r="T121" i="1" s="1"/>
  <c r="P120" i="1"/>
  <c r="S120" i="1" s="1"/>
  <c r="O120" i="1"/>
  <c r="Q120" i="1" s="1"/>
  <c r="T120" i="1" s="1"/>
  <c r="P119" i="1"/>
  <c r="O119" i="1"/>
  <c r="Q119" i="1" s="1"/>
  <c r="T119" i="1" s="1"/>
  <c r="P118" i="1"/>
  <c r="S118" i="1" s="1"/>
  <c r="O118" i="1"/>
  <c r="Q118" i="1" s="1"/>
  <c r="T118" i="1" s="1"/>
  <c r="P117" i="1"/>
  <c r="O117" i="1"/>
  <c r="Q117" i="1" s="1"/>
  <c r="T117" i="1" s="1"/>
  <c r="R116" i="1"/>
  <c r="P116" i="1"/>
  <c r="S116" i="1" s="1"/>
  <c r="O116" i="1"/>
  <c r="Q116" i="1" s="1"/>
  <c r="T116" i="1" s="1"/>
  <c r="Q115" i="1"/>
  <c r="T115" i="1" s="1"/>
  <c r="P115" i="1"/>
  <c r="O115" i="1"/>
  <c r="P114" i="1"/>
  <c r="S114" i="1" s="1"/>
  <c r="O114" i="1"/>
  <c r="Q114" i="1" s="1"/>
  <c r="T114" i="1" s="1"/>
  <c r="P113" i="1"/>
  <c r="O113" i="1"/>
  <c r="Q113" i="1" s="1"/>
  <c r="T113" i="1" s="1"/>
  <c r="P112" i="1"/>
  <c r="S112" i="1" s="1"/>
  <c r="O112" i="1"/>
  <c r="Q112" i="1" s="1"/>
  <c r="T112" i="1" s="1"/>
  <c r="Q111" i="1"/>
  <c r="T111" i="1" s="1"/>
  <c r="P111" i="1"/>
  <c r="O111" i="1"/>
  <c r="P110" i="1"/>
  <c r="O110" i="1"/>
  <c r="Q110" i="1" s="1"/>
  <c r="T110" i="1" s="1"/>
  <c r="P109" i="1"/>
  <c r="O109" i="1"/>
  <c r="Q109" i="1" s="1"/>
  <c r="T109" i="1" s="1"/>
  <c r="P108" i="1"/>
  <c r="R108" i="1" s="1"/>
  <c r="O108" i="1"/>
  <c r="Q108" i="1" s="1"/>
  <c r="T108" i="1" s="1"/>
  <c r="P107" i="1"/>
  <c r="S107" i="1" s="1"/>
  <c r="O107" i="1"/>
  <c r="Q107" i="1" s="1"/>
  <c r="T107" i="1" s="1"/>
  <c r="S106" i="1"/>
  <c r="P106" i="1"/>
  <c r="R106" i="1" s="1"/>
  <c r="O106" i="1"/>
  <c r="Q106" i="1" s="1"/>
  <c r="T106" i="1" s="1"/>
  <c r="S105" i="1"/>
  <c r="P105" i="1"/>
  <c r="R105" i="1" s="1"/>
  <c r="O105" i="1"/>
  <c r="Q105" i="1" s="1"/>
  <c r="T105" i="1" s="1"/>
  <c r="P104" i="1"/>
  <c r="S104" i="1" s="1"/>
  <c r="O104" i="1"/>
  <c r="Q104" i="1" s="1"/>
  <c r="T104" i="1" s="1"/>
  <c r="P103" i="1"/>
  <c r="S103" i="1" s="1"/>
  <c r="O103" i="1"/>
  <c r="Q103" i="1" s="1"/>
  <c r="T103" i="1" s="1"/>
  <c r="P102" i="1"/>
  <c r="S102" i="1" s="1"/>
  <c r="O102" i="1"/>
  <c r="Q102" i="1" s="1"/>
  <c r="T102" i="1" s="1"/>
  <c r="P101" i="1"/>
  <c r="O101" i="1"/>
  <c r="Q101" i="1" s="1"/>
  <c r="T101" i="1" s="1"/>
  <c r="P100" i="1"/>
  <c r="O100" i="1"/>
  <c r="Q100" i="1" s="1"/>
  <c r="T100" i="1" s="1"/>
  <c r="P99" i="1"/>
  <c r="R99" i="1" s="1"/>
  <c r="O99" i="1"/>
  <c r="Q99" i="1" s="1"/>
  <c r="T99" i="1" s="1"/>
  <c r="P98" i="1"/>
  <c r="O98" i="1"/>
  <c r="Q98" i="1" s="1"/>
  <c r="T98" i="1" s="1"/>
  <c r="P97" i="1"/>
  <c r="S97" i="1" s="1"/>
  <c r="O97" i="1"/>
  <c r="Q97" i="1" s="1"/>
  <c r="T97" i="1" s="1"/>
  <c r="S96" i="1"/>
  <c r="P96" i="1"/>
  <c r="R96" i="1" s="1"/>
  <c r="O96" i="1"/>
  <c r="Q96" i="1" s="1"/>
  <c r="T96" i="1" s="1"/>
  <c r="P95" i="1"/>
  <c r="R95" i="1" s="1"/>
  <c r="O95" i="1"/>
  <c r="Q95" i="1" s="1"/>
  <c r="T95" i="1" s="1"/>
  <c r="P94" i="1"/>
  <c r="S94" i="1" s="1"/>
  <c r="O94" i="1"/>
  <c r="Q94" i="1" s="1"/>
  <c r="T94" i="1" s="1"/>
  <c r="P93" i="1"/>
  <c r="S93" i="1" s="1"/>
  <c r="O93" i="1"/>
  <c r="Q93" i="1" s="1"/>
  <c r="T93" i="1" s="1"/>
  <c r="Q92" i="1"/>
  <c r="T92" i="1" s="1"/>
  <c r="P92" i="1"/>
  <c r="R92" i="1" s="1"/>
  <c r="O92" i="1"/>
  <c r="P91" i="1"/>
  <c r="O91" i="1"/>
  <c r="Q91" i="1" s="1"/>
  <c r="T91" i="1" s="1"/>
  <c r="P90" i="1"/>
  <c r="S90" i="1" s="1"/>
  <c r="O90" i="1"/>
  <c r="Q90" i="1" s="1"/>
  <c r="T90" i="1" s="1"/>
  <c r="P89" i="1"/>
  <c r="S89" i="1" s="1"/>
  <c r="O89" i="1"/>
  <c r="Q89" i="1" s="1"/>
  <c r="T89" i="1" s="1"/>
  <c r="P88" i="1"/>
  <c r="S88" i="1" s="1"/>
  <c r="O88" i="1"/>
  <c r="Q88" i="1" s="1"/>
  <c r="T88" i="1" s="1"/>
  <c r="P87" i="1"/>
  <c r="O87" i="1"/>
  <c r="Q87" i="1" s="1"/>
  <c r="T87" i="1" s="1"/>
  <c r="P86" i="1"/>
  <c r="S86" i="1" s="1"/>
  <c r="O86" i="1"/>
  <c r="Q86" i="1" s="1"/>
  <c r="T86" i="1" s="1"/>
  <c r="P85" i="1"/>
  <c r="R85" i="1" s="1"/>
  <c r="O85" i="1"/>
  <c r="Q85" i="1" s="1"/>
  <c r="T85" i="1" s="1"/>
  <c r="P84" i="1"/>
  <c r="R84" i="1" s="1"/>
  <c r="O84" i="1"/>
  <c r="Q84" i="1" s="1"/>
  <c r="T84" i="1" s="1"/>
  <c r="P83" i="1"/>
  <c r="S83" i="1" s="1"/>
  <c r="O83" i="1"/>
  <c r="Q83" i="1" s="1"/>
  <c r="T83" i="1" s="1"/>
  <c r="P82" i="1"/>
  <c r="S82" i="1" s="1"/>
  <c r="O82" i="1"/>
  <c r="Q82" i="1" s="1"/>
  <c r="T82" i="1" s="1"/>
  <c r="P81" i="1"/>
  <c r="S81" i="1" s="1"/>
  <c r="O81" i="1"/>
  <c r="Q81" i="1" s="1"/>
  <c r="T81" i="1" s="1"/>
  <c r="P80" i="1"/>
  <c r="S80" i="1" s="1"/>
  <c r="O80" i="1"/>
  <c r="Q80" i="1" s="1"/>
  <c r="T80" i="1" s="1"/>
  <c r="P79" i="1"/>
  <c r="O79" i="1"/>
  <c r="Q79" i="1" s="1"/>
  <c r="T79" i="1" s="1"/>
  <c r="P78" i="1"/>
  <c r="R78" i="1" s="1"/>
  <c r="O78" i="1"/>
  <c r="Q78" i="1" s="1"/>
  <c r="T78" i="1" s="1"/>
  <c r="P77" i="1"/>
  <c r="O77" i="1"/>
  <c r="Q77" i="1" s="1"/>
  <c r="T77" i="1" s="1"/>
  <c r="P76" i="1"/>
  <c r="S76" i="1" s="1"/>
  <c r="O76" i="1"/>
  <c r="Q76" i="1" s="1"/>
  <c r="T76" i="1" s="1"/>
  <c r="P75" i="1"/>
  <c r="R75" i="1" s="1"/>
  <c r="O75" i="1"/>
  <c r="Q75" i="1" s="1"/>
  <c r="T75" i="1" s="1"/>
  <c r="P74" i="1"/>
  <c r="S74" i="1" s="1"/>
  <c r="O74" i="1"/>
  <c r="Q74" i="1" s="1"/>
  <c r="T74" i="1" s="1"/>
  <c r="P73" i="1"/>
  <c r="S73" i="1" s="1"/>
  <c r="O73" i="1"/>
  <c r="Q73" i="1" s="1"/>
  <c r="T73" i="1" s="1"/>
  <c r="Q72" i="1"/>
  <c r="T72" i="1" s="1"/>
  <c r="P72" i="1"/>
  <c r="S72" i="1" s="1"/>
  <c r="O72" i="1"/>
  <c r="P71" i="1"/>
  <c r="R71" i="1" s="1"/>
  <c r="O71" i="1"/>
  <c r="Q71" i="1" s="1"/>
  <c r="T71" i="1" s="1"/>
  <c r="P70" i="1"/>
  <c r="S70" i="1" s="1"/>
  <c r="O70" i="1"/>
  <c r="Q70" i="1" s="1"/>
  <c r="T70" i="1" s="1"/>
  <c r="P69" i="1"/>
  <c r="S69" i="1" s="1"/>
  <c r="O69" i="1"/>
  <c r="Q69" i="1" s="1"/>
  <c r="T69" i="1" s="1"/>
  <c r="P68" i="1"/>
  <c r="O68" i="1"/>
  <c r="Q68" i="1" s="1"/>
  <c r="T68" i="1" s="1"/>
  <c r="P67" i="1"/>
  <c r="S67" i="1" s="1"/>
  <c r="O67" i="1"/>
  <c r="Q67" i="1" s="1"/>
  <c r="T67" i="1" s="1"/>
  <c r="P66" i="1"/>
  <c r="O66" i="1"/>
  <c r="Q66" i="1" s="1"/>
  <c r="T66" i="1" s="1"/>
  <c r="Q65" i="1"/>
  <c r="T65" i="1" s="1"/>
  <c r="P65" i="1"/>
  <c r="R65" i="1" s="1"/>
  <c r="O65" i="1"/>
  <c r="P64" i="1"/>
  <c r="S64" i="1" s="1"/>
  <c r="O64" i="1"/>
  <c r="Q64" i="1" s="1"/>
  <c r="T64" i="1" s="1"/>
  <c r="S63" i="1"/>
  <c r="P63" i="1"/>
  <c r="R63" i="1" s="1"/>
  <c r="O63" i="1"/>
  <c r="Q63" i="1" s="1"/>
  <c r="T63" i="1" s="1"/>
  <c r="P62" i="1"/>
  <c r="S62" i="1" s="1"/>
  <c r="O62" i="1"/>
  <c r="Q62" i="1" s="1"/>
  <c r="T62" i="1" s="1"/>
  <c r="P61" i="1"/>
  <c r="S61" i="1" s="1"/>
  <c r="O61" i="1"/>
  <c r="Q61" i="1" s="1"/>
  <c r="T61" i="1" s="1"/>
  <c r="P60" i="1"/>
  <c r="R60" i="1" s="1"/>
  <c r="O60" i="1"/>
  <c r="Q60" i="1" s="1"/>
  <c r="T60" i="1" s="1"/>
  <c r="P59" i="1"/>
  <c r="S59" i="1" s="1"/>
  <c r="O59" i="1"/>
  <c r="Q59" i="1" s="1"/>
  <c r="T59" i="1" s="1"/>
  <c r="S58" i="1"/>
  <c r="R58" i="1"/>
  <c r="P58" i="1"/>
  <c r="O58" i="1"/>
  <c r="Q58" i="1" s="1"/>
  <c r="T58" i="1" s="1"/>
  <c r="P57" i="1"/>
  <c r="S57" i="1" s="1"/>
  <c r="O57" i="1"/>
  <c r="Q57" i="1" s="1"/>
  <c r="T57" i="1" s="1"/>
  <c r="P56" i="1"/>
  <c r="S56" i="1" s="1"/>
  <c r="O56" i="1"/>
  <c r="Q56" i="1" s="1"/>
  <c r="T56" i="1" s="1"/>
  <c r="P55" i="1"/>
  <c r="O55" i="1"/>
  <c r="Q55" i="1" s="1"/>
  <c r="T55" i="1" s="1"/>
  <c r="P54" i="1"/>
  <c r="S54" i="1" s="1"/>
  <c r="O54" i="1"/>
  <c r="Q54" i="1" s="1"/>
  <c r="T54" i="1" s="1"/>
  <c r="P53" i="1"/>
  <c r="O53" i="1"/>
  <c r="Q53" i="1" s="1"/>
  <c r="T53" i="1" s="1"/>
  <c r="P52" i="1"/>
  <c r="S52" i="1" s="1"/>
  <c r="O52" i="1"/>
  <c r="Q52" i="1" s="1"/>
  <c r="T52" i="1" s="1"/>
  <c r="P51" i="1"/>
  <c r="R51" i="1" s="1"/>
  <c r="O51" i="1"/>
  <c r="Q51" i="1" s="1"/>
  <c r="T51" i="1" s="1"/>
  <c r="P50" i="1"/>
  <c r="S50" i="1" s="1"/>
  <c r="O50" i="1"/>
  <c r="Q50" i="1" s="1"/>
  <c r="T50" i="1" s="1"/>
  <c r="P49" i="1"/>
  <c r="S49" i="1" s="1"/>
  <c r="O49" i="1"/>
  <c r="Q49" i="1" s="1"/>
  <c r="T49" i="1" s="1"/>
  <c r="P48" i="1"/>
  <c r="S48" i="1" s="1"/>
  <c r="O48" i="1"/>
  <c r="Q48" i="1" s="1"/>
  <c r="T48" i="1" s="1"/>
  <c r="S47" i="1"/>
  <c r="P47" i="1"/>
  <c r="R47" i="1" s="1"/>
  <c r="O47" i="1"/>
  <c r="Q47" i="1" s="1"/>
  <c r="T47" i="1" s="1"/>
  <c r="P46" i="1"/>
  <c r="S46" i="1" s="1"/>
  <c r="O46" i="1"/>
  <c r="Q46" i="1" s="1"/>
  <c r="T46" i="1" s="1"/>
  <c r="T45" i="1"/>
  <c r="S45" i="1"/>
  <c r="R45" i="1"/>
  <c r="P45" i="1"/>
  <c r="O45" i="1"/>
  <c r="Q45" i="1" s="1"/>
  <c r="P44" i="1"/>
  <c r="O44" i="1"/>
  <c r="Q44" i="1" s="1"/>
  <c r="T44" i="1" s="1"/>
  <c r="P43" i="1"/>
  <c r="S43" i="1" s="1"/>
  <c r="O43" i="1"/>
  <c r="Q43" i="1" s="1"/>
  <c r="T43" i="1" s="1"/>
  <c r="P42" i="1"/>
  <c r="O42" i="1"/>
  <c r="Q42" i="1" s="1"/>
  <c r="T42" i="1" s="1"/>
  <c r="P41" i="1"/>
  <c r="S41" i="1" s="1"/>
  <c r="O41" i="1"/>
  <c r="Q41" i="1" s="1"/>
  <c r="T41" i="1" s="1"/>
  <c r="P40" i="1"/>
  <c r="R40" i="1" s="1"/>
  <c r="O40" i="1"/>
  <c r="Q40" i="1" s="1"/>
  <c r="T40" i="1" s="1"/>
  <c r="P39" i="1"/>
  <c r="S39" i="1" s="1"/>
  <c r="O39" i="1"/>
  <c r="Q39" i="1" s="1"/>
  <c r="T39" i="1" s="1"/>
  <c r="P38" i="1"/>
  <c r="S38" i="1" s="1"/>
  <c r="O38" i="1"/>
  <c r="Q38" i="1" s="1"/>
  <c r="T38" i="1" s="1"/>
  <c r="P37" i="1"/>
  <c r="S37" i="1" s="1"/>
  <c r="O37" i="1"/>
  <c r="Q37" i="1" s="1"/>
  <c r="T37" i="1" s="1"/>
  <c r="P36" i="1"/>
  <c r="R36" i="1" s="1"/>
  <c r="O36" i="1"/>
  <c r="Q36" i="1" s="1"/>
  <c r="T36" i="1" s="1"/>
  <c r="P35" i="1"/>
  <c r="R35" i="1" s="1"/>
  <c r="O35" i="1"/>
  <c r="Q35" i="1" s="1"/>
  <c r="T35" i="1" s="1"/>
  <c r="P34" i="1"/>
  <c r="S34" i="1" s="1"/>
  <c r="O34" i="1"/>
  <c r="Q34" i="1" s="1"/>
  <c r="T34" i="1" s="1"/>
  <c r="P33" i="1"/>
  <c r="S33" i="1" s="1"/>
  <c r="O33" i="1"/>
  <c r="Q33" i="1" s="1"/>
  <c r="T33" i="1" s="1"/>
  <c r="P32" i="1"/>
  <c r="S32" i="1" s="1"/>
  <c r="O32" i="1"/>
  <c r="Q32" i="1" s="1"/>
  <c r="T32" i="1" s="1"/>
  <c r="S31" i="1"/>
  <c r="P31" i="1"/>
  <c r="R31" i="1" s="1"/>
  <c r="O31" i="1"/>
  <c r="Q31" i="1" s="1"/>
  <c r="T31" i="1" s="1"/>
  <c r="P30" i="1"/>
  <c r="R30" i="1" s="1"/>
  <c r="O30" i="1"/>
  <c r="Q30" i="1" s="1"/>
  <c r="T30" i="1" s="1"/>
  <c r="P29" i="1"/>
  <c r="O29" i="1"/>
  <c r="Q29" i="1" s="1"/>
  <c r="T29" i="1" s="1"/>
  <c r="Q28" i="1"/>
  <c r="T28" i="1" s="1"/>
  <c r="P28" i="1"/>
  <c r="S28" i="1" s="1"/>
  <c r="O28" i="1"/>
  <c r="P27" i="1"/>
  <c r="S27" i="1" s="1"/>
  <c r="O27" i="1"/>
  <c r="Q27" i="1" s="1"/>
  <c r="T27" i="1" s="1"/>
  <c r="P26" i="1"/>
  <c r="S26" i="1" s="1"/>
  <c r="O26" i="1"/>
  <c r="Q26" i="1" s="1"/>
  <c r="T26" i="1" s="1"/>
  <c r="P25" i="1"/>
  <c r="S25" i="1" s="1"/>
  <c r="O25" i="1"/>
  <c r="Q25" i="1" s="1"/>
  <c r="T25" i="1" s="1"/>
  <c r="P24" i="1"/>
  <c r="S24" i="1" s="1"/>
  <c r="O24" i="1"/>
  <c r="Q24" i="1" s="1"/>
  <c r="T24" i="1" s="1"/>
  <c r="P23" i="1"/>
  <c r="R23" i="1" s="1"/>
  <c r="O23" i="1"/>
  <c r="Q23" i="1" s="1"/>
  <c r="T23" i="1" s="1"/>
  <c r="P22" i="1"/>
  <c r="S22" i="1" s="1"/>
  <c r="O22" i="1"/>
  <c r="Q22" i="1" s="1"/>
  <c r="T22" i="1" s="1"/>
  <c r="P21" i="1"/>
  <c r="R21" i="1" s="1"/>
  <c r="O21" i="1"/>
  <c r="Q21" i="1" s="1"/>
  <c r="T21" i="1" s="1"/>
  <c r="P20" i="1"/>
  <c r="O20" i="1"/>
  <c r="Q20" i="1" s="1"/>
  <c r="T20" i="1" s="1"/>
  <c r="P19" i="1"/>
  <c r="R19" i="1" s="1"/>
  <c r="O19" i="1"/>
  <c r="Q19" i="1" s="1"/>
  <c r="T19" i="1" s="1"/>
  <c r="P18" i="1"/>
  <c r="O18" i="1"/>
  <c r="Q18" i="1" s="1"/>
  <c r="T18" i="1" s="1"/>
  <c r="P17" i="1"/>
  <c r="S17" i="1" s="1"/>
  <c r="O17" i="1"/>
  <c r="Q17" i="1" s="1"/>
  <c r="T17" i="1" s="1"/>
  <c r="P16" i="1"/>
  <c r="S16" i="1" s="1"/>
  <c r="O16" i="1"/>
  <c r="Q16" i="1" s="1"/>
  <c r="T16" i="1" s="1"/>
  <c r="P15" i="1"/>
  <c r="R15" i="1" s="1"/>
  <c r="O15" i="1"/>
  <c r="Q15" i="1" s="1"/>
  <c r="T15" i="1" s="1"/>
  <c r="P14" i="1"/>
  <c r="S14" i="1" s="1"/>
  <c r="O14" i="1"/>
  <c r="Q14" i="1" s="1"/>
  <c r="T14" i="1" s="1"/>
  <c r="S13" i="1"/>
  <c r="P13" i="1"/>
  <c r="R13" i="1" s="1"/>
  <c r="O13" i="1"/>
  <c r="Q13" i="1" s="1"/>
  <c r="T13" i="1" s="1"/>
  <c r="S12" i="1"/>
  <c r="P12" i="1"/>
  <c r="R12" i="1" s="1"/>
  <c r="O12" i="1"/>
  <c r="Q12" i="1" s="1"/>
  <c r="T12" i="1" s="1"/>
  <c r="P11" i="1"/>
  <c r="S11" i="1" s="1"/>
  <c r="O11" i="1"/>
  <c r="Q11" i="1" s="1"/>
  <c r="T11" i="1" s="1"/>
  <c r="S10" i="1"/>
  <c r="P10" i="1"/>
  <c r="R10" i="1" s="1"/>
  <c r="O10" i="1"/>
  <c r="Q10" i="1" s="1"/>
  <c r="T10" i="1" s="1"/>
  <c r="P9" i="1"/>
  <c r="S9" i="1" s="1"/>
  <c r="O9" i="1"/>
  <c r="Q9" i="1" s="1"/>
  <c r="T9" i="1" s="1"/>
  <c r="R8" i="1"/>
  <c r="P8" i="1"/>
  <c r="S8" i="1" s="1"/>
  <c r="O8" i="1"/>
  <c r="Q8" i="1" s="1"/>
  <c r="T8" i="1" s="1"/>
  <c r="P7" i="1"/>
  <c r="S7" i="1" s="1"/>
  <c r="O7" i="1"/>
  <c r="Q7" i="1" s="1"/>
  <c r="T7" i="1" s="1"/>
  <c r="P6" i="1"/>
  <c r="S6" i="1" s="1"/>
  <c r="O6" i="1"/>
  <c r="Q6" i="1" s="1"/>
  <c r="T6" i="1" s="1"/>
  <c r="P5" i="1"/>
  <c r="O5" i="1"/>
  <c r="Q5" i="1" s="1"/>
  <c r="T5" i="1" s="1"/>
  <c r="P4" i="1"/>
  <c r="S4" i="1" s="1"/>
  <c r="O4" i="1"/>
  <c r="Q4" i="1" s="1"/>
  <c r="T4" i="1" s="1"/>
  <c r="P3" i="1"/>
  <c r="S3" i="1" s="1"/>
  <c r="O3" i="1"/>
  <c r="Q3" i="1" s="1"/>
  <c r="T3" i="1" s="1"/>
  <c r="P2" i="1"/>
  <c r="O2" i="1"/>
  <c r="Q2" i="1" s="1"/>
  <c r="D13" i="2" l="1"/>
  <c r="E13" i="2" s="1"/>
  <c r="F13" i="2" s="1"/>
  <c r="E10" i="2"/>
  <c r="E9" i="2"/>
  <c r="F9" i="2" s="1"/>
  <c r="E8" i="2"/>
  <c r="E7" i="2"/>
  <c r="E6" i="2"/>
  <c r="E5" i="2"/>
  <c r="D2" i="2"/>
  <c r="E2" i="2" s="1"/>
  <c r="F3" i="2" s="1"/>
  <c r="D4" i="2"/>
  <c r="E4" i="2" s="1"/>
  <c r="F4" i="2" s="1"/>
  <c r="R358" i="1"/>
  <c r="S78" i="1"/>
  <c r="S99" i="1"/>
  <c r="S140" i="1"/>
  <c r="S281" i="1"/>
  <c r="R72" i="1"/>
  <c r="R176" i="1"/>
  <c r="R32" i="1"/>
  <c r="S19" i="1"/>
  <c r="R67" i="1"/>
  <c r="R112" i="1"/>
  <c r="S148" i="1"/>
  <c r="R160" i="1"/>
  <c r="R172" i="1"/>
  <c r="R237" i="1"/>
  <c r="R277" i="1"/>
  <c r="R283" i="1"/>
  <c r="S318" i="1"/>
  <c r="R299" i="1"/>
  <c r="R107" i="1"/>
  <c r="S136" i="1"/>
  <c r="R255" i="1"/>
  <c r="R261" i="1"/>
  <c r="R293" i="1"/>
  <c r="P366" i="1"/>
  <c r="S366" i="1" s="1"/>
  <c r="S21" i="1"/>
  <c r="R233" i="1"/>
  <c r="R289" i="1"/>
  <c r="R365" i="1"/>
  <c r="R104" i="1"/>
  <c r="R239" i="1"/>
  <c r="R267" i="1"/>
  <c r="S280" i="1"/>
  <c r="R363" i="1"/>
  <c r="S279" i="1"/>
  <c r="S325" i="1"/>
  <c r="R212" i="1"/>
  <c r="R235" i="1"/>
  <c r="R28" i="1"/>
  <c r="R56" i="1"/>
  <c r="R231" i="1"/>
  <c r="R253" i="1"/>
  <c r="R308" i="1"/>
  <c r="S301" i="1"/>
  <c r="S84" i="1"/>
  <c r="S326" i="1"/>
  <c r="R80" i="1"/>
  <c r="R200" i="1"/>
  <c r="R295" i="1"/>
  <c r="S340" i="1"/>
  <c r="R184" i="1"/>
  <c r="R34" i="1"/>
  <c r="R69" i="1"/>
  <c r="S92" i="1"/>
  <c r="R103" i="1"/>
  <c r="R232" i="1"/>
  <c r="R273" i="1"/>
  <c r="R323" i="1"/>
  <c r="S23" i="1"/>
  <c r="R346" i="1"/>
  <c r="R81" i="1"/>
  <c r="R152" i="1"/>
  <c r="R269" i="1"/>
  <c r="S310" i="1"/>
  <c r="R324" i="1"/>
  <c r="R333" i="1"/>
  <c r="S337" i="1"/>
  <c r="S71" i="1"/>
  <c r="R82" i="1"/>
  <c r="R94" i="1"/>
  <c r="S224" i="1"/>
  <c r="R238" i="1"/>
  <c r="S242" i="1"/>
  <c r="R265" i="1"/>
  <c r="R288" i="1"/>
  <c r="R297" i="1"/>
  <c r="R329" i="1"/>
  <c r="R4" i="1"/>
  <c r="R43" i="1"/>
  <c r="R48" i="1"/>
  <c r="S60" i="1"/>
  <c r="R247" i="1"/>
  <c r="R257" i="1"/>
  <c r="R275" i="1"/>
  <c r="S36" i="1"/>
  <c r="R343" i="1"/>
  <c r="R52" i="1"/>
  <c r="R61" i="1"/>
  <c r="R97" i="1"/>
  <c r="S311" i="1"/>
  <c r="R311" i="1"/>
  <c r="R321" i="1"/>
  <c r="S341" i="1"/>
  <c r="R341" i="1"/>
  <c r="S344" i="1"/>
  <c r="R11" i="1"/>
  <c r="R17" i="1"/>
  <c r="S20" i="1"/>
  <c r="R20" i="1"/>
  <c r="R29" i="1"/>
  <c r="S29" i="1"/>
  <c r="R46" i="1"/>
  <c r="R76" i="1"/>
  <c r="S85" i="1"/>
  <c r="S101" i="1"/>
  <c r="R101" i="1"/>
  <c r="S110" i="1"/>
  <c r="R110" i="1"/>
  <c r="R122" i="1"/>
  <c r="S122" i="1"/>
  <c r="S134" i="1"/>
  <c r="R134" i="1"/>
  <c r="S146" i="1"/>
  <c r="R146" i="1"/>
  <c r="S158" i="1"/>
  <c r="R158" i="1"/>
  <c r="S170" i="1"/>
  <c r="R170" i="1"/>
  <c r="R182" i="1"/>
  <c r="S182" i="1"/>
  <c r="R194" i="1"/>
  <c r="S194" i="1"/>
  <c r="S206" i="1"/>
  <c r="R206" i="1"/>
  <c r="R218" i="1"/>
  <c r="S218" i="1"/>
  <c r="R258" i="1"/>
  <c r="S145" i="1"/>
  <c r="R145" i="1"/>
  <c r="S193" i="1"/>
  <c r="R193" i="1"/>
  <c r="S100" i="1"/>
  <c r="R100" i="1"/>
  <c r="R22" i="1"/>
  <c r="R41" i="1"/>
  <c r="S53" i="1"/>
  <c r="R53" i="1"/>
  <c r="S131" i="1"/>
  <c r="R131" i="1"/>
  <c r="S143" i="1"/>
  <c r="R143" i="1"/>
  <c r="S155" i="1"/>
  <c r="R155" i="1"/>
  <c r="S167" i="1"/>
  <c r="R167" i="1"/>
  <c r="S179" i="1"/>
  <c r="R179" i="1"/>
  <c r="S215" i="1"/>
  <c r="R215" i="1"/>
  <c r="S227" i="1"/>
  <c r="R227" i="1"/>
  <c r="R342" i="1"/>
  <c r="S342" i="1"/>
  <c r="S35" i="1"/>
  <c r="S95" i="1"/>
  <c r="R250" i="1"/>
  <c r="S250" i="1"/>
  <c r="R298" i="1"/>
  <c r="S298" i="1"/>
  <c r="R304" i="1"/>
  <c r="S309" i="1"/>
  <c r="R309" i="1"/>
  <c r="S319" i="1"/>
  <c r="R319" i="1"/>
  <c r="R336" i="1"/>
  <c r="R352" i="1"/>
  <c r="R50" i="1"/>
  <c r="R83" i="1"/>
  <c r="S276" i="1"/>
  <c r="R276" i="1"/>
  <c r="R284" i="1"/>
  <c r="S339" i="1"/>
  <c r="R339" i="1"/>
  <c r="S15" i="1"/>
  <c r="S30" i="1"/>
  <c r="R74" i="1"/>
  <c r="S87" i="1"/>
  <c r="R87" i="1"/>
  <c r="R90" i="1"/>
  <c r="R93" i="1"/>
  <c r="R102" i="1"/>
  <c r="S236" i="1"/>
  <c r="S313" i="1"/>
  <c r="R313" i="1"/>
  <c r="R316" i="1"/>
  <c r="R334" i="1"/>
  <c r="S360" i="1"/>
  <c r="R360" i="1"/>
  <c r="R364" i="1"/>
  <c r="S364" i="1"/>
  <c r="S109" i="1"/>
  <c r="R109" i="1"/>
  <c r="S133" i="1"/>
  <c r="R133" i="1"/>
  <c r="S157" i="1"/>
  <c r="R157" i="1"/>
  <c r="S169" i="1"/>
  <c r="R169" i="1"/>
  <c r="S181" i="1"/>
  <c r="R181" i="1"/>
  <c r="S205" i="1"/>
  <c r="R205" i="1"/>
  <c r="S217" i="1"/>
  <c r="R217" i="1"/>
  <c r="S229" i="1"/>
  <c r="R229" i="1"/>
  <c r="R274" i="1"/>
  <c r="S274" i="1"/>
  <c r="R314" i="1"/>
  <c r="S314" i="1"/>
  <c r="R37" i="1"/>
  <c r="R79" i="1"/>
  <c r="S79" i="1"/>
  <c r="R260" i="1"/>
  <c r="S300" i="1"/>
  <c r="R300" i="1"/>
  <c r="R88" i="1"/>
  <c r="R2" i="1"/>
  <c r="R338" i="1"/>
  <c r="R26" i="1"/>
  <c r="S191" i="1"/>
  <c r="R191" i="1"/>
  <c r="S203" i="1"/>
  <c r="R203" i="1"/>
  <c r="S355" i="1"/>
  <c r="R355" i="1"/>
  <c r="R6" i="1"/>
  <c r="R59" i="1"/>
  <c r="R68" i="1"/>
  <c r="S68" i="1"/>
  <c r="S65" i="1"/>
  <c r="S256" i="1"/>
  <c r="S328" i="1"/>
  <c r="R328" i="1"/>
  <c r="R7" i="1"/>
  <c r="R24" i="1"/>
  <c r="R33" i="1"/>
  <c r="R39" i="1"/>
  <c r="S42" i="1"/>
  <c r="R42" i="1"/>
  <c r="R54" i="1"/>
  <c r="R114" i="1"/>
  <c r="R126" i="1"/>
  <c r="R138" i="1"/>
  <c r="R150" i="1"/>
  <c r="R162" i="1"/>
  <c r="R174" i="1"/>
  <c r="R186" i="1"/>
  <c r="R198" i="1"/>
  <c r="R210" i="1"/>
  <c r="R222" i="1"/>
  <c r="R234" i="1"/>
  <c r="R282" i="1"/>
  <c r="R349" i="1"/>
  <c r="S91" i="1"/>
  <c r="R91" i="1"/>
  <c r="S121" i="1"/>
  <c r="R121" i="1"/>
  <c r="S361" i="1"/>
  <c r="R361" i="1"/>
  <c r="R55" i="1"/>
  <c r="S55" i="1"/>
  <c r="R347" i="1"/>
  <c r="S347" i="1"/>
  <c r="S252" i="1"/>
  <c r="R252" i="1"/>
  <c r="S5" i="1"/>
  <c r="R5" i="1"/>
  <c r="R70" i="1"/>
  <c r="R278" i="1"/>
  <c r="R306" i="1"/>
  <c r="S327" i="1"/>
  <c r="R327" i="1"/>
  <c r="R44" i="1"/>
  <c r="S44" i="1"/>
  <c r="S119" i="1"/>
  <c r="R119" i="1"/>
  <c r="S77" i="1"/>
  <c r="R77" i="1"/>
  <c r="R9" i="1"/>
  <c r="S18" i="1"/>
  <c r="R18" i="1"/>
  <c r="R57" i="1"/>
  <c r="S66" i="1"/>
  <c r="R66" i="1"/>
  <c r="S117" i="1"/>
  <c r="R117" i="1"/>
  <c r="S129" i="1"/>
  <c r="R129" i="1"/>
  <c r="S141" i="1"/>
  <c r="R141" i="1"/>
  <c r="S153" i="1"/>
  <c r="R153" i="1"/>
  <c r="S165" i="1"/>
  <c r="R165" i="1"/>
  <c r="S177" i="1"/>
  <c r="R177" i="1"/>
  <c r="S189" i="1"/>
  <c r="R189" i="1"/>
  <c r="S201" i="1"/>
  <c r="R201" i="1"/>
  <c r="S213" i="1"/>
  <c r="R213" i="1"/>
  <c r="S225" i="1"/>
  <c r="R225" i="1"/>
  <c r="R254" i="1"/>
  <c r="R302" i="1"/>
  <c r="S332" i="1"/>
  <c r="R332" i="1"/>
  <c r="S357" i="1"/>
  <c r="R357" i="1"/>
  <c r="S139" i="1"/>
  <c r="R139" i="1"/>
  <c r="S199" i="1"/>
  <c r="R199" i="1"/>
  <c r="S113" i="1"/>
  <c r="R113" i="1"/>
  <c r="R120" i="1"/>
  <c r="S125" i="1"/>
  <c r="R125" i="1"/>
  <c r="R132" i="1"/>
  <c r="S137" i="1"/>
  <c r="R137" i="1"/>
  <c r="R144" i="1"/>
  <c r="S149" i="1"/>
  <c r="R149" i="1"/>
  <c r="R156" i="1"/>
  <c r="S161" i="1"/>
  <c r="R161" i="1"/>
  <c r="R168" i="1"/>
  <c r="S173" i="1"/>
  <c r="R173" i="1"/>
  <c r="R180" i="1"/>
  <c r="S185" i="1"/>
  <c r="R185" i="1"/>
  <c r="R192" i="1"/>
  <c r="S197" i="1"/>
  <c r="R197" i="1"/>
  <c r="R204" i="1"/>
  <c r="S209" i="1"/>
  <c r="R209" i="1"/>
  <c r="R216" i="1"/>
  <c r="S221" i="1"/>
  <c r="R221" i="1"/>
  <c r="R228" i="1"/>
  <c r="R248" i="1"/>
  <c r="R272" i="1"/>
  <c r="R296" i="1"/>
  <c r="S317" i="1"/>
  <c r="R317" i="1"/>
  <c r="S330" i="1"/>
  <c r="R330" i="1"/>
  <c r="R27" i="1"/>
  <c r="R246" i="1"/>
  <c r="R270" i="1"/>
  <c r="R294" i="1"/>
  <c r="S305" i="1"/>
  <c r="R305" i="1"/>
  <c r="R312" i="1"/>
  <c r="R356" i="1"/>
  <c r="S115" i="1"/>
  <c r="R115" i="1"/>
  <c r="S127" i="1"/>
  <c r="R127" i="1"/>
  <c r="S223" i="1"/>
  <c r="R223" i="1"/>
  <c r="S98" i="1"/>
  <c r="R98" i="1"/>
  <c r="S307" i="1"/>
  <c r="R307" i="1"/>
  <c r="R3" i="1"/>
  <c r="R16" i="1"/>
  <c r="R64" i="1"/>
  <c r="R86" i="1"/>
  <c r="R345" i="1"/>
  <c r="R14" i="1"/>
  <c r="R25" i="1"/>
  <c r="R38" i="1"/>
  <c r="S40" i="1"/>
  <c r="R49" i="1"/>
  <c r="S51" i="1"/>
  <c r="R62" i="1"/>
  <c r="R73" i="1"/>
  <c r="S75" i="1"/>
  <c r="S111" i="1"/>
  <c r="R111" i="1"/>
  <c r="R118" i="1"/>
  <c r="S123" i="1"/>
  <c r="R123" i="1"/>
  <c r="R130" i="1"/>
  <c r="S135" i="1"/>
  <c r="R135" i="1"/>
  <c r="R142" i="1"/>
  <c r="S147" i="1"/>
  <c r="R147" i="1"/>
  <c r="R154" i="1"/>
  <c r="S159" i="1"/>
  <c r="R159" i="1"/>
  <c r="R166" i="1"/>
  <c r="S171" i="1"/>
  <c r="R171" i="1"/>
  <c r="R178" i="1"/>
  <c r="S183" i="1"/>
  <c r="R183" i="1"/>
  <c r="R190" i="1"/>
  <c r="S195" i="1"/>
  <c r="R195" i="1"/>
  <c r="R202" i="1"/>
  <c r="S207" i="1"/>
  <c r="R207" i="1"/>
  <c r="R214" i="1"/>
  <c r="S219" i="1"/>
  <c r="R219" i="1"/>
  <c r="R226" i="1"/>
  <c r="R244" i="1"/>
  <c r="R268" i="1"/>
  <c r="R292" i="1"/>
  <c r="R320" i="1"/>
  <c r="R362" i="1"/>
  <c r="S151" i="1"/>
  <c r="R151" i="1"/>
  <c r="S163" i="1"/>
  <c r="R163" i="1"/>
  <c r="S175" i="1"/>
  <c r="R175" i="1"/>
  <c r="S187" i="1"/>
  <c r="R187" i="1"/>
  <c r="S211" i="1"/>
  <c r="R211" i="1"/>
  <c r="R89" i="1"/>
  <c r="S315" i="1"/>
  <c r="R315" i="1"/>
  <c r="S353" i="1"/>
  <c r="R353" i="1"/>
  <c r="F6" i="2" l="1"/>
  <c r="F5" i="2"/>
  <c r="F7" i="2"/>
  <c r="F8" i="2"/>
  <c r="F10" i="2"/>
  <c r="F11" i="2"/>
  <c r="R366" i="1"/>
</calcChain>
</file>

<file path=xl/sharedStrings.xml><?xml version="1.0" encoding="utf-8"?>
<sst xmlns="http://schemas.openxmlformats.org/spreadsheetml/2006/main" count="26" uniqueCount="26">
  <si>
    <t>FECHA</t>
  </si>
  <si>
    <t>DÍA</t>
  </si>
  <si>
    <t>AGRO
EFECTIVO SAI</t>
  </si>
  <si>
    <t>NÚMERO
DE FACTURAS</t>
  </si>
  <si>
    <t>TARJETA
(TODO)</t>
  </si>
  <si>
    <t>NÚMERO
DE FACTURAS2</t>
  </si>
  <si>
    <t>TRANSFERENCIA
(TODO)</t>
  </si>
  <si>
    <t>NÚMERO
DE FACTURAS3</t>
  </si>
  <si>
    <t>FERR.
EFECTIVO SAI</t>
  </si>
  <si>
    <t>NÚMERO
DE FACTURAS4</t>
  </si>
  <si>
    <t>FERR. OTROS
(NO SISTEMA)</t>
  </si>
  <si>
    <t>NÚMERO
DE FACTURAS5</t>
  </si>
  <si>
    <t>TOTAL GASTOS</t>
  </si>
  <si>
    <t>VENTAS SAI
TOTAL</t>
  </si>
  <si>
    <t>NÚMERO
DE FACTURAS TOTALES SAI</t>
  </si>
  <si>
    <t>VENTAS REALES
TOTAL</t>
  </si>
  <si>
    <t>NÚMERO
DE FACTURAS6</t>
  </si>
  <si>
    <t>% FUERA DE SISTEMA 
(# FACTURAS)</t>
  </si>
  <si>
    <t>% FUERA
SISTEMA (MONTO)</t>
  </si>
  <si>
    <t>Mes</t>
  </si>
  <si>
    <t>Meses</t>
  </si>
  <si>
    <t>Cantidad SAI</t>
  </si>
  <si>
    <t>Cantidad Manuales</t>
  </si>
  <si>
    <t>Total de facturas</t>
  </si>
  <si>
    <t>%Porcentaje de facturas fuera del sistema</t>
  </si>
  <si>
    <t>Cambios en los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</si>
</sst>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1" xfId="2" applyFont="1" applyFill="1" applyBorder="1"/>
    <xf numFmtId="9" fontId="0" fillId="0" borderId="1" xfId="3" applyFont="1" applyFill="1" applyBorder="1"/>
    <xf numFmtId="164" fontId="0" fillId="0" borderId="3" xfId="2" applyFont="1" applyFill="1" applyBorder="1"/>
    <xf numFmtId="9" fontId="0" fillId="0" borderId="4" xfId="3" applyFont="1" applyFill="1" applyBorder="1"/>
    <xf numFmtId="164" fontId="0" fillId="0" borderId="4" xfId="2" applyFont="1" applyFill="1" applyBorder="1"/>
    <xf numFmtId="14" fontId="0" fillId="0" borderId="1" xfId="0" applyNumberFormat="1" applyBorder="1"/>
    <xf numFmtId="0" fontId="0" fillId="0" borderId="1" xfId="0" applyBorder="1"/>
    <xf numFmtId="165" fontId="2" fillId="0" borderId="1" xfId="1" applyNumberFormat="1" applyFont="1" applyFill="1" applyBorder="1" applyAlignment="1">
      <alignment horizontal="right" vertical="center"/>
    </xf>
    <xf numFmtId="9" fontId="2" fillId="0" borderId="1" xfId="3" applyFont="1" applyFill="1" applyBorder="1" applyAlignment="1">
      <alignment horizontal="right" vertical="center"/>
    </xf>
    <xf numFmtId="14" fontId="0" fillId="0" borderId="2" xfId="0" applyNumberFormat="1" applyBorder="1"/>
    <xf numFmtId="0" fontId="0" fillId="0" borderId="3" xfId="0" applyBorder="1"/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2" applyFont="1" applyFill="1" applyBorder="1" applyAlignment="1">
      <alignment horizontal="right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right" vertical="center"/>
    </xf>
    <xf numFmtId="165" fontId="2" fillId="0" borderId="3" xfId="1" applyNumberFormat="1" applyFont="1" applyFill="1" applyBorder="1" applyAlignment="1">
      <alignment horizontal="right" vertical="center"/>
    </xf>
    <xf numFmtId="9" fontId="2" fillId="0" borderId="4" xfId="3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5" xfId="2" applyFont="1" applyFill="1" applyBorder="1" applyAlignment="1">
      <alignment horizontal="center" vertical="center" wrapText="1"/>
    </xf>
    <xf numFmtId="9" fontId="3" fillId="0" borderId="5" xfId="3" applyFont="1" applyFill="1" applyBorder="1" applyAlignment="1">
      <alignment horizontal="center" vertical="center" wrapText="1"/>
    </xf>
    <xf numFmtId="9" fontId="0" fillId="0" borderId="0" xfId="3" applyFont="1"/>
    <xf numFmtId="14" fontId="0" fillId="0" borderId="6" xfId="0" applyNumberFormat="1" applyBorder="1"/>
    <xf numFmtId="0" fontId="0" fillId="0" borderId="7" xfId="0" applyBorder="1"/>
    <xf numFmtId="164" fontId="0" fillId="0" borderId="7" xfId="2" applyFont="1" applyFill="1" applyBorder="1"/>
    <xf numFmtId="165" fontId="2" fillId="0" borderId="8" xfId="1" applyNumberFormat="1" applyFont="1" applyFill="1" applyBorder="1" applyAlignment="1">
      <alignment horizontal="right" vertical="center"/>
    </xf>
    <xf numFmtId="9" fontId="0" fillId="0" borderId="9" xfId="3" applyFont="1" applyFill="1" applyBorder="1"/>
    <xf numFmtId="10" fontId="2" fillId="0" borderId="8" xfId="3" applyNumberFormat="1" applyFont="1" applyFill="1" applyBorder="1" applyAlignment="1">
      <alignment horizontal="right" vertical="center"/>
    </xf>
    <xf numFmtId="10" fontId="0" fillId="0" borderId="0" xfId="3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5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numFmt numFmtId="19" formatCode="dd/mm/yyyy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BDBDBD"/>
        </top>
      </border>
    </dxf>
    <dxf>
      <border outline="0"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IEMBRE 1"/>
      <sheetName val="NOVIEMBRE 2"/>
      <sheetName val="NOVIEMBRE 3"/>
      <sheetName val="NOVIEMBRE 4"/>
      <sheetName val="NOVIEMBRE 5"/>
      <sheetName val="NOVIEMBRE 6"/>
      <sheetName val="NOVIEMBRE 7"/>
      <sheetName val="NOVIEMBRE 8"/>
      <sheetName val="NOVIEMBRE 9"/>
      <sheetName val="NOVIEMBRE 10"/>
      <sheetName val="NOVIEMBRE 11"/>
      <sheetName val="NOVIEMBRE 12"/>
      <sheetName val="NOVIEMBRE 13"/>
      <sheetName val="NOVIEMBRE 14"/>
      <sheetName val="NOVIEMBRE 15"/>
      <sheetName val="NOVIEMBRE 16"/>
      <sheetName val="NOVIEMBRE 17"/>
      <sheetName val="NOVIEMBRE 18"/>
      <sheetName val="NOVIEMBRE 19"/>
      <sheetName val="NOVIEMBRE 20"/>
      <sheetName val="NOVIEMBRE 21"/>
      <sheetName val="NOVIEMBRE 22"/>
      <sheetName val="NOVIEMBRE 23"/>
      <sheetName val="NOVIEMBRE 24"/>
      <sheetName val="NOVIEMBRE 25"/>
      <sheetName val="NOVIEMBRE 26"/>
      <sheetName val="NOVIEMBRE 27"/>
      <sheetName val="NOVIEMBRE 28"/>
      <sheetName val="NOVIEMBRE 29"/>
      <sheetName val="NOVIEMBRE 30"/>
    </sheetNames>
    <sheetDataSet>
      <sheetData sheetId="0" refreshError="1">
        <row r="6">
          <cell r="D6">
            <v>88500</v>
          </cell>
        </row>
        <row r="111">
          <cell r="D111">
            <v>7617800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40BF0-E149-45DC-919C-51E872E4A03B}" name="Tabla1" displayName="Tabla1" ref="A1:T366" totalsRowCount="1" headerRowDxfId="54" headerRowBorderDxfId="53" tableBorderDxfId="52">
  <autoFilter ref="A1:T365" xr:uid="{79B40BF0-E149-45DC-919C-51E872E4A03B}"/>
  <tableColumns count="20">
    <tableColumn id="1" xr3:uid="{E27B9AF8-FD4F-4084-B029-FBC9A665DD72}" name="FECHA" dataDxfId="51" totalsRowDxfId="50"/>
    <tableColumn id="2" xr3:uid="{96CBCF00-F06E-4D92-BC83-802AC9043E4B}" name="DÍA" totalsRowFunction="custom" dataDxfId="49" totalsRowDxfId="48">
      <totalsRowFormula>SUM(Tabla1[DÍA])</totalsRowFormula>
    </tableColumn>
    <tableColumn id="20" xr3:uid="{4A16591C-EE2F-4BAC-88C7-7FE9DAF77976}" name="Mes" dataDxfId="47" totalsRowDxfId="46">
      <calculatedColumnFormula>MONTH(Tabla1[[#This Row],[FECHA]])</calculatedColumnFormula>
    </tableColumn>
    <tableColumn id="3" xr3:uid="{BAA54AB4-F39E-4459-B07B-9DCF8449A407}" name="AGRO_x000a_EFECTIVO SAI" dataDxfId="45" totalsRowDxfId="44" dataCellStyle="Moneda" totalsRowCellStyle="Moneda"/>
    <tableColumn id="4" xr3:uid="{E1D8D5CD-EE13-4C38-B4F3-1DCDBA45B447}" name="NÚMERO_x000a_DE FACTURAS" totalsRowFunction="sum" dataDxfId="43" totalsRowDxfId="42"/>
    <tableColumn id="5" xr3:uid="{42B9F2DB-99F1-4251-95BF-EDCA2028D5C6}" name="TARJETA_x000a_(TODO)" dataDxfId="41" totalsRowDxfId="40" dataCellStyle="Moneda" totalsRowCellStyle="Moneda"/>
    <tableColumn id="6" xr3:uid="{48C1FD22-C592-437E-BD0F-72B12BE00D8F}" name="NÚMERO_x000a_DE FACTURAS2" totalsRowFunction="sum" dataDxfId="39" totalsRowDxfId="38"/>
    <tableColumn id="7" xr3:uid="{7265D51D-0451-41D2-8063-503F3B4752B8}" name="TRANSFERENCIA_x000a_(TODO)" dataDxfId="37" totalsRowDxfId="36" dataCellStyle="Moneda" totalsRowCellStyle="Moneda"/>
    <tableColumn id="8" xr3:uid="{EEB23A6D-BF06-43BD-88AB-451A6BE0E635}" name="NÚMERO_x000a_DE FACTURAS3" totalsRowFunction="sum" dataDxfId="35" totalsRowDxfId="34"/>
    <tableColumn id="9" xr3:uid="{93F3437C-C524-43C1-8E82-178DB670FF5F}" name="FERR._x000a_EFECTIVO SAI" dataDxfId="33" totalsRowDxfId="32" dataCellStyle="Moneda" totalsRowCellStyle="Moneda"/>
    <tableColumn id="10" xr3:uid="{3C442CA8-7BEB-46E0-9077-2367AB68F62F}" name="NÚMERO_x000a_DE FACTURAS4" totalsRowFunction="sum" dataDxfId="31" totalsRowDxfId="30"/>
    <tableColumn id="11" xr3:uid="{57212FC2-47FC-4305-8A50-AE4549E5AB1D}" name="FERR. OTROS_x000a_(NO SISTEMA)" dataDxfId="29" totalsRowDxfId="28" dataCellStyle="Moneda" totalsRowCellStyle="Moneda"/>
    <tableColumn id="12" xr3:uid="{160544DC-E823-413A-86B6-C417479E3CA6}" name="NÚMERO_x000a_DE FACTURAS5" totalsRowFunction="sum" dataDxfId="27" totalsRowDxfId="26"/>
    <tableColumn id="13" xr3:uid="{D5E7F0BB-C3E8-4747-AB71-D77A30CD2603}" name="TOTAL GASTOS" dataDxfId="25" totalsRowDxfId="24" dataCellStyle="Moneda" totalsRowCellStyle="Moneda"/>
    <tableColumn id="14" xr3:uid="{347CFD8C-7D4D-46A8-854F-92F21B829581}" name="VENTAS SAI_x000a_TOTAL" dataDxfId="23" totalsRowDxfId="22" dataCellStyle="Moneda" totalsRowCellStyle="Moneda">
      <calculatedColumnFormula>D2+F2+H2+J2</calculatedColumnFormula>
    </tableColumn>
    <tableColumn id="15" xr3:uid="{D11F61A7-3254-455E-A8E6-AB39509B3C5E}" name="NÚMERO_x000a_DE FACTURAS TOTALES SAI" totalsRowFunction="sum" dataDxfId="21" totalsRowDxfId="20" dataCellStyle="Millares" totalsRowCellStyle="Millares">
      <calculatedColumnFormula>E2+G2+I2+K2</calculatedColumnFormula>
    </tableColumn>
    <tableColumn id="16" xr3:uid="{EECBF8C9-0A2B-4C33-8FE9-727281E3B0CD}" name="VENTAS REALES_x000a_TOTAL" dataDxfId="19" totalsRowDxfId="18" dataCellStyle="Moneda" totalsRowCellStyle="Moneda">
      <calculatedColumnFormula>O2+L2</calculatedColumnFormula>
    </tableColumn>
    <tableColumn id="17" xr3:uid="{B88635C1-8ED6-4527-B8AB-C01684A20537}" name="NÚMERO_x000a_DE FACTURAS6" totalsRowFunction="sum" dataDxfId="17" totalsRowDxfId="16" dataCellStyle="Millares" totalsRowCellStyle="Millares">
      <calculatedColumnFormula>P2+M2</calculatedColumnFormula>
    </tableColumn>
    <tableColumn id="18" xr3:uid="{225B2172-1F27-4705-9C88-8F9C79DD5DE3}" name="% FUERA DE SISTEMA _x000a_(# FACTURAS)" totalsRowFunction="custom" dataDxfId="15" totalsRowDxfId="14" dataCellStyle="Porcentaje" totalsRowCellStyle="Porcentaje">
      <calculatedColumnFormula>M2/P2</calculatedColumnFormula>
      <totalsRowFormula>Tabla1[[#Totals],[NÚMERO
DE FACTURAS5]]/Tabla1[[#Totals],[NÚMERO
DE FACTURAS TOTALES SAI]]</totalsRowFormula>
    </tableColumn>
    <tableColumn id="19" xr3:uid="{35497387-E70B-4E1A-AAB8-2273C29448DC}" name="% FUERA_x000a_SISTEMA (MONTO)" dataDxfId="13" totalsRowDxfId="12" dataCellStyle="Porcentaje" totalsRowCellStyle="Porcentaje">
      <calculatedColumnFormula>IFERROR(L2/Q2,0)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19D37B-BF68-4ABE-B1BF-6A12446BAB28}" name="Tabla2" displayName="Tabla2" ref="A1:F14" totalsRowCount="1" headerRowDxfId="11">
  <autoFilter ref="A1:F13" xr:uid="{4619D37B-BF68-4ABE-B1BF-6A12446BAB28}"/>
  <tableColumns count="6">
    <tableColumn id="1" xr3:uid="{DBE3C0CE-92B0-4AA2-A155-D3D5076D90C6}" name="Meses"/>
    <tableColumn id="2" xr3:uid="{C6A24000-8D6E-44EB-B621-3DD7094210C6}" name="Cantidad SAI" totalsRowFunction="custom" dataDxfId="10" totalsRowDxfId="9">
      <calculatedColumnFormula>SUMIF(Tabla1[Mes],Tabla2[[#This Row],[Meses]],Tabla1[NÚMERO
DE FACTURAS TOTALES SAI])</calculatedColumnFormula>
      <totalsRowFormula>SUM(Tabla2[Cantidad SAI])</totalsRowFormula>
    </tableColumn>
    <tableColumn id="3" xr3:uid="{7641245D-DBD0-465E-965B-D10DC845B4B1}" name="Cantidad Manuales" totalsRowFunction="sum" dataDxfId="8" totalsRowDxfId="7">
      <calculatedColumnFormula>SUMIF(Tabla1[Mes],Tabla2[[#This Row],[Meses]],Tabla1[NÚMERO
DE FACTURAS5])</calculatedColumnFormula>
    </tableColumn>
    <tableColumn id="4" xr3:uid="{8248CF88-E510-426C-AAE8-F6D76EAB5EEA}" name="Total de facturas" totalsRowFunction="sum" dataDxfId="6" totalsRowDxfId="5">
      <calculatedColumnFormula>(Tabla2[[#This Row],[Cantidad SAI]]+Tabla2[[#This Row],[Cantidad Manuales]])</calculatedColumnFormula>
    </tableColumn>
    <tableColumn id="5" xr3:uid="{6E187B7C-8F5C-4BFE-AEC6-440CB13C5969}" name="%Porcentaje de facturas fuera del sistema" totalsRowFunction="custom" dataDxfId="4" totalsRowDxfId="3" dataCellStyle="Porcentaje" totalsRowCellStyle="Porcentaje">
      <calculatedColumnFormula>Tabla2[[#This Row],[Cantidad Manuales]]/Tabla2[[#This Row],[Total de facturas]]</calculatedColumnFormula>
      <totalsRowFormula>Tabla2[[#Totals],[Cantidad Manuales]]/Tabla2[[#Totals],[Total de facturas]]</totalsRowFormula>
    </tableColumn>
    <tableColumn id="6" xr3:uid="{11B75331-6E1D-47F0-A025-E10B5EEE3402}" name="Cambios en los meses" dataDxfId="2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A546-1CFD-4BB3-B30B-1FF510B38C88}">
  <dimension ref="A1:T371"/>
  <sheetViews>
    <sheetView tabSelected="1" topLeftCell="F354" workbookViewId="0">
      <selection activeCell="I372" sqref="I372"/>
    </sheetView>
  </sheetViews>
  <sheetFormatPr baseColWidth="10" defaultRowHeight="14.4" x14ac:dyDescent="0.3"/>
  <cols>
    <col min="4" max="4" width="14.33203125" bestFit="1" customWidth="1"/>
    <col min="5" max="5" width="22.6640625" customWidth="1"/>
    <col min="6" max="6" width="15.33203125" bestFit="1" customWidth="1"/>
    <col min="8" max="8" width="15.33203125" bestFit="1" customWidth="1"/>
    <col min="10" max="10" width="15.33203125" bestFit="1" customWidth="1"/>
    <col min="12" max="12" width="15.33203125" bestFit="1" customWidth="1"/>
    <col min="14" max="14" width="15.5546875" customWidth="1"/>
    <col min="15" max="15" width="15.33203125" bestFit="1" customWidth="1"/>
    <col min="17" max="17" width="15.33203125" bestFit="1" customWidth="1"/>
  </cols>
  <sheetData>
    <row r="1" spans="1:20" ht="55.2" x14ac:dyDescent="0.3">
      <c r="A1" s="20" t="s">
        <v>0</v>
      </c>
      <c r="B1" s="20" t="s">
        <v>1</v>
      </c>
      <c r="C1" s="20" t="s">
        <v>19</v>
      </c>
      <c r="D1" s="21" t="s">
        <v>2</v>
      </c>
      <c r="E1" s="20" t="s">
        <v>3</v>
      </c>
      <c r="F1" s="21" t="s">
        <v>4</v>
      </c>
      <c r="G1" s="20" t="s">
        <v>5</v>
      </c>
      <c r="H1" s="21" t="s">
        <v>6</v>
      </c>
      <c r="I1" s="20" t="s">
        <v>7</v>
      </c>
      <c r="J1" s="21" t="s">
        <v>8</v>
      </c>
      <c r="K1" s="20" t="s">
        <v>9</v>
      </c>
      <c r="L1" s="21" t="s">
        <v>10</v>
      </c>
      <c r="M1" s="20" t="s">
        <v>11</v>
      </c>
      <c r="N1" s="21" t="s">
        <v>12</v>
      </c>
      <c r="O1" s="21" t="s">
        <v>13</v>
      </c>
      <c r="P1" s="20" t="s">
        <v>14</v>
      </c>
      <c r="Q1" s="21" t="s">
        <v>15</v>
      </c>
      <c r="R1" s="20" t="s">
        <v>16</v>
      </c>
      <c r="S1" s="20" t="s">
        <v>17</v>
      </c>
      <c r="T1" s="22" t="s">
        <v>18</v>
      </c>
    </row>
    <row r="2" spans="1:20" x14ac:dyDescent="0.3">
      <c r="A2" s="6">
        <v>45659</v>
      </c>
      <c r="B2" s="7">
        <v>2</v>
      </c>
      <c r="C2" s="7">
        <f>MONTH(Tabla1[[#This Row],[FECHA]])</f>
        <v>1</v>
      </c>
      <c r="D2" s="1">
        <v>1835800</v>
      </c>
      <c r="E2" s="7">
        <v>31</v>
      </c>
      <c r="F2" s="1">
        <v>4578560</v>
      </c>
      <c r="G2" s="7">
        <v>20</v>
      </c>
      <c r="H2" s="1">
        <v>2743300</v>
      </c>
      <c r="I2" s="7">
        <v>8</v>
      </c>
      <c r="J2" s="1">
        <v>7667600</v>
      </c>
      <c r="K2" s="7">
        <v>31</v>
      </c>
      <c r="L2" s="1">
        <v>7361750</v>
      </c>
      <c r="M2" s="7">
        <v>53</v>
      </c>
      <c r="N2" s="1">
        <v>3937200</v>
      </c>
      <c r="O2" s="1">
        <f t="shared" ref="O2:O64" si="0">D2+F2+H2+J2</f>
        <v>16825260</v>
      </c>
      <c r="P2" s="8">
        <f t="shared" ref="P2:P64" si="1">E2+G2+I2+K2</f>
        <v>90</v>
      </c>
      <c r="Q2" s="1">
        <f t="shared" ref="Q2:Q64" si="2">O2+L2</f>
        <v>24187010</v>
      </c>
      <c r="R2" s="8">
        <f t="shared" ref="R2:R64" si="3">P2+M2</f>
        <v>143</v>
      </c>
      <c r="S2" s="9">
        <f>M2/P2</f>
        <v>0.58888888888888891</v>
      </c>
      <c r="T2" s="2">
        <f>IFERROR(L2/Q2,0)</f>
        <v>0.30436792311244754</v>
      </c>
    </row>
    <row r="3" spans="1:20" x14ac:dyDescent="0.3">
      <c r="A3" s="6">
        <v>45660</v>
      </c>
      <c r="B3" s="7">
        <v>3</v>
      </c>
      <c r="C3" s="7">
        <f>MONTH(Tabla1[[#This Row],[FECHA]])</f>
        <v>1</v>
      </c>
      <c r="D3" s="1">
        <v>3114200</v>
      </c>
      <c r="E3" s="7">
        <v>35</v>
      </c>
      <c r="F3" s="1">
        <v>3416050</v>
      </c>
      <c r="G3" s="7">
        <v>18</v>
      </c>
      <c r="H3" s="1">
        <v>6649800</v>
      </c>
      <c r="I3" s="7">
        <v>12</v>
      </c>
      <c r="J3" s="1">
        <v>2478600</v>
      </c>
      <c r="K3" s="7">
        <v>18</v>
      </c>
      <c r="L3" s="1">
        <v>5097750</v>
      </c>
      <c r="M3" s="7">
        <v>51</v>
      </c>
      <c r="N3" s="1">
        <v>1387200</v>
      </c>
      <c r="O3" s="1">
        <f t="shared" si="0"/>
        <v>15658650</v>
      </c>
      <c r="P3" s="8">
        <f t="shared" si="1"/>
        <v>83</v>
      </c>
      <c r="Q3" s="1">
        <f t="shared" si="2"/>
        <v>20756400</v>
      </c>
      <c r="R3" s="8">
        <f t="shared" si="3"/>
        <v>134</v>
      </c>
      <c r="S3" s="9">
        <f t="shared" ref="S3:S30" si="4">M3/P3</f>
        <v>0.61445783132530118</v>
      </c>
      <c r="T3" s="2">
        <f t="shared" ref="T3:T64" si="5">IFERROR(L3/Q3,0)</f>
        <v>0.24559894779441521</v>
      </c>
    </row>
    <row r="4" spans="1:20" x14ac:dyDescent="0.3">
      <c r="A4" s="6">
        <v>45661</v>
      </c>
      <c r="B4" s="7">
        <v>4</v>
      </c>
      <c r="C4" s="7">
        <f>MONTH(Tabla1[[#This Row],[FECHA]])</f>
        <v>1</v>
      </c>
      <c r="D4" s="1">
        <v>2035900</v>
      </c>
      <c r="E4" s="7">
        <v>35</v>
      </c>
      <c r="F4" s="1">
        <v>4666600</v>
      </c>
      <c r="G4" s="7">
        <v>29</v>
      </c>
      <c r="H4" s="1">
        <v>4853200</v>
      </c>
      <c r="I4" s="7">
        <v>13</v>
      </c>
      <c r="J4" s="1">
        <v>3149500</v>
      </c>
      <c r="K4" s="7">
        <v>30</v>
      </c>
      <c r="L4" s="1">
        <v>6109600</v>
      </c>
      <c r="M4" s="7">
        <v>55</v>
      </c>
      <c r="N4" s="1">
        <v>9389650</v>
      </c>
      <c r="O4" s="1">
        <f t="shared" si="0"/>
        <v>14705200</v>
      </c>
      <c r="P4" s="8">
        <f t="shared" si="1"/>
        <v>107</v>
      </c>
      <c r="Q4" s="1">
        <f t="shared" si="2"/>
        <v>20814800</v>
      </c>
      <c r="R4" s="8">
        <f t="shared" si="3"/>
        <v>162</v>
      </c>
      <c r="S4" s="9">
        <f t="shared" si="4"/>
        <v>0.51401869158878499</v>
      </c>
      <c r="T4" s="2">
        <f t="shared" si="5"/>
        <v>0.2935219170974499</v>
      </c>
    </row>
    <row r="5" spans="1:20" x14ac:dyDescent="0.3">
      <c r="A5" s="6">
        <v>45662</v>
      </c>
      <c r="B5" s="7">
        <v>5</v>
      </c>
      <c r="C5" s="7">
        <f>MONTH(Tabla1[[#This Row],[FECHA]])</f>
        <v>1</v>
      </c>
      <c r="D5" s="1">
        <v>1669100</v>
      </c>
      <c r="E5" s="7">
        <v>30</v>
      </c>
      <c r="F5" s="1">
        <v>1277400</v>
      </c>
      <c r="G5" s="7">
        <v>3</v>
      </c>
      <c r="H5" s="1">
        <v>1255600</v>
      </c>
      <c r="I5" s="7">
        <v>1</v>
      </c>
      <c r="J5" s="1">
        <v>1278900</v>
      </c>
      <c r="K5" s="7">
        <v>8</v>
      </c>
      <c r="L5" s="1">
        <v>601900</v>
      </c>
      <c r="M5" s="7">
        <v>29</v>
      </c>
      <c r="N5" s="1">
        <v>457700</v>
      </c>
      <c r="O5" s="1">
        <f t="shared" si="0"/>
        <v>5481000</v>
      </c>
      <c r="P5" s="8">
        <f t="shared" si="1"/>
        <v>42</v>
      </c>
      <c r="Q5" s="1">
        <f t="shared" si="2"/>
        <v>6082900</v>
      </c>
      <c r="R5" s="8">
        <f t="shared" si="3"/>
        <v>71</v>
      </c>
      <c r="S5" s="9">
        <f t="shared" si="4"/>
        <v>0.69047619047619047</v>
      </c>
      <c r="T5" s="2">
        <f t="shared" si="5"/>
        <v>9.8949514211971262E-2</v>
      </c>
    </row>
    <row r="6" spans="1:20" x14ac:dyDescent="0.3">
      <c r="A6" s="6">
        <v>45663</v>
      </c>
      <c r="B6" s="7">
        <v>6</v>
      </c>
      <c r="C6" s="7">
        <f>MONTH(Tabla1[[#This Row],[FECHA]])</f>
        <v>1</v>
      </c>
      <c r="D6" s="1">
        <v>767900</v>
      </c>
      <c r="E6" s="7">
        <v>13</v>
      </c>
      <c r="F6" s="1">
        <v>1363500</v>
      </c>
      <c r="G6" s="7">
        <v>5</v>
      </c>
      <c r="H6" s="1">
        <v>1980600</v>
      </c>
      <c r="I6" s="7">
        <v>8</v>
      </c>
      <c r="J6" s="1">
        <v>3343050</v>
      </c>
      <c r="K6" s="7">
        <v>17</v>
      </c>
      <c r="L6" s="1">
        <v>560000</v>
      </c>
      <c r="M6" s="7">
        <v>11</v>
      </c>
      <c r="N6" s="1">
        <v>852100</v>
      </c>
      <c r="O6" s="1">
        <f t="shared" si="0"/>
        <v>7455050</v>
      </c>
      <c r="P6" s="8">
        <f t="shared" si="1"/>
        <v>43</v>
      </c>
      <c r="Q6" s="1">
        <f t="shared" si="2"/>
        <v>8015050</v>
      </c>
      <c r="R6" s="8">
        <f t="shared" si="3"/>
        <v>54</v>
      </c>
      <c r="S6" s="9">
        <f t="shared" si="4"/>
        <v>0.2558139534883721</v>
      </c>
      <c r="T6" s="2">
        <f t="shared" si="5"/>
        <v>6.9868559771929059E-2</v>
      </c>
    </row>
    <row r="7" spans="1:20" x14ac:dyDescent="0.3">
      <c r="A7" s="6">
        <v>45664</v>
      </c>
      <c r="B7" s="7">
        <v>7</v>
      </c>
      <c r="C7" s="7">
        <f>MONTH(Tabla1[[#This Row],[FECHA]])</f>
        <v>1</v>
      </c>
      <c r="D7" s="1">
        <v>2764400</v>
      </c>
      <c r="E7" s="7">
        <v>44</v>
      </c>
      <c r="F7" s="1">
        <v>3393700</v>
      </c>
      <c r="G7" s="7">
        <v>10</v>
      </c>
      <c r="H7" s="1">
        <v>7309700</v>
      </c>
      <c r="I7" s="7">
        <v>14</v>
      </c>
      <c r="J7" s="1">
        <v>4922100</v>
      </c>
      <c r="K7" s="7">
        <v>22</v>
      </c>
      <c r="L7" s="1">
        <v>5082200</v>
      </c>
      <c r="M7" s="7">
        <v>44</v>
      </c>
      <c r="N7" s="1">
        <v>9684550</v>
      </c>
      <c r="O7" s="1">
        <f t="shared" si="0"/>
        <v>18389900</v>
      </c>
      <c r="P7" s="8">
        <f t="shared" si="1"/>
        <v>90</v>
      </c>
      <c r="Q7" s="1">
        <f t="shared" si="2"/>
        <v>23472100</v>
      </c>
      <c r="R7" s="8">
        <f t="shared" si="3"/>
        <v>134</v>
      </c>
      <c r="S7" s="9">
        <f>M7/P7</f>
        <v>0.48888888888888887</v>
      </c>
      <c r="T7" s="2">
        <f t="shared" si="5"/>
        <v>0.21652089075966785</v>
      </c>
    </row>
    <row r="8" spans="1:20" x14ac:dyDescent="0.3">
      <c r="A8" s="6">
        <v>45665</v>
      </c>
      <c r="B8" s="7">
        <v>8</v>
      </c>
      <c r="C8" s="7">
        <f>MONTH(Tabla1[[#This Row],[FECHA]])</f>
        <v>1</v>
      </c>
      <c r="D8" s="1">
        <v>1602100</v>
      </c>
      <c r="E8" s="7">
        <v>30</v>
      </c>
      <c r="F8" s="1">
        <v>3309500</v>
      </c>
      <c r="G8" s="7">
        <v>19</v>
      </c>
      <c r="H8" s="1">
        <v>16640700</v>
      </c>
      <c r="I8" s="7">
        <v>18</v>
      </c>
      <c r="J8" s="1">
        <v>7951650</v>
      </c>
      <c r="K8" s="7">
        <v>25</v>
      </c>
      <c r="L8" s="1">
        <v>7497250</v>
      </c>
      <c r="M8" s="7">
        <v>50</v>
      </c>
      <c r="N8" s="1">
        <v>4742000</v>
      </c>
      <c r="O8" s="1">
        <f t="shared" si="0"/>
        <v>29503950</v>
      </c>
      <c r="P8" s="8">
        <f t="shared" si="1"/>
        <v>92</v>
      </c>
      <c r="Q8" s="1">
        <f t="shared" si="2"/>
        <v>37001200</v>
      </c>
      <c r="R8" s="8">
        <f t="shared" si="3"/>
        <v>142</v>
      </c>
      <c r="S8" s="9">
        <f t="shared" si="4"/>
        <v>0.54347826086956519</v>
      </c>
      <c r="T8" s="2">
        <f t="shared" si="5"/>
        <v>0.20262180686031805</v>
      </c>
    </row>
    <row r="9" spans="1:20" x14ac:dyDescent="0.3">
      <c r="A9" s="6">
        <v>45666</v>
      </c>
      <c r="B9" s="7">
        <v>9</v>
      </c>
      <c r="C9" s="7">
        <f>MONTH(Tabla1[[#This Row],[FECHA]])</f>
        <v>1</v>
      </c>
      <c r="D9" s="1">
        <v>1746200</v>
      </c>
      <c r="E9" s="7">
        <v>39</v>
      </c>
      <c r="F9" s="1">
        <v>18884100</v>
      </c>
      <c r="G9" s="7">
        <v>20</v>
      </c>
      <c r="H9" s="1">
        <v>9729850</v>
      </c>
      <c r="I9" s="7">
        <v>15</v>
      </c>
      <c r="J9" s="1">
        <v>3108400</v>
      </c>
      <c r="K9" s="7">
        <v>28</v>
      </c>
      <c r="L9" s="1">
        <v>4946900</v>
      </c>
      <c r="M9" s="7">
        <v>56</v>
      </c>
      <c r="N9" s="1">
        <v>9384250</v>
      </c>
      <c r="O9" s="1">
        <f t="shared" si="0"/>
        <v>33468550</v>
      </c>
      <c r="P9" s="8">
        <f t="shared" si="1"/>
        <v>102</v>
      </c>
      <c r="Q9" s="1">
        <f t="shared" si="2"/>
        <v>38415450</v>
      </c>
      <c r="R9" s="8">
        <f t="shared" si="3"/>
        <v>158</v>
      </c>
      <c r="S9" s="9">
        <f t="shared" si="4"/>
        <v>0.5490196078431373</v>
      </c>
      <c r="T9" s="2">
        <f t="shared" si="5"/>
        <v>0.12877370953613715</v>
      </c>
    </row>
    <row r="10" spans="1:20" x14ac:dyDescent="0.3">
      <c r="A10" s="6">
        <v>45667</v>
      </c>
      <c r="B10" s="7">
        <v>10</v>
      </c>
      <c r="C10" s="7">
        <f>MONTH(Tabla1[[#This Row],[FECHA]])</f>
        <v>1</v>
      </c>
      <c r="D10" s="1">
        <v>2053700</v>
      </c>
      <c r="E10" s="7">
        <v>37</v>
      </c>
      <c r="F10" s="1">
        <v>4401600</v>
      </c>
      <c r="G10" s="7">
        <v>21</v>
      </c>
      <c r="H10" s="1">
        <v>6128700</v>
      </c>
      <c r="I10" s="7">
        <v>9</v>
      </c>
      <c r="J10" s="1">
        <v>12586132</v>
      </c>
      <c r="K10" s="7">
        <v>16</v>
      </c>
      <c r="L10" s="1">
        <v>4226400</v>
      </c>
      <c r="M10" s="7">
        <v>51</v>
      </c>
      <c r="N10" s="1">
        <v>6981250</v>
      </c>
      <c r="O10" s="1">
        <f t="shared" si="0"/>
        <v>25170132</v>
      </c>
      <c r="P10" s="8">
        <f t="shared" si="1"/>
        <v>83</v>
      </c>
      <c r="Q10" s="1">
        <f t="shared" si="2"/>
        <v>29396532</v>
      </c>
      <c r="R10" s="8">
        <f t="shared" si="3"/>
        <v>134</v>
      </c>
      <c r="S10" s="9">
        <f t="shared" si="4"/>
        <v>0.61445783132530118</v>
      </c>
      <c r="T10" s="2">
        <f t="shared" si="5"/>
        <v>0.14377206127579947</v>
      </c>
    </row>
    <row r="11" spans="1:20" x14ac:dyDescent="0.3">
      <c r="A11" s="6">
        <v>45668</v>
      </c>
      <c r="B11" s="7">
        <v>11</v>
      </c>
      <c r="C11" s="7">
        <f>MONTH(Tabla1[[#This Row],[FECHA]])</f>
        <v>1</v>
      </c>
      <c r="D11" s="1">
        <v>2054000</v>
      </c>
      <c r="E11" s="7">
        <v>35</v>
      </c>
      <c r="F11" s="1">
        <v>5660300</v>
      </c>
      <c r="G11" s="7">
        <v>26</v>
      </c>
      <c r="H11" s="1">
        <v>1462100</v>
      </c>
      <c r="I11" s="7">
        <v>7</v>
      </c>
      <c r="J11" s="1">
        <v>2842500</v>
      </c>
      <c r="K11" s="7">
        <v>26</v>
      </c>
      <c r="L11" s="1">
        <v>4265750</v>
      </c>
      <c r="M11" s="7">
        <v>82</v>
      </c>
      <c r="N11" s="1">
        <v>8265000</v>
      </c>
      <c r="O11" s="1">
        <f t="shared" si="0"/>
        <v>12018900</v>
      </c>
      <c r="P11" s="8">
        <f t="shared" si="1"/>
        <v>94</v>
      </c>
      <c r="Q11" s="1">
        <f t="shared" si="2"/>
        <v>16284650</v>
      </c>
      <c r="R11" s="8">
        <f t="shared" si="3"/>
        <v>176</v>
      </c>
      <c r="S11" s="9">
        <f t="shared" si="4"/>
        <v>0.87234042553191493</v>
      </c>
      <c r="T11" s="2">
        <f t="shared" si="5"/>
        <v>0.26194913614968696</v>
      </c>
    </row>
    <row r="12" spans="1:20" x14ac:dyDescent="0.3">
      <c r="A12" s="6">
        <v>45669</v>
      </c>
      <c r="B12" s="7">
        <v>12</v>
      </c>
      <c r="C12" s="7">
        <f>MONTH(Tabla1[[#This Row],[FECHA]])</f>
        <v>1</v>
      </c>
      <c r="D12" s="1">
        <v>1665200</v>
      </c>
      <c r="E12" s="7">
        <v>28</v>
      </c>
      <c r="F12" s="1">
        <v>1391900</v>
      </c>
      <c r="G12" s="7">
        <v>8</v>
      </c>
      <c r="H12" s="1">
        <v>1800400</v>
      </c>
      <c r="I12" s="7">
        <v>6</v>
      </c>
      <c r="J12" s="1">
        <v>6070500</v>
      </c>
      <c r="K12" s="7">
        <v>12</v>
      </c>
      <c r="L12" s="1">
        <v>1560100</v>
      </c>
      <c r="M12" s="7">
        <v>28</v>
      </c>
      <c r="N12" s="1">
        <v>1469800</v>
      </c>
      <c r="O12" s="1">
        <f t="shared" si="0"/>
        <v>10928000</v>
      </c>
      <c r="P12" s="8">
        <f t="shared" si="1"/>
        <v>54</v>
      </c>
      <c r="Q12" s="1">
        <f t="shared" si="2"/>
        <v>12488100</v>
      </c>
      <c r="R12" s="8">
        <f t="shared" si="3"/>
        <v>82</v>
      </c>
      <c r="S12" s="9">
        <f t="shared" si="4"/>
        <v>0.51851851851851849</v>
      </c>
      <c r="T12" s="2">
        <f t="shared" si="5"/>
        <v>0.12492693043777676</v>
      </c>
    </row>
    <row r="13" spans="1:20" x14ac:dyDescent="0.3">
      <c r="A13" s="6">
        <v>45670</v>
      </c>
      <c r="B13" s="7">
        <v>13</v>
      </c>
      <c r="C13" s="7">
        <f>MONTH(Tabla1[[#This Row],[FECHA]])</f>
        <v>1</v>
      </c>
      <c r="D13" s="1">
        <v>3263700</v>
      </c>
      <c r="E13" s="7">
        <v>45</v>
      </c>
      <c r="F13" s="1">
        <v>3286900</v>
      </c>
      <c r="G13" s="7">
        <v>16</v>
      </c>
      <c r="H13" s="1">
        <v>8456000</v>
      </c>
      <c r="I13" s="7">
        <v>10</v>
      </c>
      <c r="J13" s="1">
        <v>7925258</v>
      </c>
      <c r="K13" s="7">
        <v>32</v>
      </c>
      <c r="L13" s="1">
        <v>4040800</v>
      </c>
      <c r="M13" s="7">
        <v>64</v>
      </c>
      <c r="N13" s="1">
        <v>4452900</v>
      </c>
      <c r="O13" s="1">
        <f t="shared" si="0"/>
        <v>22931858</v>
      </c>
      <c r="P13" s="8">
        <f t="shared" si="1"/>
        <v>103</v>
      </c>
      <c r="Q13" s="1">
        <f t="shared" si="2"/>
        <v>26972658</v>
      </c>
      <c r="R13" s="8">
        <f t="shared" si="3"/>
        <v>167</v>
      </c>
      <c r="S13" s="9">
        <f t="shared" si="4"/>
        <v>0.62135922330097082</v>
      </c>
      <c r="T13" s="2">
        <f t="shared" si="5"/>
        <v>0.14981096783268449</v>
      </c>
    </row>
    <row r="14" spans="1:20" x14ac:dyDescent="0.3">
      <c r="A14" s="6">
        <v>45671</v>
      </c>
      <c r="B14" s="7">
        <v>14</v>
      </c>
      <c r="C14" s="7">
        <f>MONTH(Tabla1[[#This Row],[FECHA]])</f>
        <v>1</v>
      </c>
      <c r="D14" s="1">
        <v>2329900</v>
      </c>
      <c r="E14" s="7">
        <v>41</v>
      </c>
      <c r="F14" s="1">
        <v>4417700</v>
      </c>
      <c r="G14" s="7">
        <v>16</v>
      </c>
      <c r="H14" s="1">
        <v>12690800</v>
      </c>
      <c r="I14" s="7">
        <v>20</v>
      </c>
      <c r="J14" s="1">
        <v>4424075</v>
      </c>
      <c r="K14" s="7">
        <v>36</v>
      </c>
      <c r="L14" s="1">
        <v>5970400</v>
      </c>
      <c r="M14" s="7">
        <v>48</v>
      </c>
      <c r="N14" s="1">
        <v>12791230</v>
      </c>
      <c r="O14" s="1">
        <f t="shared" si="0"/>
        <v>23862475</v>
      </c>
      <c r="P14" s="8">
        <f t="shared" si="1"/>
        <v>113</v>
      </c>
      <c r="Q14" s="1">
        <f t="shared" si="2"/>
        <v>29832875</v>
      </c>
      <c r="R14" s="8">
        <f t="shared" si="3"/>
        <v>161</v>
      </c>
      <c r="S14" s="9">
        <f t="shared" si="4"/>
        <v>0.4247787610619469</v>
      </c>
      <c r="T14" s="2">
        <f t="shared" si="5"/>
        <v>0.20012821426027494</v>
      </c>
    </row>
    <row r="15" spans="1:20" x14ac:dyDescent="0.3">
      <c r="A15" s="6">
        <v>45672</v>
      </c>
      <c r="B15" s="7">
        <v>15</v>
      </c>
      <c r="C15" s="7">
        <f>MONTH(Tabla1[[#This Row],[FECHA]])</f>
        <v>1</v>
      </c>
      <c r="D15" s="1">
        <v>728100</v>
      </c>
      <c r="E15" s="7">
        <v>23</v>
      </c>
      <c r="F15" s="1">
        <v>2223900</v>
      </c>
      <c r="G15" s="7">
        <v>13</v>
      </c>
      <c r="H15" s="1">
        <v>1542000</v>
      </c>
      <c r="I15" s="7">
        <v>13</v>
      </c>
      <c r="J15" s="1">
        <v>6879300</v>
      </c>
      <c r="K15" s="7">
        <v>28</v>
      </c>
      <c r="L15" s="1">
        <v>4681250</v>
      </c>
      <c r="M15" s="7">
        <v>45</v>
      </c>
      <c r="N15" s="1">
        <v>12246300</v>
      </c>
      <c r="O15" s="1">
        <f t="shared" si="0"/>
        <v>11373300</v>
      </c>
      <c r="P15" s="8">
        <f t="shared" si="1"/>
        <v>77</v>
      </c>
      <c r="Q15" s="1">
        <f t="shared" si="2"/>
        <v>16054550</v>
      </c>
      <c r="R15" s="8">
        <f t="shared" si="3"/>
        <v>122</v>
      </c>
      <c r="S15" s="9">
        <f t="shared" si="4"/>
        <v>0.58441558441558439</v>
      </c>
      <c r="T15" s="2">
        <f t="shared" si="5"/>
        <v>0.29158400578029281</v>
      </c>
    </row>
    <row r="16" spans="1:20" x14ac:dyDescent="0.3">
      <c r="A16" s="6">
        <v>45673</v>
      </c>
      <c r="B16" s="7">
        <v>16</v>
      </c>
      <c r="C16" s="7">
        <f>MONTH(Tabla1[[#This Row],[FECHA]])</f>
        <v>1</v>
      </c>
      <c r="D16" s="1">
        <v>1983200</v>
      </c>
      <c r="E16" s="7">
        <v>35</v>
      </c>
      <c r="F16" s="1">
        <v>2678960</v>
      </c>
      <c r="G16" s="7">
        <v>14</v>
      </c>
      <c r="H16" s="1">
        <v>4187600</v>
      </c>
      <c r="I16" s="7">
        <v>10</v>
      </c>
      <c r="J16" s="1">
        <v>2263000</v>
      </c>
      <c r="K16" s="7">
        <v>22</v>
      </c>
      <c r="L16" s="1">
        <v>3094500</v>
      </c>
      <c r="M16" s="7">
        <v>46</v>
      </c>
      <c r="N16" s="1">
        <v>4241050</v>
      </c>
      <c r="O16" s="1">
        <f t="shared" si="0"/>
        <v>11112760</v>
      </c>
      <c r="P16" s="8">
        <f t="shared" si="1"/>
        <v>81</v>
      </c>
      <c r="Q16" s="1">
        <f t="shared" si="2"/>
        <v>14207260</v>
      </c>
      <c r="R16" s="8">
        <f t="shared" si="3"/>
        <v>127</v>
      </c>
      <c r="S16" s="9">
        <f t="shared" si="4"/>
        <v>0.5679012345679012</v>
      </c>
      <c r="T16" s="2">
        <f t="shared" si="5"/>
        <v>0.21781117541313386</v>
      </c>
    </row>
    <row r="17" spans="1:20" x14ac:dyDescent="0.3">
      <c r="A17" s="6">
        <v>45674</v>
      </c>
      <c r="B17" s="7">
        <v>17</v>
      </c>
      <c r="C17" s="7">
        <f>MONTH(Tabla1[[#This Row],[FECHA]])</f>
        <v>1</v>
      </c>
      <c r="D17" s="1">
        <v>1857200</v>
      </c>
      <c r="E17" s="7">
        <v>27</v>
      </c>
      <c r="F17" s="1">
        <v>6532680</v>
      </c>
      <c r="G17" s="7">
        <v>11</v>
      </c>
      <c r="H17" s="1">
        <v>3555300</v>
      </c>
      <c r="I17" s="7">
        <v>9</v>
      </c>
      <c r="J17" s="1">
        <v>2374100</v>
      </c>
      <c r="K17" s="7">
        <v>26</v>
      </c>
      <c r="L17" s="1">
        <v>4273200</v>
      </c>
      <c r="M17" s="7">
        <v>58</v>
      </c>
      <c r="N17" s="1">
        <v>5684550</v>
      </c>
      <c r="O17" s="1">
        <f t="shared" si="0"/>
        <v>14319280</v>
      </c>
      <c r="P17" s="8">
        <f t="shared" si="1"/>
        <v>73</v>
      </c>
      <c r="Q17" s="1">
        <f t="shared" si="2"/>
        <v>18592480</v>
      </c>
      <c r="R17" s="8">
        <f t="shared" si="3"/>
        <v>131</v>
      </c>
      <c r="S17" s="9">
        <f t="shared" si="4"/>
        <v>0.79452054794520544</v>
      </c>
      <c r="T17" s="2">
        <f t="shared" si="5"/>
        <v>0.2298348579640801</v>
      </c>
    </row>
    <row r="18" spans="1:20" x14ac:dyDescent="0.3">
      <c r="A18" s="6">
        <v>45675</v>
      </c>
      <c r="B18" s="7">
        <v>18</v>
      </c>
      <c r="C18" s="7">
        <f>MONTH(Tabla1[[#This Row],[FECHA]])</f>
        <v>1</v>
      </c>
      <c r="D18" s="1">
        <v>2537700</v>
      </c>
      <c r="E18" s="7">
        <v>37</v>
      </c>
      <c r="F18" s="1">
        <v>2342400</v>
      </c>
      <c r="G18" s="7">
        <v>13</v>
      </c>
      <c r="H18" s="1">
        <v>7018650</v>
      </c>
      <c r="I18" s="7">
        <v>13</v>
      </c>
      <c r="J18" s="1">
        <v>1522960</v>
      </c>
      <c r="K18" s="7">
        <v>25</v>
      </c>
      <c r="L18" s="1">
        <v>2299900</v>
      </c>
      <c r="M18" s="7">
        <v>54</v>
      </c>
      <c r="N18" s="1">
        <v>5806400</v>
      </c>
      <c r="O18" s="1">
        <f t="shared" si="0"/>
        <v>13421710</v>
      </c>
      <c r="P18" s="8">
        <f t="shared" si="1"/>
        <v>88</v>
      </c>
      <c r="Q18" s="1">
        <f t="shared" si="2"/>
        <v>15721610</v>
      </c>
      <c r="R18" s="8">
        <f t="shared" si="3"/>
        <v>142</v>
      </c>
      <c r="S18" s="9">
        <f t="shared" si="4"/>
        <v>0.61363636363636365</v>
      </c>
      <c r="T18" s="2">
        <f t="shared" si="5"/>
        <v>0.14628908871292445</v>
      </c>
    </row>
    <row r="19" spans="1:20" x14ac:dyDescent="0.3">
      <c r="A19" s="6">
        <v>45676</v>
      </c>
      <c r="B19" s="7">
        <v>19</v>
      </c>
      <c r="C19" s="7">
        <f>MONTH(Tabla1[[#This Row],[FECHA]])</f>
        <v>1</v>
      </c>
      <c r="D19" s="1">
        <v>2011800</v>
      </c>
      <c r="E19" s="7">
        <v>27</v>
      </c>
      <c r="F19" s="1">
        <v>1350050</v>
      </c>
      <c r="G19" s="7">
        <v>13</v>
      </c>
      <c r="H19" s="1">
        <v>458400</v>
      </c>
      <c r="I19" s="7">
        <v>3</v>
      </c>
      <c r="J19" s="1">
        <v>8927100</v>
      </c>
      <c r="K19" s="7">
        <v>15</v>
      </c>
      <c r="L19" s="1">
        <v>790350</v>
      </c>
      <c r="M19" s="7">
        <v>32</v>
      </c>
      <c r="N19" s="1">
        <v>4713800</v>
      </c>
      <c r="O19" s="1">
        <f t="shared" si="0"/>
        <v>12747350</v>
      </c>
      <c r="P19" s="8">
        <f t="shared" si="1"/>
        <v>58</v>
      </c>
      <c r="Q19" s="1">
        <f t="shared" si="2"/>
        <v>13537700</v>
      </c>
      <c r="R19" s="8">
        <f t="shared" si="3"/>
        <v>90</v>
      </c>
      <c r="S19" s="9">
        <f t="shared" si="4"/>
        <v>0.55172413793103448</v>
      </c>
      <c r="T19" s="2">
        <f t="shared" si="5"/>
        <v>5.8381408954253679E-2</v>
      </c>
    </row>
    <row r="20" spans="1:20" x14ac:dyDescent="0.3">
      <c r="A20" s="6">
        <v>45677</v>
      </c>
      <c r="B20" s="7">
        <v>20</v>
      </c>
      <c r="C20" s="7">
        <f>MONTH(Tabla1[[#This Row],[FECHA]])</f>
        <v>1</v>
      </c>
      <c r="D20" s="1">
        <v>1874700</v>
      </c>
      <c r="E20" s="7">
        <v>36</v>
      </c>
      <c r="F20" s="1">
        <v>2373100</v>
      </c>
      <c r="G20" s="7">
        <v>13</v>
      </c>
      <c r="H20" s="1">
        <v>6011200</v>
      </c>
      <c r="I20" s="7">
        <v>19</v>
      </c>
      <c r="J20" s="1">
        <v>3133300</v>
      </c>
      <c r="K20" s="7">
        <v>31</v>
      </c>
      <c r="L20" s="1">
        <v>9031500</v>
      </c>
      <c r="M20" s="7">
        <v>74</v>
      </c>
      <c r="N20" s="1">
        <v>3661000</v>
      </c>
      <c r="O20" s="1">
        <f t="shared" si="0"/>
        <v>13392300</v>
      </c>
      <c r="P20" s="8">
        <f t="shared" si="1"/>
        <v>99</v>
      </c>
      <c r="Q20" s="1">
        <f t="shared" si="2"/>
        <v>22423800</v>
      </c>
      <c r="R20" s="8">
        <f t="shared" si="3"/>
        <v>173</v>
      </c>
      <c r="S20" s="9">
        <f t="shared" si="4"/>
        <v>0.74747474747474751</v>
      </c>
      <c r="T20" s="2">
        <f t="shared" si="5"/>
        <v>0.40276402750648865</v>
      </c>
    </row>
    <row r="21" spans="1:20" x14ac:dyDescent="0.3">
      <c r="A21" s="6">
        <v>45678</v>
      </c>
      <c r="B21" s="7">
        <v>21</v>
      </c>
      <c r="C21" s="7">
        <f>MONTH(Tabla1[[#This Row],[FECHA]])</f>
        <v>1</v>
      </c>
      <c r="D21" s="1">
        <v>1403800</v>
      </c>
      <c r="E21" s="7">
        <v>45</v>
      </c>
      <c r="F21" s="1">
        <v>2817847</v>
      </c>
      <c r="G21" s="7">
        <v>9</v>
      </c>
      <c r="H21" s="1">
        <v>21689100</v>
      </c>
      <c r="I21" s="7">
        <v>20</v>
      </c>
      <c r="J21" s="1">
        <v>7659050</v>
      </c>
      <c r="K21" s="7">
        <v>43</v>
      </c>
      <c r="L21" s="1">
        <v>2771000</v>
      </c>
      <c r="M21" s="7">
        <v>65</v>
      </c>
      <c r="N21" s="1">
        <v>8118550</v>
      </c>
      <c r="O21" s="1">
        <f t="shared" si="0"/>
        <v>33569797</v>
      </c>
      <c r="P21" s="8">
        <f t="shared" si="1"/>
        <v>117</v>
      </c>
      <c r="Q21" s="1">
        <f t="shared" si="2"/>
        <v>36340797</v>
      </c>
      <c r="R21" s="8">
        <f t="shared" si="3"/>
        <v>182</v>
      </c>
      <c r="S21" s="9">
        <f t="shared" si="4"/>
        <v>0.55555555555555558</v>
      </c>
      <c r="T21" s="2">
        <f t="shared" si="5"/>
        <v>7.6250391536542256E-2</v>
      </c>
    </row>
    <row r="22" spans="1:20" x14ac:dyDescent="0.3">
      <c r="A22" s="6">
        <v>45679</v>
      </c>
      <c r="B22" s="7">
        <v>22</v>
      </c>
      <c r="C22" s="7">
        <f>MONTH(Tabla1[[#This Row],[FECHA]])</f>
        <v>1</v>
      </c>
      <c r="D22" s="1">
        <v>1827500</v>
      </c>
      <c r="E22" s="7">
        <v>24</v>
      </c>
      <c r="F22" s="1">
        <v>6988900</v>
      </c>
      <c r="G22" s="7">
        <v>20</v>
      </c>
      <c r="H22" s="1">
        <v>15444400</v>
      </c>
      <c r="I22" s="7">
        <v>18</v>
      </c>
      <c r="J22" s="1">
        <v>1529200</v>
      </c>
      <c r="K22" s="7">
        <v>17</v>
      </c>
      <c r="L22" s="1">
        <v>4380200</v>
      </c>
      <c r="M22" s="7">
        <v>71</v>
      </c>
      <c r="N22" s="1">
        <v>3934800</v>
      </c>
      <c r="O22" s="1">
        <f t="shared" si="0"/>
        <v>25790000</v>
      </c>
      <c r="P22" s="8">
        <f t="shared" si="1"/>
        <v>79</v>
      </c>
      <c r="Q22" s="1">
        <f t="shared" si="2"/>
        <v>30170200</v>
      </c>
      <c r="R22" s="8">
        <f t="shared" si="3"/>
        <v>150</v>
      </c>
      <c r="S22" s="9">
        <f t="shared" si="4"/>
        <v>0.89873417721518989</v>
      </c>
      <c r="T22" s="2">
        <f t="shared" si="5"/>
        <v>0.14518299514090063</v>
      </c>
    </row>
    <row r="23" spans="1:20" x14ac:dyDescent="0.3">
      <c r="A23" s="6">
        <v>45680</v>
      </c>
      <c r="B23" s="7">
        <v>23</v>
      </c>
      <c r="C23" s="7">
        <f>MONTH(Tabla1[[#This Row],[FECHA]])</f>
        <v>1</v>
      </c>
      <c r="D23" s="1">
        <v>1227000</v>
      </c>
      <c r="E23" s="7">
        <v>20</v>
      </c>
      <c r="F23" s="1">
        <v>2129500</v>
      </c>
      <c r="G23" s="7">
        <v>16</v>
      </c>
      <c r="H23" s="1">
        <v>4464800</v>
      </c>
      <c r="I23" s="7">
        <v>19</v>
      </c>
      <c r="J23" s="1">
        <v>3736700</v>
      </c>
      <c r="K23" s="7">
        <v>26</v>
      </c>
      <c r="L23" s="1">
        <v>4818600</v>
      </c>
      <c r="M23" s="7">
        <v>64</v>
      </c>
      <c r="N23" s="1">
        <v>3289800</v>
      </c>
      <c r="O23" s="1">
        <f t="shared" si="0"/>
        <v>11558000</v>
      </c>
      <c r="P23" s="8">
        <f t="shared" si="1"/>
        <v>81</v>
      </c>
      <c r="Q23" s="1">
        <f t="shared" si="2"/>
        <v>16376600</v>
      </c>
      <c r="R23" s="8">
        <f t="shared" si="3"/>
        <v>145</v>
      </c>
      <c r="S23" s="9">
        <f t="shared" si="4"/>
        <v>0.79012345679012341</v>
      </c>
      <c r="T23" s="2">
        <f t="shared" si="5"/>
        <v>0.29423689899002237</v>
      </c>
    </row>
    <row r="24" spans="1:20" x14ac:dyDescent="0.3">
      <c r="A24" s="6">
        <v>45681</v>
      </c>
      <c r="B24" s="7">
        <v>24</v>
      </c>
      <c r="C24" s="7">
        <f>MONTH(Tabla1[[#This Row],[FECHA]])</f>
        <v>1</v>
      </c>
      <c r="D24" s="1">
        <v>1033300</v>
      </c>
      <c r="E24" s="7">
        <v>20</v>
      </c>
      <c r="F24" s="1">
        <v>5807820</v>
      </c>
      <c r="G24" s="7">
        <v>19</v>
      </c>
      <c r="H24" s="1">
        <v>9047206</v>
      </c>
      <c r="I24" s="7">
        <v>14</v>
      </c>
      <c r="J24" s="1">
        <v>2989138</v>
      </c>
      <c r="K24" s="7">
        <v>11</v>
      </c>
      <c r="L24" s="1">
        <v>1596000</v>
      </c>
      <c r="M24" s="7">
        <v>44</v>
      </c>
      <c r="N24" s="1">
        <v>4782200</v>
      </c>
      <c r="O24" s="1">
        <f t="shared" si="0"/>
        <v>18877464</v>
      </c>
      <c r="P24" s="8">
        <f t="shared" si="1"/>
        <v>64</v>
      </c>
      <c r="Q24" s="1">
        <f t="shared" si="2"/>
        <v>20473464</v>
      </c>
      <c r="R24" s="8">
        <f t="shared" si="3"/>
        <v>108</v>
      </c>
      <c r="S24" s="9">
        <f t="shared" si="4"/>
        <v>0.6875</v>
      </c>
      <c r="T24" s="2">
        <f t="shared" si="5"/>
        <v>7.7954565968904918E-2</v>
      </c>
    </row>
    <row r="25" spans="1:20" x14ac:dyDescent="0.3">
      <c r="A25" s="6">
        <v>45682</v>
      </c>
      <c r="B25" s="7">
        <v>25</v>
      </c>
      <c r="C25" s="7">
        <f>MONTH(Tabla1[[#This Row],[FECHA]])</f>
        <v>1</v>
      </c>
      <c r="D25" s="1">
        <v>4200200</v>
      </c>
      <c r="E25" s="7">
        <v>24</v>
      </c>
      <c r="F25" s="1">
        <v>11435844</v>
      </c>
      <c r="G25" s="7">
        <v>29</v>
      </c>
      <c r="H25" s="1">
        <v>3076200</v>
      </c>
      <c r="I25" s="7">
        <v>9</v>
      </c>
      <c r="J25" s="1">
        <v>3825400</v>
      </c>
      <c r="K25" s="7">
        <v>22</v>
      </c>
      <c r="L25" s="1">
        <v>2721700</v>
      </c>
      <c r="M25" s="7">
        <v>54</v>
      </c>
      <c r="N25" s="1">
        <v>8957400</v>
      </c>
      <c r="O25" s="1">
        <f t="shared" si="0"/>
        <v>22537644</v>
      </c>
      <c r="P25" s="8">
        <f t="shared" si="1"/>
        <v>84</v>
      </c>
      <c r="Q25" s="1">
        <f t="shared" si="2"/>
        <v>25259344</v>
      </c>
      <c r="R25" s="8">
        <f t="shared" si="3"/>
        <v>138</v>
      </c>
      <c r="S25" s="9">
        <f t="shared" si="4"/>
        <v>0.6428571428571429</v>
      </c>
      <c r="T25" s="2">
        <f t="shared" si="5"/>
        <v>0.10775022502563804</v>
      </c>
    </row>
    <row r="26" spans="1:20" x14ac:dyDescent="0.3">
      <c r="A26" s="6">
        <v>45683</v>
      </c>
      <c r="B26" s="7">
        <v>26</v>
      </c>
      <c r="C26" s="7">
        <f>MONTH(Tabla1[[#This Row],[FECHA]])</f>
        <v>1</v>
      </c>
      <c r="D26" s="1">
        <v>1677100</v>
      </c>
      <c r="E26" s="7">
        <v>24</v>
      </c>
      <c r="F26" s="1">
        <v>1910700</v>
      </c>
      <c r="G26" s="7">
        <v>18</v>
      </c>
      <c r="H26" s="1">
        <v>568100</v>
      </c>
      <c r="I26" s="7">
        <v>3</v>
      </c>
      <c r="J26" s="1">
        <v>3482500</v>
      </c>
      <c r="K26" s="7">
        <v>10</v>
      </c>
      <c r="L26" s="1">
        <v>3783100</v>
      </c>
      <c r="M26" s="7">
        <v>30</v>
      </c>
      <c r="N26" s="1">
        <v>84300</v>
      </c>
      <c r="O26" s="1">
        <f t="shared" si="0"/>
        <v>7638400</v>
      </c>
      <c r="P26" s="8">
        <f t="shared" si="1"/>
        <v>55</v>
      </c>
      <c r="Q26" s="1">
        <f t="shared" si="2"/>
        <v>11421500</v>
      </c>
      <c r="R26" s="8">
        <f t="shared" si="3"/>
        <v>85</v>
      </c>
      <c r="S26" s="9">
        <f t="shared" si="4"/>
        <v>0.54545454545454541</v>
      </c>
      <c r="T26" s="2">
        <f t="shared" si="5"/>
        <v>0.33122619620890426</v>
      </c>
    </row>
    <row r="27" spans="1:20" x14ac:dyDescent="0.3">
      <c r="A27" s="6">
        <v>45684</v>
      </c>
      <c r="B27" s="7">
        <v>27</v>
      </c>
      <c r="C27" s="7">
        <f>MONTH(Tabla1[[#This Row],[FECHA]])</f>
        <v>1</v>
      </c>
      <c r="D27" s="1">
        <v>2004500</v>
      </c>
      <c r="E27" s="7">
        <v>33</v>
      </c>
      <c r="F27" s="1">
        <v>2053200</v>
      </c>
      <c r="G27" s="7">
        <v>13</v>
      </c>
      <c r="H27" s="1">
        <v>7502400</v>
      </c>
      <c r="I27" s="7">
        <v>16</v>
      </c>
      <c r="J27" s="1">
        <v>71961900</v>
      </c>
      <c r="K27" s="7">
        <v>29</v>
      </c>
      <c r="L27" s="1">
        <v>5553300</v>
      </c>
      <c r="M27" s="7">
        <v>54</v>
      </c>
      <c r="N27" s="1">
        <v>6909600</v>
      </c>
      <c r="O27" s="1">
        <f t="shared" si="0"/>
        <v>83522000</v>
      </c>
      <c r="P27" s="8">
        <f t="shared" si="1"/>
        <v>91</v>
      </c>
      <c r="Q27" s="1">
        <f t="shared" si="2"/>
        <v>89075300</v>
      </c>
      <c r="R27" s="8">
        <f t="shared" si="3"/>
        <v>145</v>
      </c>
      <c r="S27" s="9">
        <f t="shared" si="4"/>
        <v>0.59340659340659341</v>
      </c>
      <c r="T27" s="2">
        <f t="shared" si="5"/>
        <v>6.2343882086279813E-2</v>
      </c>
    </row>
    <row r="28" spans="1:20" x14ac:dyDescent="0.3">
      <c r="A28" s="6">
        <v>45685</v>
      </c>
      <c r="B28" s="7">
        <v>28</v>
      </c>
      <c r="C28" s="7">
        <f>MONTH(Tabla1[[#This Row],[FECHA]])</f>
        <v>1</v>
      </c>
      <c r="D28" s="1">
        <v>2406500</v>
      </c>
      <c r="E28" s="7">
        <v>41</v>
      </c>
      <c r="F28" s="1">
        <v>9270100</v>
      </c>
      <c r="G28" s="7">
        <v>18</v>
      </c>
      <c r="H28" s="1">
        <v>20533500</v>
      </c>
      <c r="I28" s="7">
        <v>16</v>
      </c>
      <c r="J28" s="1">
        <v>7648450</v>
      </c>
      <c r="K28" s="7">
        <v>34</v>
      </c>
      <c r="L28" s="1">
        <v>2783600</v>
      </c>
      <c r="M28" s="7">
        <v>46</v>
      </c>
      <c r="N28" s="1">
        <v>2756000</v>
      </c>
      <c r="O28" s="1">
        <f t="shared" si="0"/>
        <v>39858550</v>
      </c>
      <c r="P28" s="8">
        <f t="shared" si="1"/>
        <v>109</v>
      </c>
      <c r="Q28" s="1">
        <f t="shared" si="2"/>
        <v>42642150</v>
      </c>
      <c r="R28" s="8">
        <f t="shared" si="3"/>
        <v>155</v>
      </c>
      <c r="S28" s="9">
        <f t="shared" si="4"/>
        <v>0.42201834862385323</v>
      </c>
      <c r="T28" s="2">
        <f t="shared" si="5"/>
        <v>6.5278134428024853E-2</v>
      </c>
    </row>
    <row r="29" spans="1:20" x14ac:dyDescent="0.3">
      <c r="A29" s="6">
        <v>45686</v>
      </c>
      <c r="B29" s="7">
        <v>29</v>
      </c>
      <c r="C29" s="7">
        <f>MONTH(Tabla1[[#This Row],[FECHA]])</f>
        <v>1</v>
      </c>
      <c r="D29" s="1">
        <v>1136300</v>
      </c>
      <c r="E29" s="7">
        <v>24</v>
      </c>
      <c r="F29" s="1">
        <v>2026400</v>
      </c>
      <c r="G29" s="7">
        <v>15</v>
      </c>
      <c r="H29" s="1">
        <v>5779100</v>
      </c>
      <c r="I29" s="7">
        <v>10</v>
      </c>
      <c r="J29" s="1">
        <v>3185400</v>
      </c>
      <c r="K29" s="7">
        <v>34</v>
      </c>
      <c r="L29" s="1">
        <v>4449800</v>
      </c>
      <c r="M29" s="7">
        <v>54</v>
      </c>
      <c r="N29" s="1">
        <v>5146100</v>
      </c>
      <c r="O29" s="1">
        <f t="shared" si="0"/>
        <v>12127200</v>
      </c>
      <c r="P29" s="8">
        <f t="shared" si="1"/>
        <v>83</v>
      </c>
      <c r="Q29" s="1">
        <f t="shared" si="2"/>
        <v>16577000</v>
      </c>
      <c r="R29" s="8">
        <f t="shared" si="3"/>
        <v>137</v>
      </c>
      <c r="S29" s="9">
        <f t="shared" si="4"/>
        <v>0.6506024096385542</v>
      </c>
      <c r="T29" s="2">
        <f t="shared" si="5"/>
        <v>0.26843216504795803</v>
      </c>
    </row>
    <row r="30" spans="1:20" x14ac:dyDescent="0.3">
      <c r="A30" s="6">
        <v>45687</v>
      </c>
      <c r="B30" s="7">
        <v>30</v>
      </c>
      <c r="C30" s="7">
        <f>MONTH(Tabla1[[#This Row],[FECHA]])</f>
        <v>1</v>
      </c>
      <c r="D30" s="1">
        <v>1368800</v>
      </c>
      <c r="E30" s="7">
        <v>27</v>
      </c>
      <c r="F30" s="1">
        <v>4558600</v>
      </c>
      <c r="G30" s="7">
        <v>14</v>
      </c>
      <c r="H30" s="1">
        <v>24241047</v>
      </c>
      <c r="I30" s="7">
        <v>16</v>
      </c>
      <c r="J30" s="1">
        <v>4044700</v>
      </c>
      <c r="K30" s="7">
        <v>28</v>
      </c>
      <c r="L30" s="1">
        <v>3686700</v>
      </c>
      <c r="M30" s="7">
        <v>52</v>
      </c>
      <c r="N30" s="1">
        <v>4052600</v>
      </c>
      <c r="O30" s="1">
        <f t="shared" si="0"/>
        <v>34213147</v>
      </c>
      <c r="P30" s="8">
        <f t="shared" si="1"/>
        <v>85</v>
      </c>
      <c r="Q30" s="1">
        <f t="shared" si="2"/>
        <v>37899847</v>
      </c>
      <c r="R30" s="8">
        <f t="shared" si="3"/>
        <v>137</v>
      </c>
      <c r="S30" s="9">
        <f t="shared" si="4"/>
        <v>0.61176470588235299</v>
      </c>
      <c r="T30" s="2">
        <f t="shared" si="5"/>
        <v>9.7274799024914274E-2</v>
      </c>
    </row>
    <row r="31" spans="1:20" x14ac:dyDescent="0.3">
      <c r="A31" s="10">
        <v>45688</v>
      </c>
      <c r="B31" s="11">
        <v>31</v>
      </c>
      <c r="C31" s="11">
        <f>MONTH(Tabla1[[#This Row],[FECHA]])</f>
        <v>1</v>
      </c>
      <c r="D31" s="3">
        <v>0</v>
      </c>
      <c r="E31" s="11">
        <v>0</v>
      </c>
      <c r="F31" s="3">
        <v>0</v>
      </c>
      <c r="G31" s="11">
        <v>0</v>
      </c>
      <c r="H31" s="3">
        <v>0</v>
      </c>
      <c r="I31" s="11">
        <v>0</v>
      </c>
      <c r="J31" s="3">
        <v>0</v>
      </c>
      <c r="K31" s="11">
        <v>0</v>
      </c>
      <c r="L31" s="3">
        <v>0</v>
      </c>
      <c r="M31" s="11">
        <v>0</v>
      </c>
      <c r="N31" s="3">
        <v>0</v>
      </c>
      <c r="O31" s="3">
        <f t="shared" si="0"/>
        <v>0</v>
      </c>
      <c r="P31" s="8">
        <f t="shared" si="1"/>
        <v>0</v>
      </c>
      <c r="Q31" s="3">
        <f t="shared" si="2"/>
        <v>0</v>
      </c>
      <c r="R31" s="8">
        <f t="shared" si="3"/>
        <v>0</v>
      </c>
      <c r="S31" s="9">
        <f>0</f>
        <v>0</v>
      </c>
      <c r="T31" s="4">
        <f t="shared" si="5"/>
        <v>0</v>
      </c>
    </row>
    <row r="32" spans="1:20" x14ac:dyDescent="0.3">
      <c r="A32" s="10">
        <v>45689</v>
      </c>
      <c r="B32" s="11">
        <v>1</v>
      </c>
      <c r="C32" s="11">
        <f>MONTH(Tabla1[[#This Row],[FECHA]])</f>
        <v>2</v>
      </c>
      <c r="D32" s="3">
        <v>2185700</v>
      </c>
      <c r="E32" s="11">
        <v>40</v>
      </c>
      <c r="F32" s="3">
        <v>3012800</v>
      </c>
      <c r="G32" s="11">
        <v>19</v>
      </c>
      <c r="H32" s="3">
        <v>9251200</v>
      </c>
      <c r="I32" s="11">
        <v>10</v>
      </c>
      <c r="J32" s="3">
        <v>5746800</v>
      </c>
      <c r="K32" s="11">
        <v>26</v>
      </c>
      <c r="L32" s="3">
        <v>2647000</v>
      </c>
      <c r="M32" s="11">
        <v>53</v>
      </c>
      <c r="N32" s="3">
        <v>6518900</v>
      </c>
      <c r="O32" s="3">
        <f t="shared" si="0"/>
        <v>20196500</v>
      </c>
      <c r="P32" s="8">
        <f t="shared" si="1"/>
        <v>95</v>
      </c>
      <c r="Q32" s="3">
        <f t="shared" si="2"/>
        <v>22843500</v>
      </c>
      <c r="R32" s="8">
        <f t="shared" si="3"/>
        <v>148</v>
      </c>
      <c r="S32" s="9">
        <f t="shared" ref="S32:S63" si="6">M32/P32</f>
        <v>0.55789473684210522</v>
      </c>
      <c r="T32" s="4">
        <f t="shared" si="5"/>
        <v>0.11587541313721628</v>
      </c>
    </row>
    <row r="33" spans="1:20" x14ac:dyDescent="0.3">
      <c r="A33" s="10">
        <v>45690</v>
      </c>
      <c r="B33" s="11">
        <v>2</v>
      </c>
      <c r="C33" s="11">
        <f>MONTH(Tabla1[[#This Row],[FECHA]])</f>
        <v>2</v>
      </c>
      <c r="D33" s="3">
        <v>966200</v>
      </c>
      <c r="E33" s="11">
        <v>13</v>
      </c>
      <c r="F33" s="3">
        <v>1621800</v>
      </c>
      <c r="G33" s="11">
        <v>12</v>
      </c>
      <c r="H33" s="3">
        <v>2795500</v>
      </c>
      <c r="I33" s="11">
        <v>6</v>
      </c>
      <c r="J33" s="3">
        <v>2485750</v>
      </c>
      <c r="K33" s="11">
        <v>12</v>
      </c>
      <c r="L33" s="3">
        <v>16776700</v>
      </c>
      <c r="M33" s="11">
        <v>43</v>
      </c>
      <c r="N33" s="3">
        <v>1490000</v>
      </c>
      <c r="O33" s="3">
        <f t="shared" si="0"/>
        <v>7869250</v>
      </c>
      <c r="P33" s="8">
        <f t="shared" si="1"/>
        <v>43</v>
      </c>
      <c r="Q33" s="3">
        <f t="shared" si="2"/>
        <v>24645950</v>
      </c>
      <c r="R33" s="8">
        <f t="shared" si="3"/>
        <v>86</v>
      </c>
      <c r="S33" s="9">
        <f t="shared" si="6"/>
        <v>1</v>
      </c>
      <c r="T33" s="4">
        <f t="shared" si="5"/>
        <v>0.68070818937797084</v>
      </c>
    </row>
    <row r="34" spans="1:20" x14ac:dyDescent="0.3">
      <c r="A34" s="10">
        <v>45691</v>
      </c>
      <c r="B34" s="11">
        <v>3</v>
      </c>
      <c r="C34" s="11">
        <f>MONTH(Tabla1[[#This Row],[FECHA]])</f>
        <v>2</v>
      </c>
      <c r="D34" s="3">
        <v>1692600</v>
      </c>
      <c r="E34" s="11">
        <v>34</v>
      </c>
      <c r="F34" s="3">
        <v>5920340</v>
      </c>
      <c r="G34" s="11">
        <v>16</v>
      </c>
      <c r="H34" s="3">
        <v>5215200</v>
      </c>
      <c r="I34" s="11">
        <v>11</v>
      </c>
      <c r="J34" s="3">
        <v>5559800</v>
      </c>
      <c r="K34" s="11">
        <v>28</v>
      </c>
      <c r="L34" s="3">
        <v>7579300</v>
      </c>
      <c r="M34" s="11">
        <v>82</v>
      </c>
      <c r="N34" s="3">
        <v>2894150</v>
      </c>
      <c r="O34" s="3">
        <f t="shared" si="0"/>
        <v>18387940</v>
      </c>
      <c r="P34" s="8">
        <f t="shared" si="1"/>
        <v>89</v>
      </c>
      <c r="Q34" s="3">
        <f t="shared" si="2"/>
        <v>25967240</v>
      </c>
      <c r="R34" s="8">
        <f t="shared" si="3"/>
        <v>171</v>
      </c>
      <c r="S34" s="9">
        <f t="shared" si="6"/>
        <v>0.9213483146067416</v>
      </c>
      <c r="T34" s="4">
        <f t="shared" si="5"/>
        <v>0.2918793063875868</v>
      </c>
    </row>
    <row r="35" spans="1:20" x14ac:dyDescent="0.3">
      <c r="A35" s="10">
        <v>45692</v>
      </c>
      <c r="B35" s="11">
        <v>4</v>
      </c>
      <c r="C35" s="11">
        <f>MONTH(Tabla1[[#This Row],[FECHA]])</f>
        <v>2</v>
      </c>
      <c r="D35" s="3">
        <v>3389300</v>
      </c>
      <c r="E35" s="11">
        <v>33</v>
      </c>
      <c r="F35" s="3">
        <v>14925800</v>
      </c>
      <c r="G35" s="11">
        <v>23</v>
      </c>
      <c r="H35" s="3">
        <v>1797500</v>
      </c>
      <c r="I35" s="11">
        <v>7</v>
      </c>
      <c r="J35" s="3">
        <v>5473700</v>
      </c>
      <c r="K35" s="11">
        <v>47</v>
      </c>
      <c r="L35" s="3">
        <v>8593600</v>
      </c>
      <c r="M35" s="11">
        <v>64</v>
      </c>
      <c r="N35" s="3">
        <v>2227500</v>
      </c>
      <c r="O35" s="3">
        <f t="shared" si="0"/>
        <v>25586300</v>
      </c>
      <c r="P35" s="8">
        <f t="shared" si="1"/>
        <v>110</v>
      </c>
      <c r="Q35" s="3">
        <f t="shared" si="2"/>
        <v>34179900</v>
      </c>
      <c r="R35" s="8">
        <f t="shared" si="3"/>
        <v>174</v>
      </c>
      <c r="S35" s="9">
        <f t="shared" si="6"/>
        <v>0.58181818181818179</v>
      </c>
      <c r="T35" s="4">
        <f t="shared" si="5"/>
        <v>0.25142261972679852</v>
      </c>
    </row>
    <row r="36" spans="1:20" x14ac:dyDescent="0.3">
      <c r="A36" s="10">
        <v>45693</v>
      </c>
      <c r="B36" s="11">
        <v>5</v>
      </c>
      <c r="C36" s="11">
        <f>MONTH(Tabla1[[#This Row],[FECHA]])</f>
        <v>2</v>
      </c>
      <c r="D36" s="3">
        <v>1824500</v>
      </c>
      <c r="E36" s="11">
        <v>30</v>
      </c>
      <c r="F36" s="3">
        <v>4203200</v>
      </c>
      <c r="G36" s="11">
        <v>11</v>
      </c>
      <c r="H36" s="3">
        <v>3826800</v>
      </c>
      <c r="I36" s="11">
        <v>10</v>
      </c>
      <c r="J36" s="3">
        <v>5877300</v>
      </c>
      <c r="K36" s="11">
        <v>35</v>
      </c>
      <c r="L36" s="3">
        <v>6302700</v>
      </c>
      <c r="M36" s="11">
        <v>57</v>
      </c>
      <c r="N36" s="3">
        <v>6783850</v>
      </c>
      <c r="O36" s="3">
        <f t="shared" si="0"/>
        <v>15731800</v>
      </c>
      <c r="P36" s="8">
        <f t="shared" si="1"/>
        <v>86</v>
      </c>
      <c r="Q36" s="3">
        <f t="shared" si="2"/>
        <v>22034500</v>
      </c>
      <c r="R36" s="8">
        <f t="shared" si="3"/>
        <v>143</v>
      </c>
      <c r="S36" s="9">
        <f t="shared" si="6"/>
        <v>0.66279069767441856</v>
      </c>
      <c r="T36" s="4">
        <f t="shared" si="5"/>
        <v>0.28603780435226578</v>
      </c>
    </row>
    <row r="37" spans="1:20" x14ac:dyDescent="0.3">
      <c r="A37" s="10">
        <v>45694</v>
      </c>
      <c r="B37" s="11">
        <v>6</v>
      </c>
      <c r="C37" s="11">
        <f>MONTH(Tabla1[[#This Row],[FECHA]])</f>
        <v>2</v>
      </c>
      <c r="D37" s="3">
        <v>1403000</v>
      </c>
      <c r="E37" s="11">
        <v>28</v>
      </c>
      <c r="F37" s="3">
        <v>4261300</v>
      </c>
      <c r="G37" s="11">
        <v>15</v>
      </c>
      <c r="H37" s="3">
        <v>4980900</v>
      </c>
      <c r="I37" s="11">
        <v>17</v>
      </c>
      <c r="J37" s="3">
        <v>2259700</v>
      </c>
      <c r="K37" s="11">
        <v>29</v>
      </c>
      <c r="L37" s="3">
        <v>5472050</v>
      </c>
      <c r="M37" s="11">
        <v>68</v>
      </c>
      <c r="N37" s="3">
        <v>4786750</v>
      </c>
      <c r="O37" s="3">
        <f t="shared" si="0"/>
        <v>12904900</v>
      </c>
      <c r="P37" s="8">
        <f t="shared" si="1"/>
        <v>89</v>
      </c>
      <c r="Q37" s="3">
        <f t="shared" si="2"/>
        <v>18376950</v>
      </c>
      <c r="R37" s="8">
        <f t="shared" si="3"/>
        <v>157</v>
      </c>
      <c r="S37" s="9">
        <f t="shared" si="6"/>
        <v>0.7640449438202247</v>
      </c>
      <c r="T37" s="4">
        <f t="shared" si="5"/>
        <v>0.2977670396883052</v>
      </c>
    </row>
    <row r="38" spans="1:20" x14ac:dyDescent="0.3">
      <c r="A38" s="10">
        <v>45695</v>
      </c>
      <c r="B38" s="11">
        <v>7</v>
      </c>
      <c r="C38" s="11">
        <f>MONTH(Tabla1[[#This Row],[FECHA]])</f>
        <v>2</v>
      </c>
      <c r="D38" s="3">
        <v>1256700</v>
      </c>
      <c r="E38" s="11">
        <v>30</v>
      </c>
      <c r="F38" s="3">
        <v>8592900</v>
      </c>
      <c r="G38" s="11">
        <v>14</v>
      </c>
      <c r="H38" s="3">
        <v>4416500</v>
      </c>
      <c r="I38" s="11">
        <v>9</v>
      </c>
      <c r="J38" s="3">
        <v>3303580</v>
      </c>
      <c r="K38" s="11">
        <v>29</v>
      </c>
      <c r="L38" s="3">
        <v>2901500</v>
      </c>
      <c r="M38" s="11">
        <v>64</v>
      </c>
      <c r="N38" s="3">
        <v>5926800</v>
      </c>
      <c r="O38" s="3">
        <f t="shared" si="0"/>
        <v>17569680</v>
      </c>
      <c r="P38" s="8">
        <f t="shared" si="1"/>
        <v>82</v>
      </c>
      <c r="Q38" s="3">
        <f t="shared" si="2"/>
        <v>20471180</v>
      </c>
      <c r="R38" s="8">
        <f t="shared" si="3"/>
        <v>146</v>
      </c>
      <c r="S38" s="9">
        <f t="shared" si="6"/>
        <v>0.78048780487804881</v>
      </c>
      <c r="T38" s="4">
        <f t="shared" si="5"/>
        <v>0.14173584522240534</v>
      </c>
    </row>
    <row r="39" spans="1:20" x14ac:dyDescent="0.3">
      <c r="A39" s="10">
        <v>45696</v>
      </c>
      <c r="B39" s="11">
        <v>8</v>
      </c>
      <c r="C39" s="11">
        <f>MONTH(Tabla1[[#This Row],[FECHA]])</f>
        <v>2</v>
      </c>
      <c r="D39" s="3">
        <v>1547800</v>
      </c>
      <c r="E39" s="11">
        <v>25</v>
      </c>
      <c r="F39" s="3">
        <v>3531632</v>
      </c>
      <c r="G39" s="11">
        <v>22</v>
      </c>
      <c r="H39" s="3">
        <v>12655000</v>
      </c>
      <c r="I39" s="11">
        <v>12</v>
      </c>
      <c r="J39" s="3">
        <v>3499900</v>
      </c>
      <c r="K39" s="11">
        <v>23</v>
      </c>
      <c r="L39" s="3">
        <v>5266600</v>
      </c>
      <c r="M39" s="11">
        <v>49</v>
      </c>
      <c r="N39" s="3">
        <v>10411200</v>
      </c>
      <c r="O39" s="3">
        <f t="shared" si="0"/>
        <v>21234332</v>
      </c>
      <c r="P39" s="8">
        <f t="shared" si="1"/>
        <v>82</v>
      </c>
      <c r="Q39" s="3">
        <f t="shared" si="2"/>
        <v>26500932</v>
      </c>
      <c r="R39" s="8">
        <f t="shared" si="3"/>
        <v>131</v>
      </c>
      <c r="S39" s="9">
        <f t="shared" si="6"/>
        <v>0.59756097560975607</v>
      </c>
      <c r="T39" s="4">
        <f t="shared" si="5"/>
        <v>0.19873263325229468</v>
      </c>
    </row>
    <row r="40" spans="1:20" x14ac:dyDescent="0.3">
      <c r="A40" s="10">
        <v>45697</v>
      </c>
      <c r="B40" s="11">
        <v>9</v>
      </c>
      <c r="C40" s="11">
        <f>MONTH(Tabla1[[#This Row],[FECHA]])</f>
        <v>2</v>
      </c>
      <c r="D40" s="3">
        <v>1268600</v>
      </c>
      <c r="E40" s="11">
        <v>21</v>
      </c>
      <c r="F40" s="3">
        <v>1309500</v>
      </c>
      <c r="G40" s="11">
        <v>12</v>
      </c>
      <c r="H40" s="3">
        <v>1076400</v>
      </c>
      <c r="I40" s="11">
        <v>5</v>
      </c>
      <c r="J40" s="3">
        <v>1638400</v>
      </c>
      <c r="K40" s="11">
        <v>10</v>
      </c>
      <c r="L40" s="3">
        <v>2311400</v>
      </c>
      <c r="M40" s="11">
        <v>41</v>
      </c>
      <c r="N40" s="3">
        <v>1168700</v>
      </c>
      <c r="O40" s="3">
        <f t="shared" si="0"/>
        <v>5292900</v>
      </c>
      <c r="P40" s="8">
        <f t="shared" si="1"/>
        <v>48</v>
      </c>
      <c r="Q40" s="3">
        <f t="shared" si="2"/>
        <v>7604300</v>
      </c>
      <c r="R40" s="8">
        <f t="shared" si="3"/>
        <v>89</v>
      </c>
      <c r="S40" s="9">
        <f t="shared" si="6"/>
        <v>0.85416666666666663</v>
      </c>
      <c r="T40" s="4">
        <f t="shared" si="5"/>
        <v>0.30395960180424236</v>
      </c>
    </row>
    <row r="41" spans="1:20" x14ac:dyDescent="0.3">
      <c r="A41" s="10">
        <v>45698</v>
      </c>
      <c r="B41" s="11">
        <v>10</v>
      </c>
      <c r="C41" s="11">
        <f>MONTH(Tabla1[[#This Row],[FECHA]])</f>
        <v>2</v>
      </c>
      <c r="D41" s="3">
        <v>1916800</v>
      </c>
      <c r="E41" s="11">
        <v>33</v>
      </c>
      <c r="F41" s="3">
        <v>2902100</v>
      </c>
      <c r="G41" s="11">
        <v>15</v>
      </c>
      <c r="H41" s="3">
        <v>14631848</v>
      </c>
      <c r="I41" s="11">
        <v>26</v>
      </c>
      <c r="J41" s="3">
        <v>3793800</v>
      </c>
      <c r="K41" s="11">
        <v>44</v>
      </c>
      <c r="L41" s="3">
        <v>6145400</v>
      </c>
      <c r="M41" s="11">
        <v>52</v>
      </c>
      <c r="N41" s="3">
        <v>7810200</v>
      </c>
      <c r="O41" s="3">
        <f t="shared" si="0"/>
        <v>23244548</v>
      </c>
      <c r="P41" s="8">
        <f t="shared" si="1"/>
        <v>118</v>
      </c>
      <c r="Q41" s="3">
        <f t="shared" si="2"/>
        <v>29389948</v>
      </c>
      <c r="R41" s="8">
        <f t="shared" si="3"/>
        <v>170</v>
      </c>
      <c r="S41" s="9">
        <f t="shared" si="6"/>
        <v>0.44067796610169491</v>
      </c>
      <c r="T41" s="4">
        <f t="shared" si="5"/>
        <v>0.20909870272652406</v>
      </c>
    </row>
    <row r="42" spans="1:20" x14ac:dyDescent="0.3">
      <c r="A42" s="10">
        <v>45699</v>
      </c>
      <c r="B42" s="11">
        <v>11</v>
      </c>
      <c r="C42" s="11">
        <f>MONTH(Tabla1[[#This Row],[FECHA]])</f>
        <v>2</v>
      </c>
      <c r="D42" s="3">
        <v>1068700</v>
      </c>
      <c r="E42" s="11">
        <v>21</v>
      </c>
      <c r="F42" s="3">
        <v>4537500</v>
      </c>
      <c r="G42" s="11">
        <v>14</v>
      </c>
      <c r="H42" s="3">
        <v>8414350</v>
      </c>
      <c r="I42" s="11">
        <v>15</v>
      </c>
      <c r="J42" s="3">
        <v>3401900</v>
      </c>
      <c r="K42" s="11">
        <v>33</v>
      </c>
      <c r="L42" s="3">
        <v>3078900</v>
      </c>
      <c r="M42" s="11">
        <v>48</v>
      </c>
      <c r="N42" s="3">
        <v>3784850</v>
      </c>
      <c r="O42" s="3">
        <f t="shared" si="0"/>
        <v>17422450</v>
      </c>
      <c r="P42" s="8">
        <f t="shared" si="1"/>
        <v>83</v>
      </c>
      <c r="Q42" s="3">
        <f t="shared" si="2"/>
        <v>20501350</v>
      </c>
      <c r="R42" s="8">
        <f t="shared" si="3"/>
        <v>131</v>
      </c>
      <c r="S42" s="9">
        <f t="shared" si="6"/>
        <v>0.57831325301204817</v>
      </c>
      <c r="T42" s="4">
        <f t="shared" si="5"/>
        <v>0.15018035397668933</v>
      </c>
    </row>
    <row r="43" spans="1:20" x14ac:dyDescent="0.3">
      <c r="A43" s="10">
        <v>45700</v>
      </c>
      <c r="B43" s="11">
        <v>12</v>
      </c>
      <c r="C43" s="11">
        <f>MONTH(Tabla1[[#This Row],[FECHA]])</f>
        <v>2</v>
      </c>
      <c r="D43" s="3">
        <v>1564900</v>
      </c>
      <c r="E43" s="11">
        <v>22</v>
      </c>
      <c r="F43" s="3">
        <v>1843000</v>
      </c>
      <c r="G43" s="11">
        <v>14</v>
      </c>
      <c r="H43" s="3">
        <v>9700040</v>
      </c>
      <c r="I43" s="11">
        <v>15</v>
      </c>
      <c r="J43" s="3">
        <v>6974700</v>
      </c>
      <c r="K43" s="11">
        <v>33</v>
      </c>
      <c r="L43" s="3">
        <v>5865700</v>
      </c>
      <c r="M43" s="11">
        <v>54</v>
      </c>
      <c r="N43" s="3">
        <v>3742000</v>
      </c>
      <c r="O43" s="3">
        <f t="shared" si="0"/>
        <v>20082640</v>
      </c>
      <c r="P43" s="8">
        <f t="shared" si="1"/>
        <v>84</v>
      </c>
      <c r="Q43" s="3">
        <f t="shared" si="2"/>
        <v>25948340</v>
      </c>
      <c r="R43" s="8">
        <f t="shared" si="3"/>
        <v>138</v>
      </c>
      <c r="S43" s="9">
        <f t="shared" si="6"/>
        <v>0.6428571428571429</v>
      </c>
      <c r="T43" s="4">
        <f t="shared" si="5"/>
        <v>0.22605299606834195</v>
      </c>
    </row>
    <row r="44" spans="1:20" x14ac:dyDescent="0.3">
      <c r="A44" s="10">
        <v>45701</v>
      </c>
      <c r="B44" s="11">
        <v>13</v>
      </c>
      <c r="C44" s="11">
        <f>MONTH(Tabla1[[#This Row],[FECHA]])</f>
        <v>2</v>
      </c>
      <c r="D44" s="3">
        <v>1801700</v>
      </c>
      <c r="E44" s="11">
        <v>36</v>
      </c>
      <c r="F44" s="3">
        <v>6785400</v>
      </c>
      <c r="G44" s="11">
        <v>11</v>
      </c>
      <c r="H44" s="3">
        <v>8589600</v>
      </c>
      <c r="I44" s="11">
        <v>14</v>
      </c>
      <c r="J44" s="3">
        <v>4552900</v>
      </c>
      <c r="K44" s="11">
        <v>35</v>
      </c>
      <c r="L44" s="3">
        <v>2268700</v>
      </c>
      <c r="M44" s="11">
        <v>49</v>
      </c>
      <c r="N44" s="3">
        <v>2217000</v>
      </c>
      <c r="O44" s="3">
        <f t="shared" si="0"/>
        <v>21729600</v>
      </c>
      <c r="P44" s="8">
        <f t="shared" si="1"/>
        <v>96</v>
      </c>
      <c r="Q44" s="3">
        <f t="shared" si="2"/>
        <v>23998300</v>
      </c>
      <c r="R44" s="8">
        <f t="shared" si="3"/>
        <v>145</v>
      </c>
      <c r="S44" s="9">
        <f t="shared" si="6"/>
        <v>0.51041666666666663</v>
      </c>
      <c r="T44" s="4">
        <f t="shared" si="5"/>
        <v>9.4535862956959454E-2</v>
      </c>
    </row>
    <row r="45" spans="1:20" x14ac:dyDescent="0.3">
      <c r="A45" s="10">
        <v>45702</v>
      </c>
      <c r="B45" s="11">
        <v>14</v>
      </c>
      <c r="C45" s="11">
        <f>MONTH(Tabla1[[#This Row],[FECHA]])</f>
        <v>2</v>
      </c>
      <c r="D45" s="3">
        <v>2019000</v>
      </c>
      <c r="E45" s="11">
        <v>29</v>
      </c>
      <c r="F45" s="3">
        <v>1663600</v>
      </c>
      <c r="G45" s="11">
        <v>8</v>
      </c>
      <c r="H45" s="3">
        <v>8843500</v>
      </c>
      <c r="I45" s="11">
        <v>17</v>
      </c>
      <c r="J45" s="3">
        <v>1960900</v>
      </c>
      <c r="K45" s="11">
        <v>34</v>
      </c>
      <c r="L45" s="3">
        <v>1975900</v>
      </c>
      <c r="M45" s="11">
        <v>31</v>
      </c>
      <c r="N45" s="3">
        <v>4865700</v>
      </c>
      <c r="O45" s="3">
        <f t="shared" si="0"/>
        <v>14487000</v>
      </c>
      <c r="P45" s="8">
        <f t="shared" si="1"/>
        <v>88</v>
      </c>
      <c r="Q45" s="3">
        <f t="shared" si="2"/>
        <v>16462900</v>
      </c>
      <c r="R45" s="8">
        <f t="shared" si="3"/>
        <v>119</v>
      </c>
      <c r="S45" s="9">
        <f t="shared" si="6"/>
        <v>0.35227272727272729</v>
      </c>
      <c r="T45" s="4">
        <f t="shared" si="5"/>
        <v>0.12002138140910776</v>
      </c>
    </row>
    <row r="46" spans="1:20" x14ac:dyDescent="0.3">
      <c r="A46" s="10">
        <v>45703</v>
      </c>
      <c r="B46" s="11">
        <v>15</v>
      </c>
      <c r="C46" s="11">
        <f>MONTH(Tabla1[[#This Row],[FECHA]])</f>
        <v>2</v>
      </c>
      <c r="D46" s="3">
        <v>2080000</v>
      </c>
      <c r="E46" s="11">
        <v>35</v>
      </c>
      <c r="F46" s="3">
        <v>4866250</v>
      </c>
      <c r="G46" s="11">
        <v>19</v>
      </c>
      <c r="H46" s="3">
        <v>3793150</v>
      </c>
      <c r="I46" s="11">
        <v>12</v>
      </c>
      <c r="J46" s="3">
        <v>4931792</v>
      </c>
      <c r="K46" s="11">
        <v>31</v>
      </c>
      <c r="L46" s="3">
        <v>2995300</v>
      </c>
      <c r="M46" s="11">
        <v>64</v>
      </c>
      <c r="N46" s="3">
        <v>9945700</v>
      </c>
      <c r="O46" s="3">
        <f t="shared" si="0"/>
        <v>15671192</v>
      </c>
      <c r="P46" s="8">
        <f t="shared" si="1"/>
        <v>97</v>
      </c>
      <c r="Q46" s="3">
        <f t="shared" si="2"/>
        <v>18666492</v>
      </c>
      <c r="R46" s="8">
        <f t="shared" si="3"/>
        <v>161</v>
      </c>
      <c r="S46" s="9">
        <f t="shared" si="6"/>
        <v>0.65979381443298968</v>
      </c>
      <c r="T46" s="4">
        <f t="shared" si="5"/>
        <v>0.16046400148458531</v>
      </c>
    </row>
    <row r="47" spans="1:20" x14ac:dyDescent="0.3">
      <c r="A47" s="10">
        <v>45704</v>
      </c>
      <c r="B47" s="11">
        <v>16</v>
      </c>
      <c r="C47" s="11">
        <f>MONTH(Tabla1[[#This Row],[FECHA]])</f>
        <v>2</v>
      </c>
      <c r="D47" s="3">
        <v>638400</v>
      </c>
      <c r="E47" s="11">
        <v>20</v>
      </c>
      <c r="F47" s="3">
        <v>1727544</v>
      </c>
      <c r="G47" s="11">
        <v>6</v>
      </c>
      <c r="H47" s="3">
        <v>153100</v>
      </c>
      <c r="I47" s="11">
        <v>3</v>
      </c>
      <c r="J47" s="3">
        <v>5466600</v>
      </c>
      <c r="K47" s="11">
        <v>16</v>
      </c>
      <c r="L47" s="3">
        <v>1479500</v>
      </c>
      <c r="M47" s="11">
        <v>37</v>
      </c>
      <c r="N47" s="3">
        <v>1507300</v>
      </c>
      <c r="O47" s="3">
        <f t="shared" si="0"/>
        <v>7985644</v>
      </c>
      <c r="P47" s="8">
        <f t="shared" si="1"/>
        <v>45</v>
      </c>
      <c r="Q47" s="3">
        <f t="shared" si="2"/>
        <v>9465144</v>
      </c>
      <c r="R47" s="8">
        <f t="shared" si="3"/>
        <v>82</v>
      </c>
      <c r="S47" s="9">
        <f t="shared" si="6"/>
        <v>0.82222222222222219</v>
      </c>
      <c r="T47" s="4">
        <f t="shared" si="5"/>
        <v>0.15631035301734447</v>
      </c>
    </row>
    <row r="48" spans="1:20" x14ac:dyDescent="0.3">
      <c r="A48" s="10">
        <v>45705</v>
      </c>
      <c r="B48" s="11">
        <v>17</v>
      </c>
      <c r="C48" s="11">
        <f>MONTH(Tabla1[[#This Row],[FECHA]])</f>
        <v>2</v>
      </c>
      <c r="D48" s="3">
        <v>1382700</v>
      </c>
      <c r="E48" s="11">
        <v>29</v>
      </c>
      <c r="F48" s="3">
        <v>7304500</v>
      </c>
      <c r="G48" s="11">
        <v>22</v>
      </c>
      <c r="H48" s="3">
        <v>15443300</v>
      </c>
      <c r="I48" s="11">
        <v>24</v>
      </c>
      <c r="J48" s="3">
        <v>3675100</v>
      </c>
      <c r="K48" s="11">
        <v>23</v>
      </c>
      <c r="L48" s="3">
        <v>2243100</v>
      </c>
      <c r="M48" s="11">
        <v>43</v>
      </c>
      <c r="N48" s="3">
        <v>1021000</v>
      </c>
      <c r="O48" s="3">
        <f t="shared" si="0"/>
        <v>27805600</v>
      </c>
      <c r="P48" s="8">
        <f t="shared" si="1"/>
        <v>98</v>
      </c>
      <c r="Q48" s="3">
        <f t="shared" si="2"/>
        <v>30048700</v>
      </c>
      <c r="R48" s="8">
        <f t="shared" si="3"/>
        <v>141</v>
      </c>
      <c r="S48" s="9">
        <f t="shared" si="6"/>
        <v>0.43877551020408162</v>
      </c>
      <c r="T48" s="4">
        <f t="shared" si="5"/>
        <v>7.4648820082066775E-2</v>
      </c>
    </row>
    <row r="49" spans="1:20" x14ac:dyDescent="0.3">
      <c r="A49" s="10">
        <v>45706</v>
      </c>
      <c r="B49" s="11">
        <v>18</v>
      </c>
      <c r="C49" s="11">
        <f>MONTH(Tabla1[[#This Row],[FECHA]])</f>
        <v>2</v>
      </c>
      <c r="D49" s="3">
        <v>1846800</v>
      </c>
      <c r="E49" s="11">
        <v>35</v>
      </c>
      <c r="F49" s="3">
        <v>3820338</v>
      </c>
      <c r="G49" s="11">
        <v>23</v>
      </c>
      <c r="H49" s="3">
        <v>10314492</v>
      </c>
      <c r="I49" s="11">
        <v>12</v>
      </c>
      <c r="J49" s="3">
        <v>3117400</v>
      </c>
      <c r="K49" s="11">
        <v>30</v>
      </c>
      <c r="L49" s="3">
        <v>18225600</v>
      </c>
      <c r="M49" s="11">
        <v>49</v>
      </c>
      <c r="N49" s="3">
        <v>592300</v>
      </c>
      <c r="O49" s="3">
        <f t="shared" si="0"/>
        <v>19099030</v>
      </c>
      <c r="P49" s="8">
        <f t="shared" si="1"/>
        <v>100</v>
      </c>
      <c r="Q49" s="3">
        <f t="shared" si="2"/>
        <v>37324630</v>
      </c>
      <c r="R49" s="8">
        <f t="shared" si="3"/>
        <v>149</v>
      </c>
      <c r="S49" s="9">
        <f t="shared" si="6"/>
        <v>0.49</v>
      </c>
      <c r="T49" s="4">
        <f t="shared" si="5"/>
        <v>0.48829954911810242</v>
      </c>
    </row>
    <row r="50" spans="1:20" x14ac:dyDescent="0.3">
      <c r="A50" s="10">
        <v>45707</v>
      </c>
      <c r="B50" s="11">
        <v>19</v>
      </c>
      <c r="C50" s="11">
        <f>MONTH(Tabla1[[#This Row],[FECHA]])</f>
        <v>2</v>
      </c>
      <c r="D50" s="3">
        <v>1925000</v>
      </c>
      <c r="E50" s="11">
        <v>33</v>
      </c>
      <c r="F50" s="3">
        <v>2096216</v>
      </c>
      <c r="G50" s="11">
        <v>12</v>
      </c>
      <c r="H50" s="3">
        <v>14041800</v>
      </c>
      <c r="I50" s="11">
        <v>21</v>
      </c>
      <c r="J50" s="3">
        <v>4773100</v>
      </c>
      <c r="K50" s="11">
        <v>28</v>
      </c>
      <c r="L50" s="3">
        <v>4406700</v>
      </c>
      <c r="M50" s="11">
        <v>61</v>
      </c>
      <c r="N50" s="3">
        <v>6643000</v>
      </c>
      <c r="O50" s="3">
        <f t="shared" si="0"/>
        <v>22836116</v>
      </c>
      <c r="P50" s="8">
        <f t="shared" si="1"/>
        <v>94</v>
      </c>
      <c r="Q50" s="3">
        <f t="shared" si="2"/>
        <v>27242816</v>
      </c>
      <c r="R50" s="8">
        <f t="shared" si="3"/>
        <v>155</v>
      </c>
      <c r="S50" s="9">
        <f t="shared" si="6"/>
        <v>0.64893617021276595</v>
      </c>
      <c r="T50" s="4">
        <f t="shared" si="5"/>
        <v>0.16175640579887191</v>
      </c>
    </row>
    <row r="51" spans="1:20" x14ac:dyDescent="0.3">
      <c r="A51" s="10">
        <v>45708</v>
      </c>
      <c r="B51" s="11">
        <v>20</v>
      </c>
      <c r="C51" s="11">
        <f>MONTH(Tabla1[[#This Row],[FECHA]])</f>
        <v>2</v>
      </c>
      <c r="D51" s="3">
        <v>757500</v>
      </c>
      <c r="E51" s="11">
        <v>18</v>
      </c>
      <c r="F51" s="3">
        <v>1826900</v>
      </c>
      <c r="G51" s="11">
        <v>10</v>
      </c>
      <c r="H51" s="3">
        <v>6686408</v>
      </c>
      <c r="I51" s="11">
        <v>18</v>
      </c>
      <c r="J51" s="3">
        <v>6532250</v>
      </c>
      <c r="K51" s="11">
        <v>31</v>
      </c>
      <c r="L51" s="3">
        <v>7385760</v>
      </c>
      <c r="M51" s="11">
        <v>43</v>
      </c>
      <c r="N51" s="3">
        <v>4148300</v>
      </c>
      <c r="O51" s="3">
        <f t="shared" si="0"/>
        <v>15803058</v>
      </c>
      <c r="P51" s="8">
        <f t="shared" si="1"/>
        <v>77</v>
      </c>
      <c r="Q51" s="3">
        <f t="shared" si="2"/>
        <v>23188818</v>
      </c>
      <c r="R51" s="8">
        <f t="shared" si="3"/>
        <v>120</v>
      </c>
      <c r="S51" s="9">
        <f t="shared" si="6"/>
        <v>0.55844155844155841</v>
      </c>
      <c r="T51" s="4">
        <f t="shared" si="5"/>
        <v>0.31850523817125997</v>
      </c>
    </row>
    <row r="52" spans="1:20" x14ac:dyDescent="0.3">
      <c r="A52" s="10">
        <v>45709</v>
      </c>
      <c r="B52" s="11">
        <v>21</v>
      </c>
      <c r="C52" s="11">
        <f>MONTH(Tabla1[[#This Row],[FECHA]])</f>
        <v>2</v>
      </c>
      <c r="D52" s="3">
        <v>1535100</v>
      </c>
      <c r="E52" s="11">
        <v>26</v>
      </c>
      <c r="F52" s="3">
        <v>6355000</v>
      </c>
      <c r="G52" s="11">
        <v>18</v>
      </c>
      <c r="H52" s="3">
        <v>7039900</v>
      </c>
      <c r="I52" s="11">
        <v>18</v>
      </c>
      <c r="J52" s="3">
        <v>2406900</v>
      </c>
      <c r="K52" s="11">
        <v>21</v>
      </c>
      <c r="L52" s="3">
        <v>6230300</v>
      </c>
      <c r="M52" s="11">
        <v>44</v>
      </c>
      <c r="N52" s="3">
        <v>697000</v>
      </c>
      <c r="O52" s="3">
        <f t="shared" si="0"/>
        <v>17336900</v>
      </c>
      <c r="P52" s="8">
        <f t="shared" si="1"/>
        <v>83</v>
      </c>
      <c r="Q52" s="3">
        <f t="shared" si="2"/>
        <v>23567200</v>
      </c>
      <c r="R52" s="8">
        <f t="shared" si="3"/>
        <v>127</v>
      </c>
      <c r="S52" s="9">
        <f t="shared" si="6"/>
        <v>0.53012048192771088</v>
      </c>
      <c r="T52" s="4">
        <f t="shared" si="5"/>
        <v>0.26436318272853798</v>
      </c>
    </row>
    <row r="53" spans="1:20" x14ac:dyDescent="0.3">
      <c r="A53" s="10">
        <v>45710</v>
      </c>
      <c r="B53" s="11">
        <v>22</v>
      </c>
      <c r="C53" s="11">
        <f>MONTH(Tabla1[[#This Row],[FECHA]])</f>
        <v>2</v>
      </c>
      <c r="D53" s="3">
        <v>3217000</v>
      </c>
      <c r="E53" s="11">
        <v>29</v>
      </c>
      <c r="F53" s="3">
        <v>6298000</v>
      </c>
      <c r="G53" s="11">
        <v>22</v>
      </c>
      <c r="H53" s="3">
        <v>3837050</v>
      </c>
      <c r="I53" s="11">
        <v>14</v>
      </c>
      <c r="J53" s="3">
        <v>2094200</v>
      </c>
      <c r="K53" s="11">
        <v>25</v>
      </c>
      <c r="L53" s="3">
        <v>4698700</v>
      </c>
      <c r="M53" s="11">
        <v>57</v>
      </c>
      <c r="N53" s="3">
        <v>7329700</v>
      </c>
      <c r="O53" s="3">
        <f t="shared" si="0"/>
        <v>15446250</v>
      </c>
      <c r="P53" s="8">
        <f t="shared" si="1"/>
        <v>90</v>
      </c>
      <c r="Q53" s="3">
        <f t="shared" si="2"/>
        <v>20144950</v>
      </c>
      <c r="R53" s="8">
        <f t="shared" si="3"/>
        <v>147</v>
      </c>
      <c r="S53" s="9">
        <f t="shared" si="6"/>
        <v>0.6333333333333333</v>
      </c>
      <c r="T53" s="4">
        <f t="shared" si="5"/>
        <v>0.23324456005103017</v>
      </c>
    </row>
    <row r="54" spans="1:20" x14ac:dyDescent="0.3">
      <c r="A54" s="10">
        <v>45711</v>
      </c>
      <c r="B54" s="11">
        <v>23</v>
      </c>
      <c r="C54" s="11">
        <f>MONTH(Tabla1[[#This Row],[FECHA]])</f>
        <v>2</v>
      </c>
      <c r="D54" s="3">
        <v>1642700</v>
      </c>
      <c r="E54" s="11">
        <v>29</v>
      </c>
      <c r="F54" s="3">
        <v>8697700</v>
      </c>
      <c r="G54" s="11">
        <v>17</v>
      </c>
      <c r="H54" s="3">
        <v>4248600</v>
      </c>
      <c r="I54" s="11">
        <v>10</v>
      </c>
      <c r="J54" s="3">
        <v>2280600</v>
      </c>
      <c r="K54" s="11">
        <v>9</v>
      </c>
      <c r="L54" s="3">
        <v>8192700</v>
      </c>
      <c r="M54" s="11">
        <v>42</v>
      </c>
      <c r="N54" s="3">
        <v>564000</v>
      </c>
      <c r="O54" s="3">
        <f t="shared" si="0"/>
        <v>16869600</v>
      </c>
      <c r="P54" s="8">
        <f t="shared" si="1"/>
        <v>65</v>
      </c>
      <c r="Q54" s="3">
        <f t="shared" si="2"/>
        <v>25062300</v>
      </c>
      <c r="R54" s="8">
        <f t="shared" si="3"/>
        <v>107</v>
      </c>
      <c r="S54" s="9">
        <f t="shared" si="6"/>
        <v>0.64615384615384619</v>
      </c>
      <c r="T54" s="4">
        <f t="shared" si="5"/>
        <v>0.32689338169282151</v>
      </c>
    </row>
    <row r="55" spans="1:20" x14ac:dyDescent="0.3">
      <c r="A55" s="10">
        <v>45712</v>
      </c>
      <c r="B55" s="11">
        <v>24</v>
      </c>
      <c r="C55" s="11">
        <f>MONTH(Tabla1[[#This Row],[FECHA]])</f>
        <v>2</v>
      </c>
      <c r="D55" s="3">
        <v>1934200</v>
      </c>
      <c r="E55" s="11">
        <v>45</v>
      </c>
      <c r="F55" s="3">
        <v>5604100</v>
      </c>
      <c r="G55" s="11">
        <v>15</v>
      </c>
      <c r="H55" s="3">
        <v>12197760</v>
      </c>
      <c r="I55" s="11">
        <v>19</v>
      </c>
      <c r="J55" s="3">
        <v>10362350</v>
      </c>
      <c r="K55" s="11">
        <v>48</v>
      </c>
      <c r="L55" s="3">
        <v>2543000</v>
      </c>
      <c r="M55" s="11">
        <v>61</v>
      </c>
      <c r="N55" s="3">
        <v>5504320</v>
      </c>
      <c r="O55" s="3">
        <f t="shared" si="0"/>
        <v>30098410</v>
      </c>
      <c r="P55" s="8">
        <f t="shared" si="1"/>
        <v>127</v>
      </c>
      <c r="Q55" s="3">
        <f t="shared" si="2"/>
        <v>32641410</v>
      </c>
      <c r="R55" s="8">
        <f t="shared" si="3"/>
        <v>188</v>
      </c>
      <c r="S55" s="9">
        <f t="shared" si="6"/>
        <v>0.48031496062992124</v>
      </c>
      <c r="T55" s="4">
        <f t="shared" si="5"/>
        <v>7.7907173740350069E-2</v>
      </c>
    </row>
    <row r="56" spans="1:20" x14ac:dyDescent="0.3">
      <c r="A56" s="10">
        <v>45713</v>
      </c>
      <c r="B56" s="11">
        <v>25</v>
      </c>
      <c r="C56" s="11">
        <f>MONTH(Tabla1[[#This Row],[FECHA]])</f>
        <v>2</v>
      </c>
      <c r="D56" s="3">
        <v>1786700</v>
      </c>
      <c r="E56" s="11">
        <v>29</v>
      </c>
      <c r="F56" s="3">
        <v>4175100</v>
      </c>
      <c r="G56" s="11">
        <v>19</v>
      </c>
      <c r="H56" s="3">
        <v>6608900</v>
      </c>
      <c r="I56" s="11">
        <v>15</v>
      </c>
      <c r="J56" s="3">
        <v>3295000</v>
      </c>
      <c r="K56" s="11">
        <v>26</v>
      </c>
      <c r="L56" s="3">
        <v>3221800</v>
      </c>
      <c r="M56" s="11">
        <v>57</v>
      </c>
      <c r="N56" s="3">
        <v>1681800</v>
      </c>
      <c r="O56" s="3">
        <f t="shared" si="0"/>
        <v>15865700</v>
      </c>
      <c r="P56" s="8">
        <f t="shared" si="1"/>
        <v>89</v>
      </c>
      <c r="Q56" s="3">
        <f t="shared" si="2"/>
        <v>19087500</v>
      </c>
      <c r="R56" s="8">
        <f t="shared" si="3"/>
        <v>146</v>
      </c>
      <c r="S56" s="9">
        <f t="shared" si="6"/>
        <v>0.6404494382022472</v>
      </c>
      <c r="T56" s="4">
        <f t="shared" si="5"/>
        <v>0.16879109364767517</v>
      </c>
    </row>
    <row r="57" spans="1:20" x14ac:dyDescent="0.3">
      <c r="A57" s="10">
        <v>45714</v>
      </c>
      <c r="B57" s="11">
        <v>26</v>
      </c>
      <c r="C57" s="11">
        <f>MONTH(Tabla1[[#This Row],[FECHA]])</f>
        <v>2</v>
      </c>
      <c r="D57" s="3">
        <v>1297400</v>
      </c>
      <c r="E57" s="11">
        <v>23</v>
      </c>
      <c r="F57" s="3">
        <v>1040100</v>
      </c>
      <c r="G57" s="11">
        <v>12</v>
      </c>
      <c r="H57" s="3">
        <v>9157800</v>
      </c>
      <c r="I57" s="11">
        <v>20</v>
      </c>
      <c r="J57" s="3">
        <v>3237160</v>
      </c>
      <c r="K57" s="11">
        <v>29</v>
      </c>
      <c r="L57" s="3">
        <v>5411000</v>
      </c>
      <c r="M57" s="11">
        <v>54</v>
      </c>
      <c r="N57" s="3">
        <v>4013000</v>
      </c>
      <c r="O57" s="3">
        <f t="shared" si="0"/>
        <v>14732460</v>
      </c>
      <c r="P57" s="8">
        <f t="shared" si="1"/>
        <v>84</v>
      </c>
      <c r="Q57" s="3">
        <f t="shared" si="2"/>
        <v>20143460</v>
      </c>
      <c r="R57" s="8">
        <f t="shared" si="3"/>
        <v>138</v>
      </c>
      <c r="S57" s="9">
        <f t="shared" si="6"/>
        <v>0.6428571428571429</v>
      </c>
      <c r="T57" s="4">
        <f t="shared" si="5"/>
        <v>0.26862316603006631</v>
      </c>
    </row>
    <row r="58" spans="1:20" x14ac:dyDescent="0.3">
      <c r="A58" s="10">
        <v>45715</v>
      </c>
      <c r="B58" s="11">
        <v>27</v>
      </c>
      <c r="C58" s="11">
        <f>MONTH(Tabla1[[#This Row],[FECHA]])</f>
        <v>2</v>
      </c>
      <c r="D58" s="3">
        <v>1044300</v>
      </c>
      <c r="E58" s="11">
        <v>17</v>
      </c>
      <c r="F58" s="3">
        <v>4031500</v>
      </c>
      <c r="G58" s="11">
        <v>18</v>
      </c>
      <c r="H58" s="3">
        <v>5557200</v>
      </c>
      <c r="I58" s="11">
        <v>11</v>
      </c>
      <c r="J58" s="3">
        <v>2231200</v>
      </c>
      <c r="K58" s="11">
        <v>26</v>
      </c>
      <c r="L58" s="3">
        <v>3176400</v>
      </c>
      <c r="M58" s="11">
        <v>39</v>
      </c>
      <c r="N58" s="3">
        <v>2120900</v>
      </c>
      <c r="O58" s="3">
        <f t="shared" si="0"/>
        <v>12864200</v>
      </c>
      <c r="P58" s="8">
        <f t="shared" si="1"/>
        <v>72</v>
      </c>
      <c r="Q58" s="3">
        <f t="shared" si="2"/>
        <v>16040600</v>
      </c>
      <c r="R58" s="8">
        <f t="shared" si="3"/>
        <v>111</v>
      </c>
      <c r="S58" s="9">
        <f t="shared" si="6"/>
        <v>0.54166666666666663</v>
      </c>
      <c r="T58" s="4">
        <f t="shared" si="5"/>
        <v>0.19802251786092789</v>
      </c>
    </row>
    <row r="59" spans="1:20" x14ac:dyDescent="0.3">
      <c r="A59" s="10">
        <v>45716</v>
      </c>
      <c r="B59" s="11">
        <v>28</v>
      </c>
      <c r="C59" s="11">
        <f>MONTH(Tabla1[[#This Row],[FECHA]])</f>
        <v>2</v>
      </c>
      <c r="D59" s="3">
        <v>1672600</v>
      </c>
      <c r="E59" s="11">
        <v>30</v>
      </c>
      <c r="F59" s="3">
        <v>4625700</v>
      </c>
      <c r="G59" s="11">
        <v>18</v>
      </c>
      <c r="H59" s="3">
        <v>2389800</v>
      </c>
      <c r="I59" s="11">
        <v>8</v>
      </c>
      <c r="J59" s="3">
        <v>5520210</v>
      </c>
      <c r="K59" s="11">
        <v>29</v>
      </c>
      <c r="L59" s="3">
        <v>3176500</v>
      </c>
      <c r="M59" s="11">
        <v>55</v>
      </c>
      <c r="N59" s="3">
        <v>8796800</v>
      </c>
      <c r="O59" s="3">
        <f t="shared" si="0"/>
        <v>14208310</v>
      </c>
      <c r="P59" s="8">
        <f t="shared" si="1"/>
        <v>85</v>
      </c>
      <c r="Q59" s="3">
        <f t="shared" si="2"/>
        <v>17384810</v>
      </c>
      <c r="R59" s="8">
        <f t="shared" si="3"/>
        <v>140</v>
      </c>
      <c r="S59" s="9">
        <f t="shared" si="6"/>
        <v>0.6470588235294118</v>
      </c>
      <c r="T59" s="4">
        <f t="shared" si="5"/>
        <v>0.18271698108866302</v>
      </c>
    </row>
    <row r="60" spans="1:20" x14ac:dyDescent="0.3">
      <c r="A60" s="10">
        <v>45717</v>
      </c>
      <c r="B60" s="11">
        <v>1</v>
      </c>
      <c r="C60" s="11">
        <f>MONTH(Tabla1[[#This Row],[FECHA]])</f>
        <v>3</v>
      </c>
      <c r="D60" s="3">
        <v>1909800</v>
      </c>
      <c r="E60" s="11">
        <v>27</v>
      </c>
      <c r="F60" s="3">
        <v>8151100</v>
      </c>
      <c r="G60" s="11">
        <v>31</v>
      </c>
      <c r="H60" s="3">
        <v>3033200</v>
      </c>
      <c r="I60" s="11">
        <v>15</v>
      </c>
      <c r="J60" s="3">
        <v>3248000</v>
      </c>
      <c r="K60" s="11">
        <v>32</v>
      </c>
      <c r="L60" s="3">
        <v>4472600</v>
      </c>
      <c r="M60" s="11">
        <v>61</v>
      </c>
      <c r="N60" s="3">
        <v>7448600</v>
      </c>
      <c r="O60" s="3">
        <f t="shared" si="0"/>
        <v>16342100</v>
      </c>
      <c r="P60" s="8">
        <f t="shared" si="1"/>
        <v>105</v>
      </c>
      <c r="Q60" s="3">
        <f t="shared" si="2"/>
        <v>20814700</v>
      </c>
      <c r="R60" s="8">
        <f t="shared" si="3"/>
        <v>166</v>
      </c>
      <c r="S60" s="9">
        <f t="shared" si="6"/>
        <v>0.580952380952381</v>
      </c>
      <c r="T60" s="4">
        <f t="shared" si="5"/>
        <v>0.21487698597625715</v>
      </c>
    </row>
    <row r="61" spans="1:20" x14ac:dyDescent="0.3">
      <c r="A61" s="10">
        <v>45718</v>
      </c>
      <c r="B61" s="11">
        <v>2</v>
      </c>
      <c r="C61" s="11">
        <f>MONTH(Tabla1[[#This Row],[FECHA]])</f>
        <v>3</v>
      </c>
      <c r="D61" s="3">
        <v>1267800</v>
      </c>
      <c r="E61" s="11">
        <v>17</v>
      </c>
      <c r="F61" s="3">
        <v>1706300</v>
      </c>
      <c r="G61" s="11">
        <v>18</v>
      </c>
      <c r="H61" s="3">
        <v>2797400</v>
      </c>
      <c r="I61" s="11">
        <v>8</v>
      </c>
      <c r="J61" s="3">
        <v>314200</v>
      </c>
      <c r="K61" s="11">
        <v>7</v>
      </c>
      <c r="L61" s="3">
        <v>1331500</v>
      </c>
      <c r="M61" s="11">
        <v>33</v>
      </c>
      <c r="N61" s="3">
        <v>74800</v>
      </c>
      <c r="O61" s="3">
        <f t="shared" si="0"/>
        <v>6085700</v>
      </c>
      <c r="P61" s="8">
        <f t="shared" si="1"/>
        <v>50</v>
      </c>
      <c r="Q61" s="3">
        <f t="shared" si="2"/>
        <v>7417200</v>
      </c>
      <c r="R61" s="8">
        <f t="shared" si="3"/>
        <v>83</v>
      </c>
      <c r="S61" s="9">
        <f t="shared" si="6"/>
        <v>0.66</v>
      </c>
      <c r="T61" s="4">
        <f t="shared" si="5"/>
        <v>0.17951518093080948</v>
      </c>
    </row>
    <row r="62" spans="1:20" x14ac:dyDescent="0.3">
      <c r="A62" s="10">
        <v>45719</v>
      </c>
      <c r="B62" s="11">
        <v>3</v>
      </c>
      <c r="C62" s="11">
        <f>MONTH(Tabla1[[#This Row],[FECHA]])</f>
        <v>3</v>
      </c>
      <c r="D62" s="3">
        <v>2527950</v>
      </c>
      <c r="E62" s="11">
        <v>33</v>
      </c>
      <c r="F62" s="3">
        <v>3431300</v>
      </c>
      <c r="G62" s="11">
        <v>23</v>
      </c>
      <c r="H62" s="3">
        <v>7583100</v>
      </c>
      <c r="I62" s="11">
        <v>12</v>
      </c>
      <c r="J62" s="3">
        <v>11791250</v>
      </c>
      <c r="K62" s="11">
        <v>23</v>
      </c>
      <c r="L62" s="3">
        <v>3998800</v>
      </c>
      <c r="M62" s="11">
        <v>48</v>
      </c>
      <c r="N62" s="3">
        <v>8848700</v>
      </c>
      <c r="O62" s="3">
        <f t="shared" si="0"/>
        <v>25333600</v>
      </c>
      <c r="P62" s="8">
        <f t="shared" si="1"/>
        <v>91</v>
      </c>
      <c r="Q62" s="3">
        <f t="shared" si="2"/>
        <v>29332400</v>
      </c>
      <c r="R62" s="8">
        <f t="shared" si="3"/>
        <v>139</v>
      </c>
      <c r="S62" s="9">
        <f t="shared" si="6"/>
        <v>0.52747252747252749</v>
      </c>
      <c r="T62" s="4">
        <f t="shared" si="5"/>
        <v>0.13632706495206665</v>
      </c>
    </row>
    <row r="63" spans="1:20" x14ac:dyDescent="0.3">
      <c r="A63" s="10">
        <v>45720</v>
      </c>
      <c r="B63" s="11">
        <v>4</v>
      </c>
      <c r="C63" s="11">
        <f>MONTH(Tabla1[[#This Row],[FECHA]])</f>
        <v>3</v>
      </c>
      <c r="D63" s="3">
        <v>3220100</v>
      </c>
      <c r="E63" s="11">
        <v>44</v>
      </c>
      <c r="F63" s="3">
        <v>9530222</v>
      </c>
      <c r="G63" s="11">
        <v>7</v>
      </c>
      <c r="H63" s="3">
        <v>10691800</v>
      </c>
      <c r="I63" s="11">
        <v>19</v>
      </c>
      <c r="J63" s="3">
        <v>3402350</v>
      </c>
      <c r="K63" s="11">
        <v>28</v>
      </c>
      <c r="L63" s="3">
        <v>7311350</v>
      </c>
      <c r="M63" s="11">
        <v>74</v>
      </c>
      <c r="N63" s="3">
        <v>6748200</v>
      </c>
      <c r="O63" s="3">
        <f t="shared" si="0"/>
        <v>26844472</v>
      </c>
      <c r="P63" s="8">
        <f t="shared" si="1"/>
        <v>98</v>
      </c>
      <c r="Q63" s="3">
        <f t="shared" si="2"/>
        <v>34155822</v>
      </c>
      <c r="R63" s="8">
        <f t="shared" si="3"/>
        <v>172</v>
      </c>
      <c r="S63" s="9">
        <f t="shared" si="6"/>
        <v>0.75510204081632648</v>
      </c>
      <c r="T63" s="4">
        <f t="shared" si="5"/>
        <v>0.21405867497494277</v>
      </c>
    </row>
    <row r="64" spans="1:20" x14ac:dyDescent="0.3">
      <c r="A64" s="10">
        <v>45721</v>
      </c>
      <c r="B64" s="11">
        <v>5</v>
      </c>
      <c r="C64" s="11">
        <f>MONTH(Tabla1[[#This Row],[FECHA]])</f>
        <v>3</v>
      </c>
      <c r="D64" s="3">
        <v>2087700</v>
      </c>
      <c r="E64" s="11">
        <v>34</v>
      </c>
      <c r="F64" s="3">
        <v>1518732</v>
      </c>
      <c r="G64" s="11">
        <v>14</v>
      </c>
      <c r="H64" s="3">
        <v>7450700</v>
      </c>
      <c r="I64" s="11">
        <v>15</v>
      </c>
      <c r="J64" s="3">
        <v>3885400</v>
      </c>
      <c r="K64" s="11">
        <v>25</v>
      </c>
      <c r="L64" s="3">
        <v>4917700</v>
      </c>
      <c r="M64" s="11">
        <v>51</v>
      </c>
      <c r="N64" s="3">
        <v>183000</v>
      </c>
      <c r="O64" s="3">
        <f t="shared" si="0"/>
        <v>14942532</v>
      </c>
      <c r="P64" s="8">
        <f t="shared" si="1"/>
        <v>88</v>
      </c>
      <c r="Q64" s="3">
        <f t="shared" si="2"/>
        <v>19860232</v>
      </c>
      <c r="R64" s="8">
        <f t="shared" si="3"/>
        <v>139</v>
      </c>
      <c r="S64" s="9">
        <f t="shared" ref="S64:S95" si="7">M64/P64</f>
        <v>0.57954545454545459</v>
      </c>
      <c r="T64" s="4">
        <f t="shared" si="5"/>
        <v>0.2476154357109222</v>
      </c>
    </row>
    <row r="65" spans="1:20" x14ac:dyDescent="0.3">
      <c r="A65" s="10">
        <v>45722</v>
      </c>
      <c r="B65" s="11">
        <v>6</v>
      </c>
      <c r="C65" s="11">
        <f>MONTH(Tabla1[[#This Row],[FECHA]])</f>
        <v>3</v>
      </c>
      <c r="D65" s="3">
        <v>2294800</v>
      </c>
      <c r="E65" s="11">
        <v>37</v>
      </c>
      <c r="F65" s="3">
        <v>1213200</v>
      </c>
      <c r="G65" s="11">
        <v>9</v>
      </c>
      <c r="H65" s="3">
        <v>5316100</v>
      </c>
      <c r="I65" s="11">
        <v>16</v>
      </c>
      <c r="J65" s="3">
        <v>2747000</v>
      </c>
      <c r="K65" s="11">
        <v>30</v>
      </c>
      <c r="L65" s="3">
        <v>9055900</v>
      </c>
      <c r="M65" s="11">
        <v>64</v>
      </c>
      <c r="N65" s="3">
        <v>171900</v>
      </c>
      <c r="O65" s="3">
        <f t="shared" ref="O65:O128" si="8">D65+F65+H65+J65</f>
        <v>11571100</v>
      </c>
      <c r="P65" s="8">
        <f t="shared" ref="P65:P128" si="9">E65+G65+I65+K65</f>
        <v>92</v>
      </c>
      <c r="Q65" s="3">
        <f t="shared" ref="Q65:Q128" si="10">O65+L65</f>
        <v>20627000</v>
      </c>
      <c r="R65" s="8">
        <f t="shared" ref="R65:R128" si="11">P65+M65</f>
        <v>156</v>
      </c>
      <c r="S65" s="9">
        <f t="shared" si="7"/>
        <v>0.69565217391304346</v>
      </c>
      <c r="T65" s="4">
        <f t="shared" ref="T65:T128" si="12">IFERROR(L65/Q65,0)</f>
        <v>0.43903136665535464</v>
      </c>
    </row>
    <row r="66" spans="1:20" x14ac:dyDescent="0.3">
      <c r="A66" s="10">
        <v>45723</v>
      </c>
      <c r="B66" s="11">
        <v>7</v>
      </c>
      <c r="C66" s="11">
        <f>MONTH(Tabla1[[#This Row],[FECHA]])</f>
        <v>3</v>
      </c>
      <c r="D66" s="3">
        <v>1555000</v>
      </c>
      <c r="E66" s="11">
        <v>30</v>
      </c>
      <c r="F66" s="3">
        <v>3326800</v>
      </c>
      <c r="G66" s="11">
        <v>21</v>
      </c>
      <c r="H66" s="3">
        <v>9645700</v>
      </c>
      <c r="I66" s="11">
        <v>19</v>
      </c>
      <c r="J66" s="3">
        <v>1973260</v>
      </c>
      <c r="K66" s="11">
        <v>33</v>
      </c>
      <c r="L66" s="3">
        <v>6115300</v>
      </c>
      <c r="M66" s="11">
        <v>51</v>
      </c>
      <c r="N66" s="3">
        <v>191100</v>
      </c>
      <c r="O66" s="3">
        <f t="shared" si="8"/>
        <v>16500760</v>
      </c>
      <c r="P66" s="8">
        <f t="shared" si="9"/>
        <v>103</v>
      </c>
      <c r="Q66" s="3">
        <f t="shared" si="10"/>
        <v>22616060</v>
      </c>
      <c r="R66" s="8">
        <f t="shared" si="11"/>
        <v>154</v>
      </c>
      <c r="S66" s="9">
        <f t="shared" si="7"/>
        <v>0.49514563106796117</v>
      </c>
      <c r="T66" s="4">
        <f t="shared" si="12"/>
        <v>0.27039634666692608</v>
      </c>
    </row>
    <row r="67" spans="1:20" x14ac:dyDescent="0.3">
      <c r="A67" s="10">
        <v>45724</v>
      </c>
      <c r="B67" s="11">
        <v>8</v>
      </c>
      <c r="C67" s="11">
        <f>MONTH(Tabla1[[#This Row],[FECHA]])</f>
        <v>3</v>
      </c>
      <c r="D67" s="3">
        <v>1735800</v>
      </c>
      <c r="E67" s="11">
        <v>30</v>
      </c>
      <c r="F67" s="3">
        <v>6205620</v>
      </c>
      <c r="G67" s="11">
        <v>25</v>
      </c>
      <c r="H67" s="3">
        <v>6956800</v>
      </c>
      <c r="I67" s="11">
        <v>13</v>
      </c>
      <c r="J67" s="3">
        <v>5562500</v>
      </c>
      <c r="K67" s="11">
        <v>33</v>
      </c>
      <c r="L67" s="3">
        <v>1705000</v>
      </c>
      <c r="M67" s="11">
        <v>51</v>
      </c>
      <c r="N67" s="3">
        <v>3033100</v>
      </c>
      <c r="O67" s="3">
        <f t="shared" si="8"/>
        <v>20460720</v>
      </c>
      <c r="P67" s="8">
        <f t="shared" si="9"/>
        <v>101</v>
      </c>
      <c r="Q67" s="3">
        <f t="shared" si="10"/>
        <v>22165720</v>
      </c>
      <c r="R67" s="8">
        <f t="shared" si="11"/>
        <v>152</v>
      </c>
      <c r="S67" s="9">
        <f t="shared" si="7"/>
        <v>0.50495049504950495</v>
      </c>
      <c r="T67" s="4">
        <f t="shared" si="12"/>
        <v>7.6920578262289693E-2</v>
      </c>
    </row>
    <row r="68" spans="1:20" x14ac:dyDescent="0.3">
      <c r="A68" s="10">
        <v>45725</v>
      </c>
      <c r="B68" s="11">
        <v>9</v>
      </c>
      <c r="C68" s="11">
        <f>MONTH(Tabla1[[#This Row],[FECHA]])</f>
        <v>3</v>
      </c>
      <c r="D68" s="3">
        <v>1185500</v>
      </c>
      <c r="E68" s="11">
        <v>15</v>
      </c>
      <c r="F68" s="3">
        <v>2355200</v>
      </c>
      <c r="G68" s="11">
        <v>11</v>
      </c>
      <c r="H68" s="3">
        <v>984400</v>
      </c>
      <c r="I68" s="11">
        <v>3</v>
      </c>
      <c r="J68" s="3">
        <v>1210800</v>
      </c>
      <c r="K68" s="11">
        <v>12</v>
      </c>
      <c r="L68" s="3">
        <v>1062400</v>
      </c>
      <c r="M68" s="11">
        <v>35</v>
      </c>
      <c r="N68" s="3">
        <v>210400</v>
      </c>
      <c r="O68" s="3">
        <f t="shared" si="8"/>
        <v>5735900</v>
      </c>
      <c r="P68" s="8">
        <f t="shared" si="9"/>
        <v>41</v>
      </c>
      <c r="Q68" s="3">
        <f t="shared" si="10"/>
        <v>6798300</v>
      </c>
      <c r="R68" s="8">
        <f t="shared" si="11"/>
        <v>76</v>
      </c>
      <c r="S68" s="9">
        <f t="shared" si="7"/>
        <v>0.85365853658536583</v>
      </c>
      <c r="T68" s="4">
        <f t="shared" si="12"/>
        <v>0.15627436270832415</v>
      </c>
    </row>
    <row r="69" spans="1:20" x14ac:dyDescent="0.3">
      <c r="A69" s="10">
        <v>45726</v>
      </c>
      <c r="B69" s="11">
        <v>10</v>
      </c>
      <c r="C69" s="11">
        <f>MONTH(Tabla1[[#This Row],[FECHA]])</f>
        <v>3</v>
      </c>
      <c r="D69" s="3">
        <v>3016600</v>
      </c>
      <c r="E69" s="11">
        <v>37</v>
      </c>
      <c r="F69" s="3">
        <v>6382200</v>
      </c>
      <c r="G69" s="11">
        <v>22</v>
      </c>
      <c r="H69" s="3">
        <v>3838938</v>
      </c>
      <c r="I69" s="11">
        <v>16</v>
      </c>
      <c r="J69" s="3">
        <v>1887600</v>
      </c>
      <c r="K69" s="11">
        <v>24</v>
      </c>
      <c r="L69" s="3">
        <v>9252700</v>
      </c>
      <c r="M69" s="11">
        <v>60</v>
      </c>
      <c r="N69" s="3">
        <v>6316000</v>
      </c>
      <c r="O69" s="3">
        <f t="shared" si="8"/>
        <v>15125338</v>
      </c>
      <c r="P69" s="8">
        <f t="shared" si="9"/>
        <v>99</v>
      </c>
      <c r="Q69" s="3">
        <f t="shared" si="10"/>
        <v>24378038</v>
      </c>
      <c r="R69" s="8">
        <f t="shared" si="11"/>
        <v>159</v>
      </c>
      <c r="S69" s="9">
        <f t="shared" si="7"/>
        <v>0.60606060606060608</v>
      </c>
      <c r="T69" s="4">
        <f t="shared" si="12"/>
        <v>0.37955064308292569</v>
      </c>
    </row>
    <row r="70" spans="1:20" x14ac:dyDescent="0.3">
      <c r="A70" s="10">
        <v>45727</v>
      </c>
      <c r="B70" s="11">
        <v>11</v>
      </c>
      <c r="C70" s="11">
        <f>MONTH(Tabla1[[#This Row],[FECHA]])</f>
        <v>3</v>
      </c>
      <c r="D70" s="3">
        <v>2101600</v>
      </c>
      <c r="E70" s="11">
        <v>37</v>
      </c>
      <c r="F70" s="3">
        <v>2169900</v>
      </c>
      <c r="G70" s="11">
        <v>20</v>
      </c>
      <c r="H70" s="3">
        <v>6533400</v>
      </c>
      <c r="I70" s="11">
        <v>20</v>
      </c>
      <c r="J70" s="3">
        <v>2772450</v>
      </c>
      <c r="K70" s="11">
        <v>32</v>
      </c>
      <c r="L70" s="3">
        <v>3075700</v>
      </c>
      <c r="M70" s="11">
        <v>56</v>
      </c>
      <c r="N70" s="3">
        <v>3887700</v>
      </c>
      <c r="O70" s="3">
        <f t="shared" si="8"/>
        <v>13577350</v>
      </c>
      <c r="P70" s="8">
        <f t="shared" si="9"/>
        <v>109</v>
      </c>
      <c r="Q70" s="3">
        <f t="shared" si="10"/>
        <v>16653050</v>
      </c>
      <c r="R70" s="8">
        <f t="shared" si="11"/>
        <v>165</v>
      </c>
      <c r="S70" s="9">
        <f t="shared" si="7"/>
        <v>0.51376146788990829</v>
      </c>
      <c r="T70" s="4">
        <f t="shared" si="12"/>
        <v>0.18469289409447517</v>
      </c>
    </row>
    <row r="71" spans="1:20" x14ac:dyDescent="0.3">
      <c r="A71" s="10">
        <v>45728</v>
      </c>
      <c r="B71" s="11">
        <v>12</v>
      </c>
      <c r="C71" s="11">
        <f>MONTH(Tabla1[[#This Row],[FECHA]])</f>
        <v>3</v>
      </c>
      <c r="D71" s="3">
        <v>1238600</v>
      </c>
      <c r="E71" s="11">
        <v>22</v>
      </c>
      <c r="F71" s="3">
        <v>2146400</v>
      </c>
      <c r="G71" s="11">
        <v>10</v>
      </c>
      <c r="H71" s="3">
        <v>4703200</v>
      </c>
      <c r="I71" s="11">
        <v>17</v>
      </c>
      <c r="J71" s="3">
        <v>2728250</v>
      </c>
      <c r="K71" s="11">
        <v>24</v>
      </c>
      <c r="L71" s="3">
        <v>3916050</v>
      </c>
      <c r="M71" s="11">
        <v>57</v>
      </c>
      <c r="N71" s="3">
        <v>356240</v>
      </c>
      <c r="O71" s="3">
        <f t="shared" si="8"/>
        <v>10816450</v>
      </c>
      <c r="P71" s="8">
        <f t="shared" si="9"/>
        <v>73</v>
      </c>
      <c r="Q71" s="3">
        <f t="shared" si="10"/>
        <v>14732500</v>
      </c>
      <c r="R71" s="8">
        <f t="shared" si="11"/>
        <v>130</v>
      </c>
      <c r="S71" s="9">
        <f t="shared" si="7"/>
        <v>0.78082191780821919</v>
      </c>
      <c r="T71" s="4">
        <f t="shared" si="12"/>
        <v>0.26581028338706941</v>
      </c>
    </row>
    <row r="72" spans="1:20" x14ac:dyDescent="0.3">
      <c r="A72" s="10">
        <v>45729</v>
      </c>
      <c r="B72" s="11">
        <v>13</v>
      </c>
      <c r="C72" s="11">
        <f>MONTH(Tabla1[[#This Row],[FECHA]])</f>
        <v>3</v>
      </c>
      <c r="D72" s="3">
        <v>1343700</v>
      </c>
      <c r="E72" s="11">
        <v>30</v>
      </c>
      <c r="F72" s="3">
        <v>3121800</v>
      </c>
      <c r="G72" s="11">
        <v>13</v>
      </c>
      <c r="H72" s="3">
        <v>9120300</v>
      </c>
      <c r="I72" s="11">
        <v>21</v>
      </c>
      <c r="J72" s="3">
        <v>4112800</v>
      </c>
      <c r="K72" s="11">
        <v>26</v>
      </c>
      <c r="L72" s="3">
        <v>3223900</v>
      </c>
      <c r="M72" s="11">
        <v>57</v>
      </c>
      <c r="N72" s="3">
        <v>577800</v>
      </c>
      <c r="O72" s="3">
        <f t="shared" si="8"/>
        <v>17698600</v>
      </c>
      <c r="P72" s="8">
        <f t="shared" si="9"/>
        <v>90</v>
      </c>
      <c r="Q72" s="3">
        <f t="shared" si="10"/>
        <v>20922500</v>
      </c>
      <c r="R72" s="8">
        <f t="shared" si="11"/>
        <v>147</v>
      </c>
      <c r="S72" s="9">
        <f t="shared" si="7"/>
        <v>0.6333333333333333</v>
      </c>
      <c r="T72" s="4">
        <f t="shared" si="12"/>
        <v>0.1540877046242084</v>
      </c>
    </row>
    <row r="73" spans="1:20" x14ac:dyDescent="0.3">
      <c r="A73" s="10">
        <v>45730</v>
      </c>
      <c r="B73" s="11">
        <v>14</v>
      </c>
      <c r="C73" s="11">
        <f>MONTH(Tabla1[[#This Row],[FECHA]])</f>
        <v>3</v>
      </c>
      <c r="D73" s="3">
        <v>765600</v>
      </c>
      <c r="E73" s="11">
        <v>19</v>
      </c>
      <c r="F73" s="3">
        <v>2760000</v>
      </c>
      <c r="G73" s="11">
        <v>13</v>
      </c>
      <c r="H73" s="3">
        <v>9410400</v>
      </c>
      <c r="I73" s="11">
        <v>16</v>
      </c>
      <c r="J73" s="3">
        <v>6946300</v>
      </c>
      <c r="K73" s="11">
        <v>33</v>
      </c>
      <c r="L73" s="3">
        <v>4896500</v>
      </c>
      <c r="M73" s="11">
        <v>56</v>
      </c>
      <c r="N73" s="3">
        <v>243300</v>
      </c>
      <c r="O73" s="3">
        <f t="shared" si="8"/>
        <v>19882300</v>
      </c>
      <c r="P73" s="8">
        <f t="shared" si="9"/>
        <v>81</v>
      </c>
      <c r="Q73" s="3">
        <f t="shared" si="10"/>
        <v>24778800</v>
      </c>
      <c r="R73" s="8">
        <f t="shared" si="11"/>
        <v>137</v>
      </c>
      <c r="S73" s="9">
        <f t="shared" si="7"/>
        <v>0.69135802469135799</v>
      </c>
      <c r="T73" s="4">
        <f t="shared" si="12"/>
        <v>0.19760843947245227</v>
      </c>
    </row>
    <row r="74" spans="1:20" x14ac:dyDescent="0.3">
      <c r="A74" s="10">
        <v>45731</v>
      </c>
      <c r="B74" s="11">
        <v>15</v>
      </c>
      <c r="C74" s="11">
        <f>MONTH(Tabla1[[#This Row],[FECHA]])</f>
        <v>3</v>
      </c>
      <c r="D74" s="3">
        <v>2697300</v>
      </c>
      <c r="E74" s="11">
        <v>32</v>
      </c>
      <c r="F74" s="3">
        <v>3540600</v>
      </c>
      <c r="G74" s="11">
        <v>30</v>
      </c>
      <c r="H74" s="3">
        <v>6181493</v>
      </c>
      <c r="I74" s="11">
        <v>14</v>
      </c>
      <c r="J74" s="3">
        <v>2231000</v>
      </c>
      <c r="K74" s="11">
        <v>26</v>
      </c>
      <c r="L74" s="3">
        <v>5593400</v>
      </c>
      <c r="M74" s="11">
        <v>51</v>
      </c>
      <c r="N74" s="3">
        <v>9705100</v>
      </c>
      <c r="O74" s="3">
        <f t="shared" si="8"/>
        <v>14650393</v>
      </c>
      <c r="P74" s="8">
        <f t="shared" si="9"/>
        <v>102</v>
      </c>
      <c r="Q74" s="3">
        <f t="shared" si="10"/>
        <v>20243793</v>
      </c>
      <c r="R74" s="8">
        <f t="shared" si="11"/>
        <v>153</v>
      </c>
      <c r="S74" s="9">
        <f t="shared" si="7"/>
        <v>0.5</v>
      </c>
      <c r="T74" s="4">
        <f t="shared" si="12"/>
        <v>0.27630197562284892</v>
      </c>
    </row>
    <row r="75" spans="1:20" x14ac:dyDescent="0.3">
      <c r="A75" s="10">
        <v>45732</v>
      </c>
      <c r="B75" s="11">
        <v>16</v>
      </c>
      <c r="C75" s="11">
        <f>MONTH(Tabla1[[#This Row],[FECHA]])</f>
        <v>3</v>
      </c>
      <c r="D75" s="3">
        <v>1168100</v>
      </c>
      <c r="E75" s="11">
        <v>14</v>
      </c>
      <c r="F75" s="3">
        <v>3085200</v>
      </c>
      <c r="G75" s="11">
        <v>10</v>
      </c>
      <c r="H75" s="3">
        <v>2943800</v>
      </c>
      <c r="I75" s="11">
        <v>3</v>
      </c>
      <c r="J75" s="3">
        <v>568200</v>
      </c>
      <c r="K75" s="11">
        <v>9</v>
      </c>
      <c r="L75" s="3">
        <v>2122900</v>
      </c>
      <c r="M75" s="11">
        <v>34</v>
      </c>
      <c r="N75" s="3">
        <v>20000</v>
      </c>
      <c r="O75" s="3">
        <f t="shared" si="8"/>
        <v>7765300</v>
      </c>
      <c r="P75" s="8">
        <f t="shared" si="9"/>
        <v>36</v>
      </c>
      <c r="Q75" s="3">
        <f t="shared" si="10"/>
        <v>9888200</v>
      </c>
      <c r="R75" s="8">
        <f t="shared" si="11"/>
        <v>70</v>
      </c>
      <c r="S75" s="9">
        <f t="shared" si="7"/>
        <v>0.94444444444444442</v>
      </c>
      <c r="T75" s="4">
        <f t="shared" si="12"/>
        <v>0.21469023684796021</v>
      </c>
    </row>
    <row r="76" spans="1:20" x14ac:dyDescent="0.3">
      <c r="A76" s="10">
        <v>45733</v>
      </c>
      <c r="B76" s="11">
        <v>17</v>
      </c>
      <c r="C76" s="11">
        <f>MONTH(Tabla1[[#This Row],[FECHA]])</f>
        <v>3</v>
      </c>
      <c r="D76" s="3">
        <v>1112400</v>
      </c>
      <c r="E76" s="11">
        <v>27</v>
      </c>
      <c r="F76" s="3">
        <v>5941420</v>
      </c>
      <c r="G76" s="11">
        <v>12</v>
      </c>
      <c r="H76" s="3">
        <v>6970000</v>
      </c>
      <c r="I76" s="11">
        <v>13</v>
      </c>
      <c r="J76" s="3">
        <v>5623000</v>
      </c>
      <c r="K76" s="11">
        <v>37</v>
      </c>
      <c r="L76" s="3">
        <v>3183100</v>
      </c>
      <c r="M76" s="11">
        <v>49</v>
      </c>
      <c r="N76" s="3">
        <v>5777600</v>
      </c>
      <c r="O76" s="3">
        <f t="shared" si="8"/>
        <v>19646820</v>
      </c>
      <c r="P76" s="8">
        <f t="shared" si="9"/>
        <v>89</v>
      </c>
      <c r="Q76" s="3">
        <f t="shared" si="10"/>
        <v>22829920</v>
      </c>
      <c r="R76" s="8">
        <f t="shared" si="11"/>
        <v>138</v>
      </c>
      <c r="S76" s="9">
        <f t="shared" si="7"/>
        <v>0.550561797752809</v>
      </c>
      <c r="T76" s="4">
        <f t="shared" si="12"/>
        <v>0.13942668217847456</v>
      </c>
    </row>
    <row r="77" spans="1:20" x14ac:dyDescent="0.3">
      <c r="A77" s="10">
        <v>45734</v>
      </c>
      <c r="B77" s="11">
        <v>18</v>
      </c>
      <c r="C77" s="11">
        <f>MONTH(Tabla1[[#This Row],[FECHA]])</f>
        <v>3</v>
      </c>
      <c r="D77" s="3">
        <v>2273000</v>
      </c>
      <c r="E77" s="11">
        <v>32</v>
      </c>
      <c r="F77" s="3">
        <v>3446900</v>
      </c>
      <c r="G77" s="11">
        <v>13</v>
      </c>
      <c r="H77" s="3">
        <v>17250900</v>
      </c>
      <c r="I77" s="11">
        <v>20</v>
      </c>
      <c r="J77" s="3">
        <v>4142000</v>
      </c>
      <c r="K77" s="11">
        <v>31</v>
      </c>
      <c r="L77" s="3">
        <v>3849500</v>
      </c>
      <c r="M77" s="11">
        <v>52</v>
      </c>
      <c r="N77" s="3">
        <v>1255000</v>
      </c>
      <c r="O77" s="3">
        <f t="shared" si="8"/>
        <v>27112800</v>
      </c>
      <c r="P77" s="8">
        <f t="shared" si="9"/>
        <v>96</v>
      </c>
      <c r="Q77" s="3">
        <f t="shared" si="10"/>
        <v>30962300</v>
      </c>
      <c r="R77" s="8">
        <f t="shared" si="11"/>
        <v>148</v>
      </c>
      <c r="S77" s="9">
        <f t="shared" si="7"/>
        <v>0.54166666666666663</v>
      </c>
      <c r="T77" s="4">
        <f t="shared" si="12"/>
        <v>0.12432861899794266</v>
      </c>
    </row>
    <row r="78" spans="1:20" x14ac:dyDescent="0.3">
      <c r="A78" s="10">
        <v>45735</v>
      </c>
      <c r="B78" s="11">
        <v>19</v>
      </c>
      <c r="C78" s="11">
        <f>MONTH(Tabla1[[#This Row],[FECHA]])</f>
        <v>3</v>
      </c>
      <c r="D78" s="3">
        <v>1549900</v>
      </c>
      <c r="E78" s="11">
        <v>34</v>
      </c>
      <c r="F78" s="3">
        <v>5162820</v>
      </c>
      <c r="G78" s="11">
        <v>22</v>
      </c>
      <c r="H78" s="3">
        <v>10179700</v>
      </c>
      <c r="I78" s="11">
        <v>24</v>
      </c>
      <c r="J78" s="3">
        <v>4439400</v>
      </c>
      <c r="K78" s="11">
        <v>34</v>
      </c>
      <c r="L78" s="3">
        <v>5263300</v>
      </c>
      <c r="M78" s="11">
        <v>56</v>
      </c>
      <c r="N78" s="3">
        <v>2048600</v>
      </c>
      <c r="O78" s="3">
        <f t="shared" si="8"/>
        <v>21331820</v>
      </c>
      <c r="P78" s="8">
        <f t="shared" si="9"/>
        <v>114</v>
      </c>
      <c r="Q78" s="3">
        <f t="shared" si="10"/>
        <v>26595120</v>
      </c>
      <c r="R78" s="8">
        <f t="shared" si="11"/>
        <v>170</v>
      </c>
      <c r="S78" s="9">
        <f t="shared" si="7"/>
        <v>0.49122807017543857</v>
      </c>
      <c r="T78" s="4">
        <f t="shared" si="12"/>
        <v>0.19790472838626033</v>
      </c>
    </row>
    <row r="79" spans="1:20" x14ac:dyDescent="0.3">
      <c r="A79" s="10">
        <v>45736</v>
      </c>
      <c r="B79" s="11">
        <v>20</v>
      </c>
      <c r="C79" s="11">
        <f>MONTH(Tabla1[[#This Row],[FECHA]])</f>
        <v>3</v>
      </c>
      <c r="D79" s="3">
        <v>1248100</v>
      </c>
      <c r="E79" s="11">
        <v>32</v>
      </c>
      <c r="F79" s="3">
        <v>2235200</v>
      </c>
      <c r="G79" s="11">
        <v>10</v>
      </c>
      <c r="H79" s="3">
        <v>9824711</v>
      </c>
      <c r="I79" s="11">
        <v>15</v>
      </c>
      <c r="J79" s="3">
        <v>6169800</v>
      </c>
      <c r="K79" s="11">
        <v>33</v>
      </c>
      <c r="L79" s="3">
        <v>2500200</v>
      </c>
      <c r="M79" s="11">
        <v>50</v>
      </c>
      <c r="N79" s="3">
        <v>9059800</v>
      </c>
      <c r="O79" s="3">
        <f t="shared" si="8"/>
        <v>19477811</v>
      </c>
      <c r="P79" s="8">
        <f t="shared" si="9"/>
        <v>90</v>
      </c>
      <c r="Q79" s="3">
        <f t="shared" si="10"/>
        <v>21978011</v>
      </c>
      <c r="R79" s="8">
        <f t="shared" si="11"/>
        <v>140</v>
      </c>
      <c r="S79" s="9">
        <f t="shared" si="7"/>
        <v>0.55555555555555558</v>
      </c>
      <c r="T79" s="4">
        <f t="shared" si="12"/>
        <v>0.11375915682269884</v>
      </c>
    </row>
    <row r="80" spans="1:20" x14ac:dyDescent="0.3">
      <c r="A80" s="10">
        <v>45737</v>
      </c>
      <c r="B80" s="11">
        <v>21</v>
      </c>
      <c r="C80" s="11">
        <f>MONTH(Tabla1[[#This Row],[FECHA]])</f>
        <v>3</v>
      </c>
      <c r="D80" s="3">
        <v>1618500</v>
      </c>
      <c r="E80" s="11">
        <v>30</v>
      </c>
      <c r="F80" s="3">
        <v>8522050</v>
      </c>
      <c r="G80" s="11">
        <v>25</v>
      </c>
      <c r="H80" s="3">
        <v>4894100</v>
      </c>
      <c r="I80" s="11">
        <v>13</v>
      </c>
      <c r="J80" s="3">
        <v>6788450</v>
      </c>
      <c r="K80" s="11">
        <v>33</v>
      </c>
      <c r="L80" s="3">
        <v>3135000</v>
      </c>
      <c r="M80" s="11">
        <v>55</v>
      </c>
      <c r="N80" s="3">
        <v>4908700</v>
      </c>
      <c r="O80" s="3">
        <f t="shared" si="8"/>
        <v>21823100</v>
      </c>
      <c r="P80" s="8">
        <f t="shared" si="9"/>
        <v>101</v>
      </c>
      <c r="Q80" s="3">
        <f t="shared" si="10"/>
        <v>24958100</v>
      </c>
      <c r="R80" s="8">
        <f t="shared" si="11"/>
        <v>156</v>
      </c>
      <c r="S80" s="9">
        <f t="shared" si="7"/>
        <v>0.54455445544554459</v>
      </c>
      <c r="T80" s="4">
        <f t="shared" si="12"/>
        <v>0.12561052323694513</v>
      </c>
    </row>
    <row r="81" spans="1:20" x14ac:dyDescent="0.3">
      <c r="A81" s="10">
        <v>45738</v>
      </c>
      <c r="B81" s="11">
        <v>22</v>
      </c>
      <c r="C81" s="11">
        <f>MONTH(Tabla1[[#This Row],[FECHA]])</f>
        <v>3</v>
      </c>
      <c r="D81" s="3">
        <v>2379100</v>
      </c>
      <c r="E81" s="11">
        <v>35</v>
      </c>
      <c r="F81" s="3">
        <v>5522430</v>
      </c>
      <c r="G81" s="11">
        <v>27</v>
      </c>
      <c r="H81" s="3">
        <v>1469900</v>
      </c>
      <c r="I81" s="11">
        <v>8</v>
      </c>
      <c r="J81" s="3">
        <v>7248800</v>
      </c>
      <c r="K81" s="11">
        <v>22</v>
      </c>
      <c r="L81" s="3">
        <v>5107600</v>
      </c>
      <c r="M81" s="11">
        <v>77</v>
      </c>
      <c r="N81" s="3">
        <v>12951800</v>
      </c>
      <c r="O81" s="3">
        <f t="shared" si="8"/>
        <v>16620230</v>
      </c>
      <c r="P81" s="8">
        <f t="shared" si="9"/>
        <v>92</v>
      </c>
      <c r="Q81" s="3">
        <f t="shared" si="10"/>
        <v>21727830</v>
      </c>
      <c r="R81" s="8">
        <f t="shared" si="11"/>
        <v>169</v>
      </c>
      <c r="S81" s="9">
        <f t="shared" si="7"/>
        <v>0.83695652173913049</v>
      </c>
      <c r="T81" s="4">
        <f t="shared" si="12"/>
        <v>0.23507179502048756</v>
      </c>
    </row>
    <row r="82" spans="1:20" x14ac:dyDescent="0.3">
      <c r="A82" s="10">
        <v>45739</v>
      </c>
      <c r="B82" s="11">
        <v>23</v>
      </c>
      <c r="C82" s="11">
        <f>MONTH(Tabla1[[#This Row],[FECHA]])</f>
        <v>3</v>
      </c>
      <c r="D82" s="3">
        <v>1210400</v>
      </c>
      <c r="E82" s="11">
        <v>13</v>
      </c>
      <c r="F82" s="3">
        <v>2830900</v>
      </c>
      <c r="G82" s="11">
        <v>14</v>
      </c>
      <c r="H82" s="3">
        <v>2003400</v>
      </c>
      <c r="I82" s="11">
        <v>6</v>
      </c>
      <c r="J82" s="3">
        <v>8571100</v>
      </c>
      <c r="K82" s="11">
        <v>20</v>
      </c>
      <c r="L82" s="3">
        <v>1430400</v>
      </c>
      <c r="M82" s="11">
        <v>51</v>
      </c>
      <c r="N82" s="3">
        <v>67800</v>
      </c>
      <c r="O82" s="3">
        <f t="shared" si="8"/>
        <v>14615800</v>
      </c>
      <c r="P82" s="8">
        <f t="shared" si="9"/>
        <v>53</v>
      </c>
      <c r="Q82" s="3">
        <f t="shared" si="10"/>
        <v>16046200</v>
      </c>
      <c r="R82" s="8">
        <f t="shared" si="11"/>
        <v>104</v>
      </c>
      <c r="S82" s="9">
        <f t="shared" si="7"/>
        <v>0.96226415094339623</v>
      </c>
      <c r="T82" s="4">
        <f t="shared" si="12"/>
        <v>8.9142600740362204E-2</v>
      </c>
    </row>
    <row r="83" spans="1:20" x14ac:dyDescent="0.3">
      <c r="A83" s="10">
        <v>45740</v>
      </c>
      <c r="B83" s="11">
        <v>24</v>
      </c>
      <c r="C83" s="11">
        <f>MONTH(Tabla1[[#This Row],[FECHA]])</f>
        <v>3</v>
      </c>
      <c r="D83" s="3">
        <v>808400</v>
      </c>
      <c r="E83" s="11">
        <v>16</v>
      </c>
      <c r="F83" s="3">
        <v>1298050</v>
      </c>
      <c r="G83" s="11">
        <v>12</v>
      </c>
      <c r="H83" s="3">
        <v>5530299</v>
      </c>
      <c r="I83" s="11">
        <v>9</v>
      </c>
      <c r="J83" s="3">
        <v>396800</v>
      </c>
      <c r="K83" s="11">
        <v>9</v>
      </c>
      <c r="L83" s="3">
        <v>1658300</v>
      </c>
      <c r="M83" s="11">
        <v>30</v>
      </c>
      <c r="N83" s="3">
        <v>300000</v>
      </c>
      <c r="O83" s="3">
        <f t="shared" si="8"/>
        <v>8033549</v>
      </c>
      <c r="P83" s="8">
        <f t="shared" si="9"/>
        <v>46</v>
      </c>
      <c r="Q83" s="3">
        <f t="shared" si="10"/>
        <v>9691849</v>
      </c>
      <c r="R83" s="8">
        <f t="shared" si="11"/>
        <v>76</v>
      </c>
      <c r="S83" s="9">
        <f t="shared" si="7"/>
        <v>0.65217391304347827</v>
      </c>
      <c r="T83" s="4">
        <f t="shared" si="12"/>
        <v>0.1711025419401396</v>
      </c>
    </row>
    <row r="84" spans="1:20" x14ac:dyDescent="0.3">
      <c r="A84" s="10">
        <v>45741</v>
      </c>
      <c r="B84" s="11">
        <v>25</v>
      </c>
      <c r="C84" s="11">
        <f>MONTH(Tabla1[[#This Row],[FECHA]])</f>
        <v>3</v>
      </c>
      <c r="D84" s="3">
        <v>2734700</v>
      </c>
      <c r="E84" s="11">
        <v>55</v>
      </c>
      <c r="F84" s="3">
        <v>10367137</v>
      </c>
      <c r="G84" s="11">
        <v>25</v>
      </c>
      <c r="H84" s="3">
        <v>3786200</v>
      </c>
      <c r="I84" s="11">
        <v>11</v>
      </c>
      <c r="J84" s="3">
        <v>4240000</v>
      </c>
      <c r="K84" s="11">
        <v>29</v>
      </c>
      <c r="L84" s="3">
        <v>5140050</v>
      </c>
      <c r="M84" s="11">
        <v>68</v>
      </c>
      <c r="N84" s="3">
        <v>3574500</v>
      </c>
      <c r="O84" s="3">
        <f t="shared" si="8"/>
        <v>21128037</v>
      </c>
      <c r="P84" s="8">
        <f t="shared" si="9"/>
        <v>120</v>
      </c>
      <c r="Q84" s="3">
        <f t="shared" si="10"/>
        <v>26268087</v>
      </c>
      <c r="R84" s="8">
        <f t="shared" si="11"/>
        <v>188</v>
      </c>
      <c r="S84" s="9">
        <f t="shared" si="7"/>
        <v>0.56666666666666665</v>
      </c>
      <c r="T84" s="4">
        <f t="shared" si="12"/>
        <v>0.19567660180202692</v>
      </c>
    </row>
    <row r="85" spans="1:20" x14ac:dyDescent="0.3">
      <c r="A85" s="10">
        <v>45742</v>
      </c>
      <c r="B85" s="11">
        <v>26</v>
      </c>
      <c r="C85" s="11">
        <f>MONTH(Tabla1[[#This Row],[FECHA]])</f>
        <v>3</v>
      </c>
      <c r="D85" s="3">
        <v>1866300</v>
      </c>
      <c r="E85" s="11">
        <v>39</v>
      </c>
      <c r="F85" s="3">
        <v>712400</v>
      </c>
      <c r="G85" s="11">
        <v>11</v>
      </c>
      <c r="H85" s="3">
        <v>9296400</v>
      </c>
      <c r="I85" s="11">
        <v>20</v>
      </c>
      <c r="J85" s="3">
        <v>5732280</v>
      </c>
      <c r="K85" s="11">
        <v>32</v>
      </c>
      <c r="L85" s="3">
        <v>3006200</v>
      </c>
      <c r="M85" s="11">
        <v>55</v>
      </c>
      <c r="N85" s="3">
        <v>2532700</v>
      </c>
      <c r="O85" s="3">
        <f t="shared" si="8"/>
        <v>17607380</v>
      </c>
      <c r="P85" s="8">
        <f t="shared" si="9"/>
        <v>102</v>
      </c>
      <c r="Q85" s="3">
        <f t="shared" si="10"/>
        <v>20613580</v>
      </c>
      <c r="R85" s="8">
        <f t="shared" si="11"/>
        <v>157</v>
      </c>
      <c r="S85" s="9">
        <f t="shared" si="7"/>
        <v>0.53921568627450978</v>
      </c>
      <c r="T85" s="4">
        <f t="shared" si="12"/>
        <v>0.14583590041128228</v>
      </c>
    </row>
    <row r="86" spans="1:20" x14ac:dyDescent="0.3">
      <c r="A86" s="10">
        <v>45743</v>
      </c>
      <c r="B86" s="11">
        <v>27</v>
      </c>
      <c r="C86" s="11">
        <f>MONTH(Tabla1[[#This Row],[FECHA]])</f>
        <v>3</v>
      </c>
      <c r="D86" s="3">
        <v>1498200</v>
      </c>
      <c r="E86" s="11">
        <v>24</v>
      </c>
      <c r="F86" s="3">
        <v>4818000</v>
      </c>
      <c r="G86" s="11">
        <v>18</v>
      </c>
      <c r="H86" s="3">
        <v>9745695</v>
      </c>
      <c r="I86" s="11">
        <v>16</v>
      </c>
      <c r="J86" s="3">
        <v>3186500</v>
      </c>
      <c r="K86" s="11">
        <v>28</v>
      </c>
      <c r="L86" s="3">
        <v>10115700</v>
      </c>
      <c r="M86" s="11">
        <v>66</v>
      </c>
      <c r="N86" s="3">
        <v>10551400</v>
      </c>
      <c r="O86" s="3">
        <f t="shared" si="8"/>
        <v>19248395</v>
      </c>
      <c r="P86" s="8">
        <f t="shared" si="9"/>
        <v>86</v>
      </c>
      <c r="Q86" s="3">
        <f t="shared" si="10"/>
        <v>29364095</v>
      </c>
      <c r="R86" s="8">
        <f t="shared" si="11"/>
        <v>152</v>
      </c>
      <c r="S86" s="9">
        <f t="shared" si="7"/>
        <v>0.76744186046511631</v>
      </c>
      <c r="T86" s="4">
        <f t="shared" si="12"/>
        <v>0.34449214252984811</v>
      </c>
    </row>
    <row r="87" spans="1:20" x14ac:dyDescent="0.3">
      <c r="A87" s="10">
        <v>45744</v>
      </c>
      <c r="B87" s="11">
        <v>28</v>
      </c>
      <c r="C87" s="11">
        <f>MONTH(Tabla1[[#This Row],[FECHA]])</f>
        <v>3</v>
      </c>
      <c r="D87" s="3">
        <v>1109700</v>
      </c>
      <c r="E87" s="11">
        <v>24</v>
      </c>
      <c r="F87" s="3">
        <v>3488850</v>
      </c>
      <c r="G87" s="11">
        <v>11</v>
      </c>
      <c r="H87" s="3">
        <v>4424800</v>
      </c>
      <c r="I87" s="11">
        <v>13</v>
      </c>
      <c r="J87" s="3">
        <v>3371500</v>
      </c>
      <c r="K87" s="11">
        <v>27</v>
      </c>
      <c r="L87" s="3">
        <v>2450200</v>
      </c>
      <c r="M87" s="11">
        <v>39</v>
      </c>
      <c r="N87" s="3">
        <v>2463200</v>
      </c>
      <c r="O87" s="3">
        <f t="shared" si="8"/>
        <v>12394850</v>
      </c>
      <c r="P87" s="8">
        <f t="shared" si="9"/>
        <v>75</v>
      </c>
      <c r="Q87" s="3">
        <f t="shared" si="10"/>
        <v>14845050</v>
      </c>
      <c r="R87" s="8">
        <f t="shared" si="11"/>
        <v>114</v>
      </c>
      <c r="S87" s="9">
        <f t="shared" si="7"/>
        <v>0.52</v>
      </c>
      <c r="T87" s="4">
        <f t="shared" si="12"/>
        <v>0.16505165021337079</v>
      </c>
    </row>
    <row r="88" spans="1:20" x14ac:dyDescent="0.3">
      <c r="A88" s="10">
        <v>45745</v>
      </c>
      <c r="B88" s="11">
        <v>29</v>
      </c>
      <c r="C88" s="11">
        <f>MONTH(Tabla1[[#This Row],[FECHA]])</f>
        <v>3</v>
      </c>
      <c r="D88" s="3">
        <v>1474100</v>
      </c>
      <c r="E88" s="11">
        <v>21</v>
      </c>
      <c r="F88" s="3">
        <v>2018200</v>
      </c>
      <c r="G88" s="11">
        <v>14</v>
      </c>
      <c r="H88" s="3">
        <v>13158650</v>
      </c>
      <c r="I88" s="11">
        <v>18</v>
      </c>
      <c r="J88" s="3">
        <v>3136150</v>
      </c>
      <c r="K88" s="11">
        <v>29</v>
      </c>
      <c r="L88" s="3">
        <v>9591700</v>
      </c>
      <c r="M88" s="11">
        <v>49</v>
      </c>
      <c r="N88" s="3">
        <v>5807300</v>
      </c>
      <c r="O88" s="3">
        <f t="shared" si="8"/>
        <v>19787100</v>
      </c>
      <c r="P88" s="8">
        <f t="shared" si="9"/>
        <v>82</v>
      </c>
      <c r="Q88" s="3">
        <f t="shared" si="10"/>
        <v>29378800</v>
      </c>
      <c r="R88" s="8">
        <f t="shared" si="11"/>
        <v>131</v>
      </c>
      <c r="S88" s="9">
        <f t="shared" si="7"/>
        <v>0.59756097560975607</v>
      </c>
      <c r="T88" s="4">
        <f t="shared" si="12"/>
        <v>0.32648372295668987</v>
      </c>
    </row>
    <row r="89" spans="1:20" x14ac:dyDescent="0.3">
      <c r="A89" s="10">
        <v>45746</v>
      </c>
      <c r="B89" s="11">
        <v>30</v>
      </c>
      <c r="C89" s="11">
        <f>MONTH(Tabla1[[#This Row],[FECHA]])</f>
        <v>3</v>
      </c>
      <c r="D89" s="3">
        <v>1133800</v>
      </c>
      <c r="E89" s="11">
        <v>14</v>
      </c>
      <c r="F89" s="3">
        <v>818000</v>
      </c>
      <c r="G89" s="11">
        <v>10</v>
      </c>
      <c r="H89" s="3">
        <v>79900</v>
      </c>
      <c r="I89" s="11">
        <v>1</v>
      </c>
      <c r="J89" s="3">
        <v>3594350</v>
      </c>
      <c r="K89" s="11">
        <v>21</v>
      </c>
      <c r="L89" s="3">
        <v>1453700</v>
      </c>
      <c r="M89" s="11">
        <v>42</v>
      </c>
      <c r="N89" s="3">
        <v>2495600</v>
      </c>
      <c r="O89" s="3">
        <f t="shared" si="8"/>
        <v>5626050</v>
      </c>
      <c r="P89" s="8">
        <f t="shared" si="9"/>
        <v>46</v>
      </c>
      <c r="Q89" s="3">
        <f t="shared" si="10"/>
        <v>7079750</v>
      </c>
      <c r="R89" s="8">
        <f t="shared" si="11"/>
        <v>88</v>
      </c>
      <c r="S89" s="9">
        <f t="shared" si="7"/>
        <v>0.91304347826086951</v>
      </c>
      <c r="T89" s="4">
        <f t="shared" si="12"/>
        <v>0.20533210918464634</v>
      </c>
    </row>
    <row r="90" spans="1:20" x14ac:dyDescent="0.3">
      <c r="A90" s="10">
        <v>45747</v>
      </c>
      <c r="B90" s="11">
        <v>31</v>
      </c>
      <c r="C90" s="11">
        <f>MONTH(Tabla1[[#This Row],[FECHA]])</f>
        <v>3</v>
      </c>
      <c r="D90" s="3">
        <v>1406100</v>
      </c>
      <c r="E90" s="11">
        <v>31</v>
      </c>
      <c r="F90" s="3">
        <v>2194100</v>
      </c>
      <c r="G90" s="11">
        <v>14</v>
      </c>
      <c r="H90" s="3">
        <v>13133500</v>
      </c>
      <c r="I90" s="11">
        <v>29</v>
      </c>
      <c r="J90" s="3">
        <v>2196070</v>
      </c>
      <c r="K90" s="11">
        <v>29</v>
      </c>
      <c r="L90" s="3">
        <v>5336750</v>
      </c>
      <c r="M90" s="11">
        <v>44</v>
      </c>
      <c r="N90" s="3">
        <v>4907500</v>
      </c>
      <c r="O90" s="3">
        <f t="shared" si="8"/>
        <v>18929770</v>
      </c>
      <c r="P90" s="8">
        <f t="shared" si="9"/>
        <v>103</v>
      </c>
      <c r="Q90" s="3">
        <f t="shared" si="10"/>
        <v>24266520</v>
      </c>
      <c r="R90" s="8">
        <f t="shared" si="11"/>
        <v>147</v>
      </c>
      <c r="S90" s="9">
        <f t="shared" si="7"/>
        <v>0.42718446601941745</v>
      </c>
      <c r="T90" s="4">
        <f t="shared" si="12"/>
        <v>0.21992234568450689</v>
      </c>
    </row>
    <row r="91" spans="1:20" x14ac:dyDescent="0.3">
      <c r="A91" s="10">
        <v>45748</v>
      </c>
      <c r="B91" s="11">
        <v>1</v>
      </c>
      <c r="C91" s="11">
        <f>MONTH(Tabla1[[#This Row],[FECHA]])</f>
        <v>4</v>
      </c>
      <c r="D91" s="3">
        <v>1823000</v>
      </c>
      <c r="E91" s="11">
        <v>41</v>
      </c>
      <c r="F91" s="3">
        <v>5948600</v>
      </c>
      <c r="G91" s="11">
        <v>19</v>
      </c>
      <c r="H91" s="3">
        <v>14442350</v>
      </c>
      <c r="I91" s="11">
        <v>17</v>
      </c>
      <c r="J91" s="3">
        <v>3110700</v>
      </c>
      <c r="K91" s="11">
        <v>34</v>
      </c>
      <c r="L91" s="3">
        <v>4612800</v>
      </c>
      <c r="M91" s="11">
        <v>68</v>
      </c>
      <c r="N91" s="3">
        <v>4724100</v>
      </c>
      <c r="O91" s="3">
        <f t="shared" si="8"/>
        <v>25324650</v>
      </c>
      <c r="P91" s="8">
        <f t="shared" si="9"/>
        <v>111</v>
      </c>
      <c r="Q91" s="3">
        <f t="shared" si="10"/>
        <v>29937450</v>
      </c>
      <c r="R91" s="8">
        <f t="shared" si="11"/>
        <v>179</v>
      </c>
      <c r="S91" s="9">
        <f t="shared" si="7"/>
        <v>0.61261261261261257</v>
      </c>
      <c r="T91" s="4">
        <f t="shared" si="12"/>
        <v>0.15408125942590301</v>
      </c>
    </row>
    <row r="92" spans="1:20" x14ac:dyDescent="0.3">
      <c r="A92" s="10">
        <v>45749</v>
      </c>
      <c r="B92" s="11">
        <v>2</v>
      </c>
      <c r="C92" s="11">
        <f>MONTH(Tabla1[[#This Row],[FECHA]])</f>
        <v>4</v>
      </c>
      <c r="D92" s="3">
        <v>1864700</v>
      </c>
      <c r="E92" s="11">
        <v>34</v>
      </c>
      <c r="F92" s="3">
        <v>2153000</v>
      </c>
      <c r="G92" s="11">
        <v>10</v>
      </c>
      <c r="H92" s="3">
        <v>6271000</v>
      </c>
      <c r="I92" s="11">
        <v>16</v>
      </c>
      <c r="J92" s="3">
        <v>2635700</v>
      </c>
      <c r="K92" s="11">
        <v>23</v>
      </c>
      <c r="L92" s="3">
        <v>2107400</v>
      </c>
      <c r="M92" s="11">
        <v>44</v>
      </c>
      <c r="N92" s="3">
        <v>5155450</v>
      </c>
      <c r="O92" s="3">
        <f t="shared" si="8"/>
        <v>12924400</v>
      </c>
      <c r="P92" s="8">
        <f t="shared" si="9"/>
        <v>83</v>
      </c>
      <c r="Q92" s="3">
        <f t="shared" si="10"/>
        <v>15031800</v>
      </c>
      <c r="R92" s="8">
        <f t="shared" si="11"/>
        <v>127</v>
      </c>
      <c r="S92" s="9">
        <f t="shared" si="7"/>
        <v>0.53012048192771088</v>
      </c>
      <c r="T92" s="4">
        <f t="shared" si="12"/>
        <v>0.14019611756409744</v>
      </c>
    </row>
    <row r="93" spans="1:20" x14ac:dyDescent="0.3">
      <c r="A93" s="10">
        <v>45750</v>
      </c>
      <c r="B93" s="11">
        <v>3</v>
      </c>
      <c r="C93" s="11">
        <f>MONTH(Tabla1[[#This Row],[FECHA]])</f>
        <v>4</v>
      </c>
      <c r="D93" s="3">
        <v>1866600</v>
      </c>
      <c r="E93" s="11">
        <v>26</v>
      </c>
      <c r="F93" s="3">
        <v>2811850</v>
      </c>
      <c r="G93" s="11">
        <v>14</v>
      </c>
      <c r="H93" s="3">
        <v>8774500</v>
      </c>
      <c r="I93" s="11">
        <v>23</v>
      </c>
      <c r="J93" s="3">
        <v>6855000</v>
      </c>
      <c r="K93" s="11">
        <v>29</v>
      </c>
      <c r="L93" s="3">
        <v>3938500</v>
      </c>
      <c r="M93" s="11">
        <v>50</v>
      </c>
      <c r="N93" s="3">
        <v>4450800</v>
      </c>
      <c r="O93" s="3">
        <f t="shared" si="8"/>
        <v>20307950</v>
      </c>
      <c r="P93" s="8">
        <f t="shared" si="9"/>
        <v>92</v>
      </c>
      <c r="Q93" s="3">
        <f t="shared" si="10"/>
        <v>24246450</v>
      </c>
      <c r="R93" s="8">
        <f t="shared" si="11"/>
        <v>142</v>
      </c>
      <c r="S93" s="9">
        <f t="shared" si="7"/>
        <v>0.54347826086956519</v>
      </c>
      <c r="T93" s="4">
        <f t="shared" si="12"/>
        <v>0.16243615044676643</v>
      </c>
    </row>
    <row r="94" spans="1:20" x14ac:dyDescent="0.3">
      <c r="A94" s="10">
        <v>45751</v>
      </c>
      <c r="B94" s="11">
        <v>4</v>
      </c>
      <c r="C94" s="11">
        <f>MONTH(Tabla1[[#This Row],[FECHA]])</f>
        <v>4</v>
      </c>
      <c r="D94" s="3">
        <v>862900</v>
      </c>
      <c r="E94" s="11">
        <v>22</v>
      </c>
      <c r="F94" s="3">
        <v>4682700</v>
      </c>
      <c r="G94" s="11">
        <v>11</v>
      </c>
      <c r="H94" s="3">
        <v>5829340</v>
      </c>
      <c r="I94" s="11">
        <v>13</v>
      </c>
      <c r="J94" s="3">
        <v>4395900</v>
      </c>
      <c r="K94" s="11">
        <v>22</v>
      </c>
      <c r="L94" s="3">
        <v>5853150</v>
      </c>
      <c r="M94" s="11">
        <v>54</v>
      </c>
      <c r="N94" s="3">
        <v>10784100</v>
      </c>
      <c r="O94" s="3">
        <f t="shared" si="8"/>
        <v>15770840</v>
      </c>
      <c r="P94" s="8">
        <f t="shared" si="9"/>
        <v>68</v>
      </c>
      <c r="Q94" s="3">
        <f t="shared" si="10"/>
        <v>21623990</v>
      </c>
      <c r="R94" s="8">
        <f t="shared" si="11"/>
        <v>122</v>
      </c>
      <c r="S94" s="9">
        <f t="shared" si="7"/>
        <v>0.79411764705882348</v>
      </c>
      <c r="T94" s="4">
        <f t="shared" si="12"/>
        <v>0.27067853804963837</v>
      </c>
    </row>
    <row r="95" spans="1:20" x14ac:dyDescent="0.3">
      <c r="A95" s="10">
        <v>45752</v>
      </c>
      <c r="B95" s="11">
        <v>5</v>
      </c>
      <c r="C95" s="11">
        <f>MONTH(Tabla1[[#This Row],[FECHA]])</f>
        <v>4</v>
      </c>
      <c r="D95" s="3">
        <v>2015100</v>
      </c>
      <c r="E95" s="11">
        <v>34</v>
      </c>
      <c r="F95" s="3">
        <v>1165900</v>
      </c>
      <c r="G95" s="11">
        <v>12</v>
      </c>
      <c r="H95" s="3">
        <v>4112350</v>
      </c>
      <c r="I95" s="11">
        <v>16</v>
      </c>
      <c r="J95" s="3">
        <v>3305700</v>
      </c>
      <c r="K95" s="11">
        <v>31</v>
      </c>
      <c r="L95" s="3">
        <v>3983900</v>
      </c>
      <c r="M95" s="11">
        <v>55</v>
      </c>
      <c r="N95" s="3">
        <v>5410100</v>
      </c>
      <c r="O95" s="3">
        <f t="shared" si="8"/>
        <v>10599050</v>
      </c>
      <c r="P95" s="8">
        <f t="shared" si="9"/>
        <v>93</v>
      </c>
      <c r="Q95" s="3">
        <f t="shared" si="10"/>
        <v>14582950</v>
      </c>
      <c r="R95" s="8">
        <f t="shared" si="11"/>
        <v>148</v>
      </c>
      <c r="S95" s="9">
        <f t="shared" si="7"/>
        <v>0.59139784946236562</v>
      </c>
      <c r="T95" s="4">
        <f t="shared" si="12"/>
        <v>0.27318889525096091</v>
      </c>
    </row>
    <row r="96" spans="1:20" x14ac:dyDescent="0.3">
      <c r="A96" s="10">
        <v>45753</v>
      </c>
      <c r="B96" s="11">
        <v>6</v>
      </c>
      <c r="C96" s="11">
        <f>MONTH(Tabla1[[#This Row],[FECHA]])</f>
        <v>4</v>
      </c>
      <c r="D96" s="3">
        <v>1585100</v>
      </c>
      <c r="E96" s="11">
        <v>27</v>
      </c>
      <c r="F96" s="3">
        <v>2092300</v>
      </c>
      <c r="G96" s="11">
        <v>9</v>
      </c>
      <c r="H96" s="3">
        <v>1390000</v>
      </c>
      <c r="I96" s="11">
        <v>4</v>
      </c>
      <c r="J96" s="3">
        <v>6218400</v>
      </c>
      <c r="K96" s="11">
        <v>18</v>
      </c>
      <c r="L96" s="3">
        <v>2459500</v>
      </c>
      <c r="M96" s="11">
        <v>64</v>
      </c>
      <c r="N96" s="3">
        <v>41700</v>
      </c>
      <c r="O96" s="3">
        <f t="shared" si="8"/>
        <v>11285800</v>
      </c>
      <c r="P96" s="8">
        <f t="shared" si="9"/>
        <v>58</v>
      </c>
      <c r="Q96" s="3">
        <f t="shared" si="10"/>
        <v>13745300</v>
      </c>
      <c r="R96" s="8">
        <f t="shared" si="11"/>
        <v>122</v>
      </c>
      <c r="S96" s="9">
        <f t="shared" ref="S96:S107" si="13">M96/P96</f>
        <v>1.103448275862069</v>
      </c>
      <c r="T96" s="4">
        <f t="shared" si="12"/>
        <v>0.17893389012971705</v>
      </c>
    </row>
    <row r="97" spans="1:20" x14ac:dyDescent="0.3">
      <c r="A97" s="10">
        <v>45754</v>
      </c>
      <c r="B97" s="11">
        <v>7</v>
      </c>
      <c r="C97" s="11">
        <f>MONTH(Tabla1[[#This Row],[FECHA]])</f>
        <v>4</v>
      </c>
      <c r="D97" s="3">
        <v>1491200</v>
      </c>
      <c r="E97" s="11">
        <v>40</v>
      </c>
      <c r="F97" s="3">
        <v>3758100</v>
      </c>
      <c r="G97" s="11">
        <v>16</v>
      </c>
      <c r="H97" s="3">
        <v>10004300</v>
      </c>
      <c r="I97" s="11">
        <v>22</v>
      </c>
      <c r="J97" s="3">
        <v>4912500</v>
      </c>
      <c r="K97" s="11">
        <v>46</v>
      </c>
      <c r="L97" s="3">
        <v>5869100</v>
      </c>
      <c r="M97" s="11">
        <v>55</v>
      </c>
      <c r="N97" s="3">
        <v>5712800</v>
      </c>
      <c r="O97" s="3">
        <f t="shared" si="8"/>
        <v>20166100</v>
      </c>
      <c r="P97" s="8">
        <f t="shared" si="9"/>
        <v>124</v>
      </c>
      <c r="Q97" s="3">
        <f t="shared" si="10"/>
        <v>26035200</v>
      </c>
      <c r="R97" s="8">
        <f t="shared" si="11"/>
        <v>179</v>
      </c>
      <c r="S97" s="9">
        <f t="shared" si="13"/>
        <v>0.44354838709677419</v>
      </c>
      <c r="T97" s="4">
        <f t="shared" si="12"/>
        <v>0.22542941863323501</v>
      </c>
    </row>
    <row r="98" spans="1:20" x14ac:dyDescent="0.3">
      <c r="A98" s="10">
        <v>45755</v>
      </c>
      <c r="B98" s="11">
        <v>8</v>
      </c>
      <c r="C98" s="11">
        <f>MONTH(Tabla1[[#This Row],[FECHA]])</f>
        <v>4</v>
      </c>
      <c r="D98" s="3">
        <v>1767700</v>
      </c>
      <c r="E98" s="11">
        <v>30</v>
      </c>
      <c r="F98" s="3">
        <v>12390361</v>
      </c>
      <c r="G98" s="11">
        <v>13</v>
      </c>
      <c r="H98" s="3">
        <v>13082000</v>
      </c>
      <c r="I98" s="11">
        <v>25</v>
      </c>
      <c r="J98" s="3">
        <v>4457150</v>
      </c>
      <c r="K98" s="11">
        <v>28</v>
      </c>
      <c r="L98" s="3">
        <v>6061400</v>
      </c>
      <c r="M98" s="11">
        <v>44</v>
      </c>
      <c r="N98" s="3">
        <v>3735800</v>
      </c>
      <c r="O98" s="3">
        <f t="shared" si="8"/>
        <v>31697211</v>
      </c>
      <c r="P98" s="8">
        <f t="shared" si="9"/>
        <v>96</v>
      </c>
      <c r="Q98" s="3">
        <f t="shared" si="10"/>
        <v>37758611</v>
      </c>
      <c r="R98" s="8">
        <f t="shared" si="11"/>
        <v>140</v>
      </c>
      <c r="S98" s="9">
        <f t="shared" si="13"/>
        <v>0.45833333333333331</v>
      </c>
      <c r="T98" s="4">
        <f t="shared" si="12"/>
        <v>0.16053026950594132</v>
      </c>
    </row>
    <row r="99" spans="1:20" x14ac:dyDescent="0.3">
      <c r="A99" s="10">
        <v>45756</v>
      </c>
      <c r="B99" s="11">
        <v>9</v>
      </c>
      <c r="C99" s="11">
        <f>MONTH(Tabla1[[#This Row],[FECHA]])</f>
        <v>4</v>
      </c>
      <c r="D99" s="3">
        <v>1475100</v>
      </c>
      <c r="E99" s="11">
        <v>23</v>
      </c>
      <c r="F99" s="3">
        <v>1760200</v>
      </c>
      <c r="G99" s="11">
        <v>14</v>
      </c>
      <c r="H99" s="3">
        <v>5069000</v>
      </c>
      <c r="I99" s="11">
        <v>17</v>
      </c>
      <c r="J99" s="3">
        <v>2069200</v>
      </c>
      <c r="K99" s="11">
        <v>27</v>
      </c>
      <c r="L99" s="3">
        <v>8130750</v>
      </c>
      <c r="M99" s="11">
        <v>60</v>
      </c>
      <c r="N99" s="3">
        <v>2405500</v>
      </c>
      <c r="O99" s="3">
        <f t="shared" si="8"/>
        <v>10373500</v>
      </c>
      <c r="P99" s="8">
        <f t="shared" si="9"/>
        <v>81</v>
      </c>
      <c r="Q99" s="3">
        <f t="shared" si="10"/>
        <v>18504250</v>
      </c>
      <c r="R99" s="8">
        <f t="shared" si="11"/>
        <v>141</v>
      </c>
      <c r="S99" s="9">
        <f t="shared" si="13"/>
        <v>0.7407407407407407</v>
      </c>
      <c r="T99" s="4">
        <f t="shared" si="12"/>
        <v>0.43939905697339798</v>
      </c>
    </row>
    <row r="100" spans="1:20" x14ac:dyDescent="0.3">
      <c r="A100" s="10">
        <v>45757</v>
      </c>
      <c r="B100" s="11">
        <v>10</v>
      </c>
      <c r="C100" s="11">
        <f>MONTH(Tabla1[[#This Row],[FECHA]])</f>
        <v>4</v>
      </c>
      <c r="D100" s="3">
        <v>1117700</v>
      </c>
      <c r="E100" s="11">
        <v>27</v>
      </c>
      <c r="F100" s="3">
        <v>10321900</v>
      </c>
      <c r="G100" s="11">
        <v>15</v>
      </c>
      <c r="H100" s="3">
        <v>11148400</v>
      </c>
      <c r="I100" s="11">
        <v>19</v>
      </c>
      <c r="J100" s="3">
        <v>1219200</v>
      </c>
      <c r="K100" s="11">
        <v>19</v>
      </c>
      <c r="L100" s="3">
        <v>6243300</v>
      </c>
      <c r="M100" s="11">
        <v>57</v>
      </c>
      <c r="N100" s="3">
        <v>6013750</v>
      </c>
      <c r="O100" s="3">
        <f t="shared" si="8"/>
        <v>23807200</v>
      </c>
      <c r="P100" s="8">
        <f t="shared" si="9"/>
        <v>80</v>
      </c>
      <c r="Q100" s="3">
        <f t="shared" si="10"/>
        <v>30050500</v>
      </c>
      <c r="R100" s="8">
        <f t="shared" si="11"/>
        <v>137</v>
      </c>
      <c r="S100" s="9">
        <f t="shared" si="13"/>
        <v>0.71250000000000002</v>
      </c>
      <c r="T100" s="4">
        <f t="shared" si="12"/>
        <v>0.20776027021181012</v>
      </c>
    </row>
    <row r="101" spans="1:20" x14ac:dyDescent="0.3">
      <c r="A101" s="10">
        <v>45758</v>
      </c>
      <c r="B101" s="11">
        <v>11</v>
      </c>
      <c r="C101" s="11">
        <f>MONTH(Tabla1[[#This Row],[FECHA]])</f>
        <v>4</v>
      </c>
      <c r="D101" s="3">
        <v>820100</v>
      </c>
      <c r="E101" s="11">
        <v>19</v>
      </c>
      <c r="F101" s="3">
        <v>1905800</v>
      </c>
      <c r="G101" s="11">
        <v>17</v>
      </c>
      <c r="H101" s="3">
        <v>8589300</v>
      </c>
      <c r="I101" s="11">
        <v>17</v>
      </c>
      <c r="J101" s="3">
        <v>2915000</v>
      </c>
      <c r="K101" s="11">
        <v>20</v>
      </c>
      <c r="L101" s="3">
        <v>4809800</v>
      </c>
      <c r="M101" s="11">
        <v>55</v>
      </c>
      <c r="N101" s="3">
        <v>3259500</v>
      </c>
      <c r="O101" s="3">
        <f t="shared" si="8"/>
        <v>14230200</v>
      </c>
      <c r="P101" s="8">
        <f t="shared" si="9"/>
        <v>73</v>
      </c>
      <c r="Q101" s="3">
        <f t="shared" si="10"/>
        <v>19040000</v>
      </c>
      <c r="R101" s="8">
        <f t="shared" si="11"/>
        <v>128</v>
      </c>
      <c r="S101" s="9">
        <f t="shared" si="13"/>
        <v>0.75342465753424659</v>
      </c>
      <c r="T101" s="4">
        <f t="shared" si="12"/>
        <v>0.25261554621848742</v>
      </c>
    </row>
    <row r="102" spans="1:20" x14ac:dyDescent="0.3">
      <c r="A102" s="10">
        <v>45759</v>
      </c>
      <c r="B102" s="11">
        <v>12</v>
      </c>
      <c r="C102" s="11">
        <f>MONTH(Tabla1[[#This Row],[FECHA]])</f>
        <v>4</v>
      </c>
      <c r="D102" s="3">
        <v>1300800</v>
      </c>
      <c r="E102" s="11">
        <v>26</v>
      </c>
      <c r="F102" s="3">
        <v>3010800</v>
      </c>
      <c r="G102" s="11">
        <v>26</v>
      </c>
      <c r="H102" s="3">
        <v>7709600</v>
      </c>
      <c r="I102" s="11">
        <v>18</v>
      </c>
      <c r="J102" s="3">
        <v>8790800</v>
      </c>
      <c r="K102" s="11">
        <v>35</v>
      </c>
      <c r="L102" s="3">
        <v>7067550</v>
      </c>
      <c r="M102" s="11">
        <v>68</v>
      </c>
      <c r="N102" s="3">
        <v>4807000</v>
      </c>
      <c r="O102" s="3">
        <f t="shared" si="8"/>
        <v>20812000</v>
      </c>
      <c r="P102" s="8">
        <f t="shared" si="9"/>
        <v>105</v>
      </c>
      <c r="Q102" s="3">
        <f t="shared" si="10"/>
        <v>27879550</v>
      </c>
      <c r="R102" s="8">
        <f t="shared" si="11"/>
        <v>173</v>
      </c>
      <c r="S102" s="9">
        <f t="shared" si="13"/>
        <v>0.64761904761904765</v>
      </c>
      <c r="T102" s="4">
        <f t="shared" si="12"/>
        <v>0.25350301565125694</v>
      </c>
    </row>
    <row r="103" spans="1:20" x14ac:dyDescent="0.3">
      <c r="A103" s="10">
        <v>45760</v>
      </c>
      <c r="B103" s="11">
        <v>13</v>
      </c>
      <c r="C103" s="11">
        <f>MONTH(Tabla1[[#This Row],[FECHA]])</f>
        <v>4</v>
      </c>
      <c r="D103" s="3">
        <v>413800</v>
      </c>
      <c r="E103" s="11">
        <v>10</v>
      </c>
      <c r="F103" s="3">
        <v>1633300</v>
      </c>
      <c r="G103" s="11">
        <v>10</v>
      </c>
      <c r="H103" s="3">
        <v>1358100</v>
      </c>
      <c r="I103" s="11">
        <v>4</v>
      </c>
      <c r="J103" s="3">
        <v>1797100</v>
      </c>
      <c r="K103" s="11">
        <v>8</v>
      </c>
      <c r="L103" s="3">
        <v>1366200</v>
      </c>
      <c r="M103" s="11">
        <v>33</v>
      </c>
      <c r="N103" s="3">
        <v>1388000</v>
      </c>
      <c r="O103" s="3">
        <f t="shared" si="8"/>
        <v>5202300</v>
      </c>
      <c r="P103" s="8">
        <f t="shared" si="9"/>
        <v>32</v>
      </c>
      <c r="Q103" s="3">
        <f t="shared" si="10"/>
        <v>6568500</v>
      </c>
      <c r="R103" s="8">
        <f t="shared" si="11"/>
        <v>65</v>
      </c>
      <c r="S103" s="9">
        <f t="shared" si="13"/>
        <v>1.03125</v>
      </c>
      <c r="T103" s="4">
        <f t="shared" si="12"/>
        <v>0.20799269239552409</v>
      </c>
    </row>
    <row r="104" spans="1:20" x14ac:dyDescent="0.3">
      <c r="A104" s="10">
        <v>45761</v>
      </c>
      <c r="B104" s="11">
        <v>14</v>
      </c>
      <c r="C104" s="11">
        <f>MONTH(Tabla1[[#This Row],[FECHA]])</f>
        <v>4</v>
      </c>
      <c r="D104" s="3">
        <v>2533900</v>
      </c>
      <c r="E104" s="11">
        <v>54</v>
      </c>
      <c r="F104" s="3">
        <v>13595350</v>
      </c>
      <c r="G104" s="11">
        <v>23</v>
      </c>
      <c r="H104" s="3">
        <v>5487250</v>
      </c>
      <c r="I104" s="11">
        <v>22</v>
      </c>
      <c r="J104" s="3">
        <v>5809600</v>
      </c>
      <c r="K104" s="11">
        <v>37</v>
      </c>
      <c r="L104" s="3">
        <v>5115600</v>
      </c>
      <c r="M104" s="11">
        <v>73</v>
      </c>
      <c r="N104" s="3">
        <v>11699250</v>
      </c>
      <c r="O104" s="3">
        <f t="shared" si="8"/>
        <v>27426100</v>
      </c>
      <c r="P104" s="8">
        <f t="shared" si="9"/>
        <v>136</v>
      </c>
      <c r="Q104" s="3">
        <f t="shared" si="10"/>
        <v>32541700</v>
      </c>
      <c r="R104" s="8">
        <f t="shared" si="11"/>
        <v>209</v>
      </c>
      <c r="S104" s="9">
        <f t="shared" si="13"/>
        <v>0.53676470588235292</v>
      </c>
      <c r="T104" s="4">
        <f t="shared" si="12"/>
        <v>0.15720137546594062</v>
      </c>
    </row>
    <row r="105" spans="1:20" x14ac:dyDescent="0.3">
      <c r="A105" s="10">
        <v>45762</v>
      </c>
      <c r="B105" s="11">
        <v>15</v>
      </c>
      <c r="C105" s="11">
        <f>MONTH(Tabla1[[#This Row],[FECHA]])</f>
        <v>4</v>
      </c>
      <c r="D105" s="3">
        <v>2726600</v>
      </c>
      <c r="E105" s="11">
        <v>36</v>
      </c>
      <c r="F105" s="3">
        <v>7923400</v>
      </c>
      <c r="G105" s="11">
        <v>26</v>
      </c>
      <c r="H105" s="3">
        <v>12511200</v>
      </c>
      <c r="I105" s="11">
        <v>18</v>
      </c>
      <c r="J105" s="3">
        <v>3485400</v>
      </c>
      <c r="K105" s="11">
        <v>39</v>
      </c>
      <c r="L105" s="3">
        <v>3583250</v>
      </c>
      <c r="M105" s="11">
        <v>64</v>
      </c>
      <c r="N105" s="3">
        <v>5916150</v>
      </c>
      <c r="O105" s="3">
        <f t="shared" si="8"/>
        <v>26646600</v>
      </c>
      <c r="P105" s="8">
        <f t="shared" si="9"/>
        <v>119</v>
      </c>
      <c r="Q105" s="3">
        <f t="shared" si="10"/>
        <v>30229850</v>
      </c>
      <c r="R105" s="8">
        <f t="shared" si="11"/>
        <v>183</v>
      </c>
      <c r="S105" s="9">
        <f t="shared" si="13"/>
        <v>0.53781512605042014</v>
      </c>
      <c r="T105" s="4">
        <f t="shared" si="12"/>
        <v>0.11853350248181847</v>
      </c>
    </row>
    <row r="106" spans="1:20" x14ac:dyDescent="0.3">
      <c r="A106" s="10">
        <v>45763</v>
      </c>
      <c r="B106" s="11">
        <v>16</v>
      </c>
      <c r="C106" s="11">
        <f>MONTH(Tabla1[[#This Row],[FECHA]])</f>
        <v>4</v>
      </c>
      <c r="D106" s="3">
        <v>2290500</v>
      </c>
      <c r="E106" s="11">
        <v>34</v>
      </c>
      <c r="F106" s="3">
        <v>3721400</v>
      </c>
      <c r="G106" s="11">
        <v>32</v>
      </c>
      <c r="H106" s="3">
        <v>10512000</v>
      </c>
      <c r="I106" s="11">
        <v>23</v>
      </c>
      <c r="J106" s="3">
        <v>9062930</v>
      </c>
      <c r="K106" s="11">
        <v>33</v>
      </c>
      <c r="L106" s="3">
        <v>8147000</v>
      </c>
      <c r="M106" s="11">
        <v>86</v>
      </c>
      <c r="N106" s="3">
        <v>7729800</v>
      </c>
      <c r="O106" s="3">
        <f t="shared" si="8"/>
        <v>25586830</v>
      </c>
      <c r="P106" s="8">
        <f t="shared" si="9"/>
        <v>122</v>
      </c>
      <c r="Q106" s="3">
        <f t="shared" si="10"/>
        <v>33733830</v>
      </c>
      <c r="R106" s="8">
        <f t="shared" si="11"/>
        <v>208</v>
      </c>
      <c r="S106" s="9">
        <f t="shared" si="13"/>
        <v>0.70491803278688525</v>
      </c>
      <c r="T106" s="4">
        <f t="shared" si="12"/>
        <v>0.24150830190346012</v>
      </c>
    </row>
    <row r="107" spans="1:20" x14ac:dyDescent="0.3">
      <c r="A107" s="10">
        <v>45764</v>
      </c>
      <c r="B107" s="11">
        <v>17</v>
      </c>
      <c r="C107" s="11">
        <f>MONTH(Tabla1[[#This Row],[FECHA]])</f>
        <v>4</v>
      </c>
      <c r="D107" s="3">
        <v>1156200</v>
      </c>
      <c r="E107" s="11">
        <v>21</v>
      </c>
      <c r="F107" s="3">
        <v>2104400</v>
      </c>
      <c r="G107" s="11">
        <v>19</v>
      </c>
      <c r="H107" s="3">
        <v>7001100</v>
      </c>
      <c r="I107" s="11">
        <v>9</v>
      </c>
      <c r="J107" s="3">
        <v>2504400</v>
      </c>
      <c r="K107" s="11">
        <v>37</v>
      </c>
      <c r="L107" s="3">
        <v>4394100</v>
      </c>
      <c r="M107" s="11">
        <v>62</v>
      </c>
      <c r="N107" s="3">
        <v>717200</v>
      </c>
      <c r="O107" s="3">
        <f t="shared" si="8"/>
        <v>12766100</v>
      </c>
      <c r="P107" s="8">
        <f t="shared" si="9"/>
        <v>86</v>
      </c>
      <c r="Q107" s="3">
        <f t="shared" si="10"/>
        <v>17160200</v>
      </c>
      <c r="R107" s="8">
        <f t="shared" si="11"/>
        <v>148</v>
      </c>
      <c r="S107" s="9">
        <f t="shared" si="13"/>
        <v>0.72093023255813948</v>
      </c>
      <c r="T107" s="4">
        <f t="shared" si="12"/>
        <v>0.25606344914394935</v>
      </c>
    </row>
    <row r="108" spans="1:20" x14ac:dyDescent="0.3">
      <c r="A108" s="10">
        <v>45765</v>
      </c>
      <c r="B108" s="11">
        <v>18</v>
      </c>
      <c r="C108" s="11">
        <f>MONTH(Tabla1[[#This Row],[FECHA]])</f>
        <v>4</v>
      </c>
      <c r="D108" s="3">
        <v>0</v>
      </c>
      <c r="E108" s="11">
        <v>0</v>
      </c>
      <c r="F108" s="3">
        <v>0</v>
      </c>
      <c r="G108" s="11">
        <v>0</v>
      </c>
      <c r="H108" s="3">
        <v>0</v>
      </c>
      <c r="I108" s="11">
        <v>0</v>
      </c>
      <c r="J108" s="3">
        <v>0</v>
      </c>
      <c r="K108" s="11">
        <v>0</v>
      </c>
      <c r="L108" s="3">
        <v>0</v>
      </c>
      <c r="M108" s="11">
        <v>0</v>
      </c>
      <c r="N108" s="3">
        <v>0</v>
      </c>
      <c r="O108" s="3">
        <f t="shared" si="8"/>
        <v>0</v>
      </c>
      <c r="P108" s="8">
        <f t="shared" si="9"/>
        <v>0</v>
      </c>
      <c r="Q108" s="3">
        <f t="shared" si="10"/>
        <v>0</v>
      </c>
      <c r="R108" s="8">
        <f t="shared" si="11"/>
        <v>0</v>
      </c>
      <c r="S108" s="9">
        <v>0</v>
      </c>
      <c r="T108" s="4">
        <f t="shared" si="12"/>
        <v>0</v>
      </c>
    </row>
    <row r="109" spans="1:20" x14ac:dyDescent="0.3">
      <c r="A109" s="10">
        <v>45766</v>
      </c>
      <c r="B109" s="11">
        <v>19</v>
      </c>
      <c r="C109" s="11">
        <f>MONTH(Tabla1[[#This Row],[FECHA]])</f>
        <v>4</v>
      </c>
      <c r="D109" s="3">
        <v>1414300</v>
      </c>
      <c r="E109" s="11">
        <v>30</v>
      </c>
      <c r="F109" s="3">
        <v>4260760</v>
      </c>
      <c r="G109" s="11">
        <v>23</v>
      </c>
      <c r="H109" s="3">
        <v>9867100</v>
      </c>
      <c r="I109" s="11">
        <v>13</v>
      </c>
      <c r="J109" s="3">
        <v>1633000</v>
      </c>
      <c r="K109" s="11">
        <v>25</v>
      </c>
      <c r="L109" s="3">
        <v>3190000</v>
      </c>
      <c r="M109" s="11">
        <v>69</v>
      </c>
      <c r="N109" s="3">
        <v>3736500</v>
      </c>
      <c r="O109" s="3">
        <f t="shared" si="8"/>
        <v>17175160</v>
      </c>
      <c r="P109" s="8">
        <f t="shared" si="9"/>
        <v>91</v>
      </c>
      <c r="Q109" s="3">
        <f t="shared" si="10"/>
        <v>20365160</v>
      </c>
      <c r="R109" s="8">
        <f t="shared" si="11"/>
        <v>160</v>
      </c>
      <c r="S109" s="9">
        <f t="shared" ref="S109:S140" si="14">M109/P109</f>
        <v>0.75824175824175821</v>
      </c>
      <c r="T109" s="4">
        <f t="shared" si="12"/>
        <v>0.15664006568079997</v>
      </c>
    </row>
    <row r="110" spans="1:20" x14ac:dyDescent="0.3">
      <c r="A110" s="10">
        <v>45767</v>
      </c>
      <c r="B110" s="11">
        <v>20</v>
      </c>
      <c r="C110" s="11">
        <f>MONTH(Tabla1[[#This Row],[FECHA]])</f>
        <v>4</v>
      </c>
      <c r="D110" s="3">
        <v>1908800</v>
      </c>
      <c r="E110" s="11">
        <v>26</v>
      </c>
      <c r="F110" s="3">
        <v>1641600</v>
      </c>
      <c r="G110" s="11">
        <v>6</v>
      </c>
      <c r="H110" s="3">
        <v>296200</v>
      </c>
      <c r="I110" s="11">
        <v>3</v>
      </c>
      <c r="J110" s="3">
        <v>8460000</v>
      </c>
      <c r="K110" s="11">
        <v>15</v>
      </c>
      <c r="L110" s="3">
        <v>981600</v>
      </c>
      <c r="M110" s="11">
        <v>39</v>
      </c>
      <c r="N110" s="3">
        <v>0</v>
      </c>
      <c r="O110" s="3">
        <f t="shared" si="8"/>
        <v>12306600</v>
      </c>
      <c r="P110" s="8">
        <f t="shared" si="9"/>
        <v>50</v>
      </c>
      <c r="Q110" s="3">
        <f t="shared" si="10"/>
        <v>13288200</v>
      </c>
      <c r="R110" s="8">
        <f t="shared" si="11"/>
        <v>89</v>
      </c>
      <c r="S110" s="9">
        <f t="shared" si="14"/>
        <v>0.78</v>
      </c>
      <c r="T110" s="4">
        <f t="shared" si="12"/>
        <v>7.3870050119655029E-2</v>
      </c>
    </row>
    <row r="111" spans="1:20" x14ac:dyDescent="0.3">
      <c r="A111" s="10">
        <v>45768</v>
      </c>
      <c r="B111" s="11">
        <v>21</v>
      </c>
      <c r="C111" s="11">
        <f>MONTH(Tabla1[[#This Row],[FECHA]])</f>
        <v>4</v>
      </c>
      <c r="D111" s="3">
        <v>1888700</v>
      </c>
      <c r="E111" s="11">
        <v>37</v>
      </c>
      <c r="F111" s="3">
        <v>3334500</v>
      </c>
      <c r="G111" s="11">
        <v>17</v>
      </c>
      <c r="H111" s="3">
        <v>7081500</v>
      </c>
      <c r="I111" s="11">
        <v>19</v>
      </c>
      <c r="J111" s="3">
        <v>3843900</v>
      </c>
      <c r="K111" s="11">
        <v>35</v>
      </c>
      <c r="L111" s="3">
        <v>3617000</v>
      </c>
      <c r="M111" s="11">
        <v>64</v>
      </c>
      <c r="N111" s="3">
        <v>4868700</v>
      </c>
      <c r="O111" s="3">
        <f t="shared" si="8"/>
        <v>16148600</v>
      </c>
      <c r="P111" s="8">
        <f t="shared" si="9"/>
        <v>108</v>
      </c>
      <c r="Q111" s="3">
        <f t="shared" si="10"/>
        <v>19765600</v>
      </c>
      <c r="R111" s="8">
        <f t="shared" si="11"/>
        <v>172</v>
      </c>
      <c r="S111" s="9">
        <f t="shared" si="14"/>
        <v>0.59259259259259256</v>
      </c>
      <c r="T111" s="4">
        <f t="shared" si="12"/>
        <v>0.18299469785890637</v>
      </c>
    </row>
    <row r="112" spans="1:20" x14ac:dyDescent="0.3">
      <c r="A112" s="10">
        <v>45769</v>
      </c>
      <c r="B112" s="11">
        <v>22</v>
      </c>
      <c r="C112" s="11">
        <f>MONTH(Tabla1[[#This Row],[FECHA]])</f>
        <v>4</v>
      </c>
      <c r="D112" s="3">
        <v>3979500</v>
      </c>
      <c r="E112" s="11">
        <v>58</v>
      </c>
      <c r="F112" s="3">
        <v>3488340</v>
      </c>
      <c r="G112" s="11">
        <v>20</v>
      </c>
      <c r="H112" s="3">
        <v>7617100</v>
      </c>
      <c r="I112" s="11">
        <v>19</v>
      </c>
      <c r="J112" s="3">
        <v>3261750</v>
      </c>
      <c r="K112" s="11">
        <v>35</v>
      </c>
      <c r="L112" s="3">
        <v>8701100</v>
      </c>
      <c r="M112" s="11">
        <v>82</v>
      </c>
      <c r="N112" s="3">
        <v>881400</v>
      </c>
      <c r="O112" s="3">
        <f t="shared" si="8"/>
        <v>18346690</v>
      </c>
      <c r="P112" s="8">
        <f t="shared" si="9"/>
        <v>132</v>
      </c>
      <c r="Q112" s="3">
        <f t="shared" si="10"/>
        <v>27047790</v>
      </c>
      <c r="R112" s="8">
        <f t="shared" si="11"/>
        <v>214</v>
      </c>
      <c r="S112" s="9">
        <f t="shared" si="14"/>
        <v>0.62121212121212122</v>
      </c>
      <c r="T112" s="4">
        <f t="shared" si="12"/>
        <v>0.32169356535228943</v>
      </c>
    </row>
    <row r="113" spans="1:20" x14ac:dyDescent="0.3">
      <c r="A113" s="10">
        <v>45770</v>
      </c>
      <c r="B113" s="11">
        <v>23</v>
      </c>
      <c r="C113" s="11">
        <f>MONTH(Tabla1[[#This Row],[FECHA]])</f>
        <v>4</v>
      </c>
      <c r="D113" s="3">
        <v>2577800</v>
      </c>
      <c r="E113" s="11">
        <v>45</v>
      </c>
      <c r="F113" s="3">
        <v>6102600</v>
      </c>
      <c r="G113" s="11">
        <v>22</v>
      </c>
      <c r="H113" s="3">
        <v>10406740</v>
      </c>
      <c r="I113" s="11">
        <v>17</v>
      </c>
      <c r="J113" s="3">
        <v>4380274</v>
      </c>
      <c r="K113" s="11">
        <v>57</v>
      </c>
      <c r="L113" s="3">
        <v>6853350</v>
      </c>
      <c r="M113" s="11">
        <v>96</v>
      </c>
      <c r="N113" s="3">
        <v>2547900</v>
      </c>
      <c r="O113" s="3">
        <f t="shared" si="8"/>
        <v>23467414</v>
      </c>
      <c r="P113" s="8">
        <f t="shared" si="9"/>
        <v>141</v>
      </c>
      <c r="Q113" s="3">
        <f t="shared" si="10"/>
        <v>30320764</v>
      </c>
      <c r="R113" s="8">
        <f t="shared" si="11"/>
        <v>237</v>
      </c>
      <c r="S113" s="9">
        <f t="shared" si="14"/>
        <v>0.68085106382978722</v>
      </c>
      <c r="T113" s="4">
        <f t="shared" si="12"/>
        <v>0.2260282755408142</v>
      </c>
    </row>
    <row r="114" spans="1:20" x14ac:dyDescent="0.3">
      <c r="A114" s="10">
        <v>45771</v>
      </c>
      <c r="B114" s="11">
        <v>24</v>
      </c>
      <c r="C114" s="11">
        <f>MONTH(Tabla1[[#This Row],[FECHA]])</f>
        <v>4</v>
      </c>
      <c r="D114" s="3">
        <v>1978600</v>
      </c>
      <c r="E114" s="11">
        <v>40</v>
      </c>
      <c r="F114" s="3">
        <v>21015000</v>
      </c>
      <c r="G114" s="11">
        <v>31</v>
      </c>
      <c r="H114" s="3">
        <v>11652600</v>
      </c>
      <c r="I114" s="11">
        <v>22</v>
      </c>
      <c r="J114" s="3">
        <v>2489013</v>
      </c>
      <c r="K114" s="11">
        <v>40</v>
      </c>
      <c r="L114" s="3">
        <v>3171900</v>
      </c>
      <c r="M114" s="11">
        <v>58</v>
      </c>
      <c r="N114" s="3">
        <v>6423900</v>
      </c>
      <c r="O114" s="3">
        <f t="shared" si="8"/>
        <v>37135213</v>
      </c>
      <c r="P114" s="8">
        <f t="shared" si="9"/>
        <v>133</v>
      </c>
      <c r="Q114" s="3">
        <f t="shared" si="10"/>
        <v>40307113</v>
      </c>
      <c r="R114" s="8">
        <f t="shared" si="11"/>
        <v>191</v>
      </c>
      <c r="S114" s="9">
        <f t="shared" si="14"/>
        <v>0.43609022556390975</v>
      </c>
      <c r="T114" s="4">
        <f t="shared" si="12"/>
        <v>7.8693306563533835E-2</v>
      </c>
    </row>
    <row r="115" spans="1:20" x14ac:dyDescent="0.3">
      <c r="A115" s="10">
        <v>45772</v>
      </c>
      <c r="B115" s="11">
        <v>25</v>
      </c>
      <c r="C115" s="11">
        <f>MONTH(Tabla1[[#This Row],[FECHA]])</f>
        <v>4</v>
      </c>
      <c r="D115" s="3">
        <v>582800</v>
      </c>
      <c r="E115" s="11">
        <v>12</v>
      </c>
      <c r="F115" s="3">
        <v>1682230</v>
      </c>
      <c r="G115" s="11">
        <v>15</v>
      </c>
      <c r="H115" s="3">
        <v>5182600</v>
      </c>
      <c r="I115" s="11">
        <v>14</v>
      </c>
      <c r="J115" s="3">
        <v>1967100</v>
      </c>
      <c r="K115" s="11">
        <v>18</v>
      </c>
      <c r="L115" s="3">
        <v>3473300</v>
      </c>
      <c r="M115" s="11">
        <v>40</v>
      </c>
      <c r="N115" s="3">
        <v>1839500</v>
      </c>
      <c r="O115" s="3">
        <f t="shared" si="8"/>
        <v>9414730</v>
      </c>
      <c r="P115" s="8">
        <f t="shared" si="9"/>
        <v>59</v>
      </c>
      <c r="Q115" s="3">
        <f t="shared" si="10"/>
        <v>12888030</v>
      </c>
      <c r="R115" s="8">
        <f t="shared" si="11"/>
        <v>99</v>
      </c>
      <c r="S115" s="9">
        <f t="shared" si="14"/>
        <v>0.67796610169491522</v>
      </c>
      <c r="T115" s="4">
        <f t="shared" si="12"/>
        <v>0.26949813121167471</v>
      </c>
    </row>
    <row r="116" spans="1:20" x14ac:dyDescent="0.3">
      <c r="A116" s="10">
        <v>45773</v>
      </c>
      <c r="B116" s="11">
        <v>26</v>
      </c>
      <c r="C116" s="11">
        <f>MONTH(Tabla1[[#This Row],[FECHA]])</f>
        <v>4</v>
      </c>
      <c r="D116" s="3">
        <v>2331100</v>
      </c>
      <c r="E116" s="11">
        <v>30</v>
      </c>
      <c r="F116" s="3">
        <v>4738365</v>
      </c>
      <c r="G116" s="11">
        <v>18</v>
      </c>
      <c r="H116" s="3">
        <v>4966700</v>
      </c>
      <c r="I116" s="11">
        <v>13</v>
      </c>
      <c r="J116" s="3">
        <v>6496700</v>
      </c>
      <c r="K116" s="11">
        <v>18</v>
      </c>
      <c r="L116" s="3">
        <v>1195200</v>
      </c>
      <c r="M116" s="11">
        <v>54</v>
      </c>
      <c r="N116" s="3">
        <v>9256000</v>
      </c>
      <c r="O116" s="3">
        <f t="shared" si="8"/>
        <v>18532865</v>
      </c>
      <c r="P116" s="8">
        <f t="shared" si="9"/>
        <v>79</v>
      </c>
      <c r="Q116" s="3">
        <f t="shared" si="10"/>
        <v>19728065</v>
      </c>
      <c r="R116" s="8">
        <f t="shared" si="11"/>
        <v>133</v>
      </c>
      <c r="S116" s="9">
        <f t="shared" si="14"/>
        <v>0.68354430379746833</v>
      </c>
      <c r="T116" s="4">
        <f t="shared" si="12"/>
        <v>6.0583741993956323E-2</v>
      </c>
    </row>
    <row r="117" spans="1:20" x14ac:dyDescent="0.3">
      <c r="A117" s="10">
        <v>45774</v>
      </c>
      <c r="B117" s="11">
        <v>27</v>
      </c>
      <c r="C117" s="11">
        <f>MONTH(Tabla1[[#This Row],[FECHA]])</f>
        <v>4</v>
      </c>
      <c r="D117" s="3">
        <v>1396100</v>
      </c>
      <c r="E117" s="11">
        <v>20</v>
      </c>
      <c r="F117" s="3">
        <v>705800</v>
      </c>
      <c r="G117" s="11">
        <v>5</v>
      </c>
      <c r="H117" s="3">
        <v>684300</v>
      </c>
      <c r="I117" s="11">
        <v>4</v>
      </c>
      <c r="J117" s="3">
        <v>1430300</v>
      </c>
      <c r="K117" s="11">
        <v>16</v>
      </c>
      <c r="L117" s="3">
        <v>1675700</v>
      </c>
      <c r="M117" s="11">
        <v>55</v>
      </c>
      <c r="N117" s="3">
        <v>1605000</v>
      </c>
      <c r="O117" s="3">
        <f t="shared" si="8"/>
        <v>4216500</v>
      </c>
      <c r="P117" s="8">
        <f t="shared" si="9"/>
        <v>45</v>
      </c>
      <c r="Q117" s="3">
        <f t="shared" si="10"/>
        <v>5892200</v>
      </c>
      <c r="R117" s="8">
        <f t="shared" si="11"/>
        <v>100</v>
      </c>
      <c r="S117" s="9">
        <f t="shared" si="14"/>
        <v>1.2222222222222223</v>
      </c>
      <c r="T117" s="4">
        <f t="shared" si="12"/>
        <v>0.28439292624147178</v>
      </c>
    </row>
    <row r="118" spans="1:20" x14ac:dyDescent="0.3">
      <c r="A118" s="10">
        <v>45775</v>
      </c>
      <c r="B118" s="11">
        <v>28</v>
      </c>
      <c r="C118" s="11">
        <f>MONTH(Tabla1[[#This Row],[FECHA]])</f>
        <v>4</v>
      </c>
      <c r="D118" s="3">
        <v>1204800</v>
      </c>
      <c r="E118" s="11">
        <v>26</v>
      </c>
      <c r="F118" s="3">
        <v>3420400</v>
      </c>
      <c r="G118" s="11">
        <v>9</v>
      </c>
      <c r="H118" s="3">
        <v>10779000</v>
      </c>
      <c r="I118" s="11">
        <v>18</v>
      </c>
      <c r="J118" s="3">
        <v>4124116</v>
      </c>
      <c r="K118" s="11">
        <v>30</v>
      </c>
      <c r="L118" s="3">
        <v>3985900</v>
      </c>
      <c r="M118" s="11">
        <v>41</v>
      </c>
      <c r="N118" s="3">
        <v>2964900</v>
      </c>
      <c r="O118" s="3">
        <f t="shared" si="8"/>
        <v>19528316</v>
      </c>
      <c r="P118" s="8">
        <f t="shared" si="9"/>
        <v>83</v>
      </c>
      <c r="Q118" s="3">
        <f t="shared" si="10"/>
        <v>23514216</v>
      </c>
      <c r="R118" s="8">
        <f t="shared" si="11"/>
        <v>124</v>
      </c>
      <c r="S118" s="9">
        <f t="shared" si="14"/>
        <v>0.49397590361445781</v>
      </c>
      <c r="T118" s="4">
        <f t="shared" si="12"/>
        <v>0.16951022309227745</v>
      </c>
    </row>
    <row r="119" spans="1:20" x14ac:dyDescent="0.3">
      <c r="A119" s="10">
        <v>45776</v>
      </c>
      <c r="B119" s="11">
        <v>29</v>
      </c>
      <c r="C119" s="11">
        <f>MONTH(Tabla1[[#This Row],[FECHA]])</f>
        <v>4</v>
      </c>
      <c r="D119" s="3">
        <v>2466300</v>
      </c>
      <c r="E119" s="11">
        <v>38</v>
      </c>
      <c r="F119" s="3">
        <v>4778800</v>
      </c>
      <c r="G119" s="11">
        <v>18</v>
      </c>
      <c r="H119" s="3">
        <v>10901405</v>
      </c>
      <c r="I119" s="11">
        <v>21</v>
      </c>
      <c r="J119" s="3">
        <v>3854700</v>
      </c>
      <c r="K119" s="11">
        <v>43</v>
      </c>
      <c r="L119" s="3">
        <v>10748900</v>
      </c>
      <c r="M119" s="11">
        <v>55</v>
      </c>
      <c r="N119" s="3">
        <v>6086800</v>
      </c>
      <c r="O119" s="3">
        <f t="shared" si="8"/>
        <v>22001205</v>
      </c>
      <c r="P119" s="8">
        <f t="shared" si="9"/>
        <v>120</v>
      </c>
      <c r="Q119" s="3">
        <f t="shared" si="10"/>
        <v>32750105</v>
      </c>
      <c r="R119" s="8">
        <f t="shared" si="11"/>
        <v>175</v>
      </c>
      <c r="S119" s="9">
        <f t="shared" si="14"/>
        <v>0.45833333333333331</v>
      </c>
      <c r="T119" s="4">
        <f t="shared" si="12"/>
        <v>0.3282096347477359</v>
      </c>
    </row>
    <row r="120" spans="1:20" x14ac:dyDescent="0.3">
      <c r="A120" s="10">
        <v>45777</v>
      </c>
      <c r="B120" s="11">
        <v>30</v>
      </c>
      <c r="C120" s="11">
        <f>MONTH(Tabla1[[#This Row],[FECHA]])</f>
        <v>4</v>
      </c>
      <c r="D120" s="3">
        <v>1891000</v>
      </c>
      <c r="E120" s="11">
        <v>34</v>
      </c>
      <c r="F120" s="3">
        <v>3504400</v>
      </c>
      <c r="G120" s="11">
        <v>18</v>
      </c>
      <c r="H120" s="3">
        <v>1971500</v>
      </c>
      <c r="I120" s="11">
        <v>12</v>
      </c>
      <c r="J120" s="3">
        <v>4414250</v>
      </c>
      <c r="K120" s="11">
        <v>27</v>
      </c>
      <c r="L120" s="3">
        <v>4179500</v>
      </c>
      <c r="M120" s="11">
        <v>48</v>
      </c>
      <c r="N120" s="3">
        <v>4162900</v>
      </c>
      <c r="O120" s="3">
        <f t="shared" si="8"/>
        <v>11781150</v>
      </c>
      <c r="P120" s="8">
        <f t="shared" si="9"/>
        <v>91</v>
      </c>
      <c r="Q120" s="3">
        <f t="shared" si="10"/>
        <v>15960650</v>
      </c>
      <c r="R120" s="8">
        <f t="shared" si="11"/>
        <v>139</v>
      </c>
      <c r="S120" s="9">
        <f t="shared" si="14"/>
        <v>0.52747252747252749</v>
      </c>
      <c r="T120" s="4">
        <f t="shared" si="12"/>
        <v>0.26186276874688685</v>
      </c>
    </row>
    <row r="121" spans="1:20" x14ac:dyDescent="0.3">
      <c r="A121" s="10">
        <v>45778</v>
      </c>
      <c r="B121" s="11">
        <v>1</v>
      </c>
      <c r="C121" s="11">
        <f>MONTH(Tabla1[[#This Row],[FECHA]])</f>
        <v>5</v>
      </c>
      <c r="D121" s="3">
        <v>924900</v>
      </c>
      <c r="E121" s="11">
        <v>17</v>
      </c>
      <c r="F121" s="3">
        <v>4204700</v>
      </c>
      <c r="G121" s="11">
        <v>14</v>
      </c>
      <c r="H121" s="3">
        <v>3111000</v>
      </c>
      <c r="I121" s="11">
        <v>14</v>
      </c>
      <c r="J121" s="3">
        <v>1660800</v>
      </c>
      <c r="K121" s="11">
        <v>23</v>
      </c>
      <c r="L121" s="3">
        <v>1147100</v>
      </c>
      <c r="M121" s="11">
        <v>31</v>
      </c>
      <c r="N121" s="3">
        <v>1440250</v>
      </c>
      <c r="O121" s="3">
        <f t="shared" si="8"/>
        <v>9901400</v>
      </c>
      <c r="P121" s="8">
        <f t="shared" si="9"/>
        <v>68</v>
      </c>
      <c r="Q121" s="3">
        <f t="shared" si="10"/>
        <v>11048500</v>
      </c>
      <c r="R121" s="8">
        <f t="shared" si="11"/>
        <v>99</v>
      </c>
      <c r="S121" s="9">
        <f t="shared" si="14"/>
        <v>0.45588235294117646</v>
      </c>
      <c r="T121" s="4">
        <f t="shared" si="12"/>
        <v>0.10382404851337286</v>
      </c>
    </row>
    <row r="122" spans="1:20" x14ac:dyDescent="0.3">
      <c r="A122" s="10">
        <v>45779</v>
      </c>
      <c r="B122" s="11">
        <v>2</v>
      </c>
      <c r="C122" s="11">
        <f>MONTH(Tabla1[[#This Row],[FECHA]])</f>
        <v>5</v>
      </c>
      <c r="D122" s="3">
        <v>1350200</v>
      </c>
      <c r="E122" s="11">
        <v>27</v>
      </c>
      <c r="F122" s="3">
        <v>3671700</v>
      </c>
      <c r="G122" s="11">
        <v>17</v>
      </c>
      <c r="H122" s="3">
        <v>19865700</v>
      </c>
      <c r="I122" s="11">
        <v>21</v>
      </c>
      <c r="J122" s="3">
        <v>3707300</v>
      </c>
      <c r="K122" s="11">
        <v>29</v>
      </c>
      <c r="L122" s="3">
        <v>1424600</v>
      </c>
      <c r="M122" s="11">
        <v>63</v>
      </c>
      <c r="N122" s="3">
        <v>6306300</v>
      </c>
      <c r="O122" s="3">
        <f t="shared" si="8"/>
        <v>28594900</v>
      </c>
      <c r="P122" s="8">
        <f t="shared" si="9"/>
        <v>94</v>
      </c>
      <c r="Q122" s="3">
        <f t="shared" si="10"/>
        <v>30019500</v>
      </c>
      <c r="R122" s="8">
        <f t="shared" si="11"/>
        <v>157</v>
      </c>
      <c r="S122" s="9">
        <f t="shared" si="14"/>
        <v>0.67021276595744683</v>
      </c>
      <c r="T122" s="4">
        <f t="shared" si="12"/>
        <v>4.7455820383417446E-2</v>
      </c>
    </row>
    <row r="123" spans="1:20" x14ac:dyDescent="0.3">
      <c r="A123" s="10">
        <v>45780</v>
      </c>
      <c r="B123" s="11">
        <v>3</v>
      </c>
      <c r="C123" s="11">
        <f>MONTH(Tabla1[[#This Row],[FECHA]])</f>
        <v>5</v>
      </c>
      <c r="D123" s="3">
        <v>2670900</v>
      </c>
      <c r="E123" s="11">
        <v>39</v>
      </c>
      <c r="F123" s="3">
        <v>2339790</v>
      </c>
      <c r="G123" s="11">
        <v>18</v>
      </c>
      <c r="H123" s="3">
        <v>5951700</v>
      </c>
      <c r="I123" s="11">
        <v>13</v>
      </c>
      <c r="J123" s="3">
        <v>3656190</v>
      </c>
      <c r="K123" s="11">
        <v>24</v>
      </c>
      <c r="L123" s="3">
        <v>2736400</v>
      </c>
      <c r="M123" s="11">
        <v>59</v>
      </c>
      <c r="N123" s="3">
        <v>8227600</v>
      </c>
      <c r="O123" s="3">
        <f t="shared" si="8"/>
        <v>14618580</v>
      </c>
      <c r="P123" s="8">
        <f t="shared" si="9"/>
        <v>94</v>
      </c>
      <c r="Q123" s="3">
        <f t="shared" si="10"/>
        <v>17354980</v>
      </c>
      <c r="R123" s="8">
        <f t="shared" si="11"/>
        <v>153</v>
      </c>
      <c r="S123" s="9">
        <f t="shared" si="14"/>
        <v>0.62765957446808507</v>
      </c>
      <c r="T123" s="4">
        <f t="shared" si="12"/>
        <v>0.15767232229596345</v>
      </c>
    </row>
    <row r="124" spans="1:20" x14ac:dyDescent="0.3">
      <c r="A124" s="10">
        <v>45781</v>
      </c>
      <c r="B124" s="11">
        <v>4</v>
      </c>
      <c r="C124" s="11">
        <f>MONTH(Tabla1[[#This Row],[FECHA]])</f>
        <v>5</v>
      </c>
      <c r="D124" s="3">
        <v>1437300</v>
      </c>
      <c r="E124" s="11">
        <v>14</v>
      </c>
      <c r="F124" s="3">
        <v>3416950</v>
      </c>
      <c r="G124" s="11">
        <v>14</v>
      </c>
      <c r="H124" s="3">
        <v>139900</v>
      </c>
      <c r="I124" s="11">
        <v>3</v>
      </c>
      <c r="J124" s="3">
        <v>10880600</v>
      </c>
      <c r="K124" s="11">
        <v>16</v>
      </c>
      <c r="L124" s="3">
        <v>13508400</v>
      </c>
      <c r="M124" s="11">
        <v>50</v>
      </c>
      <c r="N124" s="3">
        <v>309200</v>
      </c>
      <c r="O124" s="3">
        <f t="shared" si="8"/>
        <v>15874750</v>
      </c>
      <c r="P124" s="8">
        <f t="shared" si="9"/>
        <v>47</v>
      </c>
      <c r="Q124" s="3">
        <f t="shared" si="10"/>
        <v>29383150</v>
      </c>
      <c r="R124" s="8">
        <f t="shared" si="11"/>
        <v>97</v>
      </c>
      <c r="S124" s="9">
        <f t="shared" si="14"/>
        <v>1.0638297872340425</v>
      </c>
      <c r="T124" s="4">
        <f t="shared" si="12"/>
        <v>0.45973287411322478</v>
      </c>
    </row>
    <row r="125" spans="1:20" x14ac:dyDescent="0.3">
      <c r="A125" s="10">
        <v>45782</v>
      </c>
      <c r="B125" s="11">
        <v>5</v>
      </c>
      <c r="C125" s="11">
        <f>MONTH(Tabla1[[#This Row],[FECHA]])</f>
        <v>5</v>
      </c>
      <c r="D125" s="3">
        <v>1392400</v>
      </c>
      <c r="E125" s="11">
        <v>30</v>
      </c>
      <c r="F125" s="3">
        <v>3177400</v>
      </c>
      <c r="G125" s="11">
        <v>16</v>
      </c>
      <c r="H125" s="3">
        <v>9340200</v>
      </c>
      <c r="I125" s="11">
        <v>13</v>
      </c>
      <c r="J125" s="3">
        <v>3261900</v>
      </c>
      <c r="K125" s="11">
        <v>31</v>
      </c>
      <c r="L125" s="3">
        <v>16143700</v>
      </c>
      <c r="M125" s="11">
        <v>50</v>
      </c>
      <c r="N125" s="3">
        <v>2532800</v>
      </c>
      <c r="O125" s="3">
        <f t="shared" si="8"/>
        <v>17171900</v>
      </c>
      <c r="P125" s="8">
        <f t="shared" si="9"/>
        <v>90</v>
      </c>
      <c r="Q125" s="3">
        <f t="shared" si="10"/>
        <v>33315600</v>
      </c>
      <c r="R125" s="8">
        <f t="shared" si="11"/>
        <v>140</v>
      </c>
      <c r="S125" s="9">
        <f t="shared" si="14"/>
        <v>0.55555555555555558</v>
      </c>
      <c r="T125" s="4">
        <f t="shared" si="12"/>
        <v>0.48456879059659741</v>
      </c>
    </row>
    <row r="126" spans="1:20" x14ac:dyDescent="0.3">
      <c r="A126" s="10">
        <v>45783</v>
      </c>
      <c r="B126" s="11">
        <v>6</v>
      </c>
      <c r="C126" s="11">
        <f>MONTH(Tabla1[[#This Row],[FECHA]])</f>
        <v>5</v>
      </c>
      <c r="D126" s="3">
        <v>1356400</v>
      </c>
      <c r="E126" s="11">
        <v>33</v>
      </c>
      <c r="F126" s="3">
        <v>1885300</v>
      </c>
      <c r="G126" s="11">
        <v>19</v>
      </c>
      <c r="H126" s="3">
        <v>6480400</v>
      </c>
      <c r="I126" s="11">
        <v>15</v>
      </c>
      <c r="J126" s="3">
        <v>7024300</v>
      </c>
      <c r="K126" s="11">
        <v>47</v>
      </c>
      <c r="L126" s="3">
        <v>8471800</v>
      </c>
      <c r="M126" s="11">
        <v>75</v>
      </c>
      <c r="N126" s="3">
        <v>6217700</v>
      </c>
      <c r="O126" s="3">
        <f t="shared" si="8"/>
        <v>16746400</v>
      </c>
      <c r="P126" s="8">
        <f t="shared" si="9"/>
        <v>114</v>
      </c>
      <c r="Q126" s="3">
        <f t="shared" si="10"/>
        <v>25218200</v>
      </c>
      <c r="R126" s="8">
        <f t="shared" si="11"/>
        <v>189</v>
      </c>
      <c r="S126" s="9">
        <f t="shared" si="14"/>
        <v>0.65789473684210531</v>
      </c>
      <c r="T126" s="4">
        <f t="shared" si="12"/>
        <v>0.33593991640957721</v>
      </c>
    </row>
    <row r="127" spans="1:20" x14ac:dyDescent="0.3">
      <c r="A127" s="10">
        <v>45784</v>
      </c>
      <c r="B127" s="11">
        <v>7</v>
      </c>
      <c r="C127" s="11">
        <f>MONTH(Tabla1[[#This Row],[FECHA]])</f>
        <v>5</v>
      </c>
      <c r="D127" s="3">
        <v>1304600</v>
      </c>
      <c r="E127" s="11">
        <v>27</v>
      </c>
      <c r="F127" s="3">
        <v>8055500</v>
      </c>
      <c r="G127" s="11">
        <v>13</v>
      </c>
      <c r="H127" s="3">
        <v>11291338</v>
      </c>
      <c r="I127" s="11">
        <v>14</v>
      </c>
      <c r="J127" s="3">
        <v>1787100</v>
      </c>
      <c r="K127" s="11">
        <v>20</v>
      </c>
      <c r="L127" s="3">
        <v>2753100</v>
      </c>
      <c r="M127" s="11">
        <v>36</v>
      </c>
      <c r="N127" s="3">
        <v>3818100</v>
      </c>
      <c r="O127" s="3">
        <f t="shared" si="8"/>
        <v>22438538</v>
      </c>
      <c r="P127" s="8">
        <f t="shared" si="9"/>
        <v>74</v>
      </c>
      <c r="Q127" s="3">
        <f t="shared" si="10"/>
        <v>25191638</v>
      </c>
      <c r="R127" s="8">
        <f t="shared" si="11"/>
        <v>110</v>
      </c>
      <c r="S127" s="9">
        <f t="shared" si="14"/>
        <v>0.48648648648648651</v>
      </c>
      <c r="T127" s="4">
        <f t="shared" si="12"/>
        <v>0.1092862639579054</v>
      </c>
    </row>
    <row r="128" spans="1:20" x14ac:dyDescent="0.3">
      <c r="A128" s="10">
        <v>45785</v>
      </c>
      <c r="B128" s="11">
        <v>8</v>
      </c>
      <c r="C128" s="11">
        <f>MONTH(Tabla1[[#This Row],[FECHA]])</f>
        <v>5</v>
      </c>
      <c r="D128" s="3">
        <v>1531600</v>
      </c>
      <c r="E128" s="11">
        <v>28</v>
      </c>
      <c r="F128" s="3">
        <v>9044000</v>
      </c>
      <c r="G128" s="11">
        <v>15</v>
      </c>
      <c r="H128" s="3">
        <v>8479942</v>
      </c>
      <c r="I128" s="11">
        <v>22</v>
      </c>
      <c r="J128" s="3">
        <v>3620000</v>
      </c>
      <c r="K128" s="11">
        <v>44</v>
      </c>
      <c r="L128" s="3">
        <v>5603300</v>
      </c>
      <c r="M128" s="11">
        <v>45</v>
      </c>
      <c r="N128" s="3">
        <v>4466100</v>
      </c>
      <c r="O128" s="3">
        <f t="shared" si="8"/>
        <v>22675542</v>
      </c>
      <c r="P128" s="8">
        <f t="shared" si="9"/>
        <v>109</v>
      </c>
      <c r="Q128" s="3">
        <f t="shared" si="10"/>
        <v>28278842</v>
      </c>
      <c r="R128" s="8">
        <f t="shared" si="11"/>
        <v>154</v>
      </c>
      <c r="S128" s="9">
        <f t="shared" si="14"/>
        <v>0.41284403669724773</v>
      </c>
      <c r="T128" s="4">
        <f t="shared" si="12"/>
        <v>0.19814460577982648</v>
      </c>
    </row>
    <row r="129" spans="1:20" x14ac:dyDescent="0.3">
      <c r="A129" s="10">
        <v>45786</v>
      </c>
      <c r="B129" s="11">
        <v>9</v>
      </c>
      <c r="C129" s="11">
        <f>MONTH(Tabla1[[#This Row],[FECHA]])</f>
        <v>5</v>
      </c>
      <c r="D129" s="3">
        <v>1558800</v>
      </c>
      <c r="E129" s="11">
        <v>37</v>
      </c>
      <c r="F129" s="3">
        <v>7396600</v>
      </c>
      <c r="G129" s="11">
        <v>9</v>
      </c>
      <c r="H129" s="3">
        <v>15589400</v>
      </c>
      <c r="I129" s="11">
        <v>21</v>
      </c>
      <c r="J129" s="3">
        <v>2944200</v>
      </c>
      <c r="K129" s="11">
        <v>21</v>
      </c>
      <c r="L129" s="3">
        <v>4732600</v>
      </c>
      <c r="M129" s="11">
        <v>70</v>
      </c>
      <c r="N129" s="3">
        <v>3994100</v>
      </c>
      <c r="O129" s="3">
        <f t="shared" ref="O129:O192" si="15">D129+F129+H129+J129</f>
        <v>27489000</v>
      </c>
      <c r="P129" s="8">
        <f t="shared" ref="P129:P192" si="16">E129+G129+I129+K129</f>
        <v>88</v>
      </c>
      <c r="Q129" s="3">
        <f t="shared" ref="Q129:Q192" si="17">O129+L129</f>
        <v>32221600</v>
      </c>
      <c r="R129" s="8">
        <f t="shared" ref="R129:R192" si="18">P129+M129</f>
        <v>158</v>
      </c>
      <c r="S129" s="9">
        <f t="shared" si="14"/>
        <v>0.79545454545454541</v>
      </c>
      <c r="T129" s="4">
        <f t="shared" ref="T129:T192" si="19">IFERROR(L129/Q129,0)</f>
        <v>0.14687662934180798</v>
      </c>
    </row>
    <row r="130" spans="1:20" x14ac:dyDescent="0.3">
      <c r="A130" s="10">
        <v>45787</v>
      </c>
      <c r="B130" s="11">
        <v>10</v>
      </c>
      <c r="C130" s="11">
        <f>MONTH(Tabla1[[#This Row],[FECHA]])</f>
        <v>5</v>
      </c>
      <c r="D130" s="3">
        <v>2319500</v>
      </c>
      <c r="E130" s="11">
        <v>39</v>
      </c>
      <c r="F130" s="3">
        <v>1407100</v>
      </c>
      <c r="G130" s="11">
        <v>15</v>
      </c>
      <c r="H130" s="3">
        <v>2714600</v>
      </c>
      <c r="I130" s="11">
        <v>6</v>
      </c>
      <c r="J130" s="3">
        <v>4983450</v>
      </c>
      <c r="K130" s="11">
        <v>26</v>
      </c>
      <c r="L130" s="3">
        <v>5519700</v>
      </c>
      <c r="M130" s="11">
        <v>61</v>
      </c>
      <c r="N130" s="3">
        <v>9937000</v>
      </c>
      <c r="O130" s="3">
        <f t="shared" si="15"/>
        <v>11424650</v>
      </c>
      <c r="P130" s="8">
        <f t="shared" si="16"/>
        <v>86</v>
      </c>
      <c r="Q130" s="3">
        <f t="shared" si="17"/>
        <v>16944350</v>
      </c>
      <c r="R130" s="8">
        <f t="shared" si="18"/>
        <v>147</v>
      </c>
      <c r="S130" s="9">
        <f t="shared" si="14"/>
        <v>0.70930232558139539</v>
      </c>
      <c r="T130" s="4">
        <f t="shared" si="19"/>
        <v>0.32575460256663724</v>
      </c>
    </row>
    <row r="131" spans="1:20" x14ac:dyDescent="0.3">
      <c r="A131" s="10">
        <v>45788</v>
      </c>
      <c r="B131" s="11">
        <v>11</v>
      </c>
      <c r="C131" s="11">
        <f>MONTH(Tabla1[[#This Row],[FECHA]])</f>
        <v>5</v>
      </c>
      <c r="D131" s="3">
        <v>581700</v>
      </c>
      <c r="E131" s="11">
        <v>7</v>
      </c>
      <c r="F131" s="3">
        <v>442100</v>
      </c>
      <c r="G131" s="11">
        <v>6</v>
      </c>
      <c r="H131" s="3">
        <v>236400</v>
      </c>
      <c r="I131" s="11">
        <v>4</v>
      </c>
      <c r="J131" s="3">
        <v>988400</v>
      </c>
      <c r="K131" s="11">
        <v>13</v>
      </c>
      <c r="L131" s="3">
        <v>2253700</v>
      </c>
      <c r="M131" s="11">
        <v>34</v>
      </c>
      <c r="N131" s="3">
        <v>667900</v>
      </c>
      <c r="O131" s="3">
        <f t="shared" si="15"/>
        <v>2248600</v>
      </c>
      <c r="P131" s="8">
        <f t="shared" si="16"/>
        <v>30</v>
      </c>
      <c r="Q131" s="3">
        <f t="shared" si="17"/>
        <v>4502300</v>
      </c>
      <c r="R131" s="8">
        <f t="shared" si="18"/>
        <v>64</v>
      </c>
      <c r="S131" s="9">
        <f t="shared" si="14"/>
        <v>1.1333333333333333</v>
      </c>
      <c r="T131" s="4">
        <f t="shared" si="19"/>
        <v>0.5005663771849943</v>
      </c>
    </row>
    <row r="132" spans="1:20" x14ac:dyDescent="0.3">
      <c r="A132" s="10">
        <v>45789</v>
      </c>
      <c r="B132" s="11">
        <v>12</v>
      </c>
      <c r="C132" s="11">
        <f>MONTH(Tabla1[[#This Row],[FECHA]])</f>
        <v>5</v>
      </c>
      <c r="D132" s="3">
        <v>1459600</v>
      </c>
      <c r="E132" s="11">
        <v>28</v>
      </c>
      <c r="F132" s="3">
        <v>2204600</v>
      </c>
      <c r="G132" s="11">
        <v>8</v>
      </c>
      <c r="H132" s="3">
        <v>17363800</v>
      </c>
      <c r="I132" s="11">
        <v>17</v>
      </c>
      <c r="J132" s="3">
        <v>8972550</v>
      </c>
      <c r="K132" s="11">
        <v>40</v>
      </c>
      <c r="L132" s="3">
        <v>2547950</v>
      </c>
      <c r="M132" s="11">
        <v>62</v>
      </c>
      <c r="N132" s="3">
        <v>2292100</v>
      </c>
      <c r="O132" s="3">
        <f t="shared" si="15"/>
        <v>30000550</v>
      </c>
      <c r="P132" s="8">
        <f t="shared" si="16"/>
        <v>93</v>
      </c>
      <c r="Q132" s="3">
        <f t="shared" si="17"/>
        <v>32548500</v>
      </c>
      <c r="R132" s="8">
        <f t="shared" si="18"/>
        <v>155</v>
      </c>
      <c r="S132" s="9">
        <f t="shared" si="14"/>
        <v>0.66666666666666663</v>
      </c>
      <c r="T132" s="4">
        <f t="shared" si="19"/>
        <v>7.8281641243068037E-2</v>
      </c>
    </row>
    <row r="133" spans="1:20" x14ac:dyDescent="0.3">
      <c r="A133" s="10">
        <v>45790</v>
      </c>
      <c r="B133" s="11">
        <v>13</v>
      </c>
      <c r="C133" s="11">
        <f>MONTH(Tabla1[[#This Row],[FECHA]])</f>
        <v>5</v>
      </c>
      <c r="D133" s="3">
        <v>1834300</v>
      </c>
      <c r="E133" s="11">
        <v>28</v>
      </c>
      <c r="F133" s="3">
        <v>4978810</v>
      </c>
      <c r="G133" s="11">
        <v>17</v>
      </c>
      <c r="H133" s="3">
        <v>6295900</v>
      </c>
      <c r="I133" s="11">
        <v>14</v>
      </c>
      <c r="J133" s="3">
        <v>1801000</v>
      </c>
      <c r="K133" s="11">
        <v>31</v>
      </c>
      <c r="L133" s="3">
        <v>3287000</v>
      </c>
      <c r="M133" s="11">
        <v>65</v>
      </c>
      <c r="N133" s="3">
        <v>6176800</v>
      </c>
      <c r="O133" s="3">
        <f t="shared" si="15"/>
        <v>14910010</v>
      </c>
      <c r="P133" s="8">
        <f t="shared" si="16"/>
        <v>90</v>
      </c>
      <c r="Q133" s="3">
        <f t="shared" si="17"/>
        <v>18197010</v>
      </c>
      <c r="R133" s="8">
        <f t="shared" si="18"/>
        <v>155</v>
      </c>
      <c r="S133" s="9">
        <f t="shared" si="14"/>
        <v>0.72222222222222221</v>
      </c>
      <c r="T133" s="4">
        <f t="shared" si="19"/>
        <v>0.18063407120180733</v>
      </c>
    </row>
    <row r="134" spans="1:20" x14ac:dyDescent="0.3">
      <c r="A134" s="10">
        <v>45791</v>
      </c>
      <c r="B134" s="11">
        <v>14</v>
      </c>
      <c r="C134" s="11">
        <f>MONTH(Tabla1[[#This Row],[FECHA]])</f>
        <v>5</v>
      </c>
      <c r="D134" s="3">
        <v>1290800</v>
      </c>
      <c r="E134" s="11">
        <v>36</v>
      </c>
      <c r="F134" s="3">
        <v>12336121</v>
      </c>
      <c r="G134" s="11">
        <v>18</v>
      </c>
      <c r="H134" s="3">
        <v>8037000</v>
      </c>
      <c r="I134" s="11">
        <v>25</v>
      </c>
      <c r="J134" s="3">
        <v>2670100</v>
      </c>
      <c r="K134" s="11">
        <v>35</v>
      </c>
      <c r="L134" s="3">
        <v>8546200</v>
      </c>
      <c r="M134" s="11">
        <v>62</v>
      </c>
      <c r="N134" s="3">
        <v>10639600</v>
      </c>
      <c r="O134" s="3">
        <f t="shared" si="15"/>
        <v>24334021</v>
      </c>
      <c r="P134" s="8">
        <f t="shared" si="16"/>
        <v>114</v>
      </c>
      <c r="Q134" s="3">
        <f t="shared" si="17"/>
        <v>32880221</v>
      </c>
      <c r="R134" s="8">
        <f t="shared" si="18"/>
        <v>176</v>
      </c>
      <c r="S134" s="9">
        <f t="shared" si="14"/>
        <v>0.54385964912280704</v>
      </c>
      <c r="T134" s="4">
        <f t="shared" si="19"/>
        <v>0.25991917755054017</v>
      </c>
    </row>
    <row r="135" spans="1:20" x14ac:dyDescent="0.3">
      <c r="A135" s="10">
        <v>45792</v>
      </c>
      <c r="B135" s="11">
        <v>15</v>
      </c>
      <c r="C135" s="11">
        <f>MONTH(Tabla1[[#This Row],[FECHA]])</f>
        <v>5</v>
      </c>
      <c r="D135" s="3">
        <v>1706800</v>
      </c>
      <c r="E135" s="11">
        <v>37</v>
      </c>
      <c r="F135" s="3">
        <v>4441220</v>
      </c>
      <c r="G135" s="11">
        <v>18</v>
      </c>
      <c r="H135" s="3">
        <v>9670113</v>
      </c>
      <c r="I135" s="11">
        <v>21</v>
      </c>
      <c r="J135" s="3">
        <v>1958700</v>
      </c>
      <c r="K135" s="11">
        <v>25</v>
      </c>
      <c r="L135" s="3">
        <v>3202500</v>
      </c>
      <c r="M135" s="11">
        <v>63</v>
      </c>
      <c r="N135" s="3">
        <v>7375700</v>
      </c>
      <c r="O135" s="3">
        <f t="shared" si="15"/>
        <v>17776833</v>
      </c>
      <c r="P135" s="8">
        <f t="shared" si="16"/>
        <v>101</v>
      </c>
      <c r="Q135" s="3">
        <f t="shared" si="17"/>
        <v>20979333</v>
      </c>
      <c r="R135" s="8">
        <f t="shared" si="18"/>
        <v>164</v>
      </c>
      <c r="S135" s="9">
        <f t="shared" si="14"/>
        <v>0.62376237623762376</v>
      </c>
      <c r="T135" s="4">
        <f t="shared" si="19"/>
        <v>0.15265022963313465</v>
      </c>
    </row>
    <row r="136" spans="1:20" x14ac:dyDescent="0.3">
      <c r="A136" s="10">
        <v>45793</v>
      </c>
      <c r="B136" s="11">
        <v>16</v>
      </c>
      <c r="C136" s="11">
        <f>MONTH(Tabla1[[#This Row],[FECHA]])</f>
        <v>5</v>
      </c>
      <c r="D136" s="3">
        <v>591000</v>
      </c>
      <c r="E136" s="11">
        <v>24</v>
      </c>
      <c r="F136" s="3">
        <v>1104700</v>
      </c>
      <c r="G136" s="11">
        <v>13</v>
      </c>
      <c r="H136" s="3">
        <v>3603000</v>
      </c>
      <c r="I136" s="11">
        <v>15</v>
      </c>
      <c r="J136" s="3">
        <v>3431900</v>
      </c>
      <c r="K136" s="11">
        <v>28</v>
      </c>
      <c r="L136" s="3">
        <v>2235400</v>
      </c>
      <c r="M136" s="11">
        <v>51</v>
      </c>
      <c r="N136" s="3">
        <v>4159000</v>
      </c>
      <c r="O136" s="3">
        <f t="shared" si="15"/>
        <v>8730600</v>
      </c>
      <c r="P136" s="8">
        <f t="shared" si="16"/>
        <v>80</v>
      </c>
      <c r="Q136" s="3">
        <f t="shared" si="17"/>
        <v>10966000</v>
      </c>
      <c r="R136" s="8">
        <f t="shared" si="18"/>
        <v>131</v>
      </c>
      <c r="S136" s="9">
        <f t="shared" si="14"/>
        <v>0.63749999999999996</v>
      </c>
      <c r="T136" s="4">
        <f t="shared" si="19"/>
        <v>0.20384825825278133</v>
      </c>
    </row>
    <row r="137" spans="1:20" x14ac:dyDescent="0.3">
      <c r="A137" s="10">
        <v>45794</v>
      </c>
      <c r="B137" s="11">
        <v>17</v>
      </c>
      <c r="C137" s="11">
        <f>MONTH(Tabla1[[#This Row],[FECHA]])</f>
        <v>5</v>
      </c>
      <c r="D137" s="3">
        <v>1894100</v>
      </c>
      <c r="E137" s="11">
        <v>28</v>
      </c>
      <c r="F137" s="3">
        <v>1428900</v>
      </c>
      <c r="G137" s="11">
        <v>14</v>
      </c>
      <c r="H137" s="3">
        <v>3691500</v>
      </c>
      <c r="I137" s="11">
        <v>13</v>
      </c>
      <c r="J137" s="3">
        <v>6537000</v>
      </c>
      <c r="K137" s="11">
        <v>32</v>
      </c>
      <c r="L137" s="3">
        <v>6478800</v>
      </c>
      <c r="M137" s="11">
        <v>81</v>
      </c>
      <c r="N137" s="3">
        <v>9026200</v>
      </c>
      <c r="O137" s="3">
        <f t="shared" si="15"/>
        <v>13551500</v>
      </c>
      <c r="P137" s="8">
        <f t="shared" si="16"/>
        <v>87</v>
      </c>
      <c r="Q137" s="3">
        <f t="shared" si="17"/>
        <v>20030300</v>
      </c>
      <c r="R137" s="8">
        <f t="shared" si="18"/>
        <v>168</v>
      </c>
      <c r="S137" s="9">
        <f t="shared" si="14"/>
        <v>0.93103448275862066</v>
      </c>
      <c r="T137" s="4">
        <f t="shared" si="19"/>
        <v>0.32344997329046493</v>
      </c>
    </row>
    <row r="138" spans="1:20" x14ac:dyDescent="0.3">
      <c r="A138" s="10">
        <v>45795</v>
      </c>
      <c r="B138" s="11">
        <v>18</v>
      </c>
      <c r="C138" s="11">
        <f>MONTH(Tabla1[[#This Row],[FECHA]])</f>
        <v>5</v>
      </c>
      <c r="D138" s="3">
        <v>364200</v>
      </c>
      <c r="E138" s="11">
        <v>8</v>
      </c>
      <c r="F138" s="3">
        <v>824300</v>
      </c>
      <c r="G138" s="11">
        <v>7</v>
      </c>
      <c r="H138" s="3">
        <v>1061600</v>
      </c>
      <c r="I138" s="11">
        <v>5</v>
      </c>
      <c r="J138" s="3">
        <v>1473500</v>
      </c>
      <c r="K138" s="11">
        <v>17</v>
      </c>
      <c r="L138" s="3">
        <v>3046450</v>
      </c>
      <c r="M138" s="11">
        <v>34</v>
      </c>
      <c r="N138" s="3">
        <v>30800</v>
      </c>
      <c r="O138" s="3">
        <f t="shared" si="15"/>
        <v>3723600</v>
      </c>
      <c r="P138" s="8">
        <f t="shared" si="16"/>
        <v>37</v>
      </c>
      <c r="Q138" s="3">
        <f t="shared" si="17"/>
        <v>6770050</v>
      </c>
      <c r="R138" s="8">
        <f t="shared" si="18"/>
        <v>71</v>
      </c>
      <c r="S138" s="9">
        <f t="shared" si="14"/>
        <v>0.91891891891891897</v>
      </c>
      <c r="T138" s="4">
        <f t="shared" si="19"/>
        <v>0.44998929106875135</v>
      </c>
    </row>
    <row r="139" spans="1:20" x14ac:dyDescent="0.3">
      <c r="A139" s="10">
        <v>45796</v>
      </c>
      <c r="B139" s="11">
        <v>19</v>
      </c>
      <c r="C139" s="11">
        <f>MONTH(Tabla1[[#This Row],[FECHA]])</f>
        <v>5</v>
      </c>
      <c r="D139" s="3">
        <v>1649100</v>
      </c>
      <c r="E139" s="11">
        <v>37</v>
      </c>
      <c r="F139" s="3">
        <v>2241700</v>
      </c>
      <c r="G139" s="11">
        <v>22</v>
      </c>
      <c r="H139" s="3">
        <v>6961900</v>
      </c>
      <c r="I139" s="11">
        <v>22</v>
      </c>
      <c r="J139" s="3">
        <v>3310750</v>
      </c>
      <c r="K139" s="11">
        <v>32</v>
      </c>
      <c r="L139" s="3">
        <v>2991900</v>
      </c>
      <c r="M139" s="11">
        <v>43</v>
      </c>
      <c r="N139" s="3">
        <v>7148800</v>
      </c>
      <c r="O139" s="3">
        <f t="shared" si="15"/>
        <v>14163450</v>
      </c>
      <c r="P139" s="8">
        <f t="shared" si="16"/>
        <v>113</v>
      </c>
      <c r="Q139" s="3">
        <f t="shared" si="17"/>
        <v>17155350</v>
      </c>
      <c r="R139" s="8">
        <f t="shared" si="18"/>
        <v>156</v>
      </c>
      <c r="S139" s="9">
        <f t="shared" si="14"/>
        <v>0.38053097345132741</v>
      </c>
      <c r="T139" s="4">
        <f t="shared" si="19"/>
        <v>0.17440040570434295</v>
      </c>
    </row>
    <row r="140" spans="1:20" x14ac:dyDescent="0.3">
      <c r="A140" s="10">
        <v>45797</v>
      </c>
      <c r="B140" s="11">
        <v>20</v>
      </c>
      <c r="C140" s="11">
        <f>MONTH(Tabla1[[#This Row],[FECHA]])</f>
        <v>5</v>
      </c>
      <c r="D140" s="3">
        <v>2205600</v>
      </c>
      <c r="E140" s="11">
        <v>37</v>
      </c>
      <c r="F140" s="3">
        <v>3162861</v>
      </c>
      <c r="G140" s="11">
        <v>14</v>
      </c>
      <c r="H140" s="3">
        <v>4571530</v>
      </c>
      <c r="I140" s="11">
        <v>16</v>
      </c>
      <c r="J140" s="3">
        <v>3374531</v>
      </c>
      <c r="K140" s="11">
        <v>25</v>
      </c>
      <c r="L140" s="3">
        <v>2713200</v>
      </c>
      <c r="M140" s="11">
        <v>53</v>
      </c>
      <c r="N140" s="3">
        <v>1717000</v>
      </c>
      <c r="O140" s="3">
        <f t="shared" si="15"/>
        <v>13314522</v>
      </c>
      <c r="P140" s="8">
        <f t="shared" si="16"/>
        <v>92</v>
      </c>
      <c r="Q140" s="3">
        <f t="shared" si="17"/>
        <v>16027722</v>
      </c>
      <c r="R140" s="8">
        <f t="shared" si="18"/>
        <v>145</v>
      </c>
      <c r="S140" s="9">
        <f t="shared" si="14"/>
        <v>0.57608695652173914</v>
      </c>
      <c r="T140" s="4">
        <f t="shared" si="19"/>
        <v>0.16928169829748732</v>
      </c>
    </row>
    <row r="141" spans="1:20" x14ac:dyDescent="0.3">
      <c r="A141" s="10">
        <v>45798</v>
      </c>
      <c r="B141" s="11">
        <v>21</v>
      </c>
      <c r="C141" s="11">
        <f>MONTH(Tabla1[[#This Row],[FECHA]])</f>
        <v>5</v>
      </c>
      <c r="D141" s="3">
        <v>1039400</v>
      </c>
      <c r="E141" s="11">
        <v>24</v>
      </c>
      <c r="F141" s="3">
        <v>3329600</v>
      </c>
      <c r="G141" s="11">
        <v>16</v>
      </c>
      <c r="H141" s="3">
        <v>8034900</v>
      </c>
      <c r="I141" s="11">
        <v>24</v>
      </c>
      <c r="J141" s="3">
        <v>1681900</v>
      </c>
      <c r="K141" s="11">
        <v>25</v>
      </c>
      <c r="L141" s="3">
        <v>2298500</v>
      </c>
      <c r="M141" s="11">
        <v>52</v>
      </c>
      <c r="N141" s="3">
        <v>2668500</v>
      </c>
      <c r="O141" s="3">
        <f t="shared" si="15"/>
        <v>14085800</v>
      </c>
      <c r="P141" s="8">
        <f t="shared" si="16"/>
        <v>89</v>
      </c>
      <c r="Q141" s="3">
        <f t="shared" si="17"/>
        <v>16384300</v>
      </c>
      <c r="R141" s="8">
        <f t="shared" si="18"/>
        <v>141</v>
      </c>
      <c r="S141" s="9">
        <f t="shared" ref="S141:S172" si="20">M141/P141</f>
        <v>0.5842696629213483</v>
      </c>
      <c r="T141" s="4">
        <f t="shared" si="19"/>
        <v>0.1402867379137345</v>
      </c>
    </row>
    <row r="142" spans="1:20" x14ac:dyDescent="0.3">
      <c r="A142" s="10">
        <v>45799</v>
      </c>
      <c r="B142" s="11">
        <v>22</v>
      </c>
      <c r="C142" s="11">
        <f>MONTH(Tabla1[[#This Row],[FECHA]])</f>
        <v>5</v>
      </c>
      <c r="D142" s="3">
        <v>2032600</v>
      </c>
      <c r="E142" s="11">
        <v>37</v>
      </c>
      <c r="F142" s="3">
        <v>5044600</v>
      </c>
      <c r="G142" s="11">
        <v>20</v>
      </c>
      <c r="H142" s="3">
        <v>12889700</v>
      </c>
      <c r="I142" s="11">
        <v>19</v>
      </c>
      <c r="J142" s="3">
        <v>3514000</v>
      </c>
      <c r="K142" s="11">
        <v>31</v>
      </c>
      <c r="L142" s="3">
        <v>5026400</v>
      </c>
      <c r="M142" s="11">
        <v>62</v>
      </c>
      <c r="N142" s="3">
        <v>4236550</v>
      </c>
      <c r="O142" s="3">
        <f t="shared" si="15"/>
        <v>23480900</v>
      </c>
      <c r="P142" s="8">
        <f t="shared" si="16"/>
        <v>107</v>
      </c>
      <c r="Q142" s="3">
        <f t="shared" si="17"/>
        <v>28507300</v>
      </c>
      <c r="R142" s="8">
        <f t="shared" si="18"/>
        <v>169</v>
      </c>
      <c r="S142" s="9">
        <f t="shared" si="20"/>
        <v>0.57943925233644855</v>
      </c>
      <c r="T142" s="4">
        <f t="shared" si="19"/>
        <v>0.17631974967815262</v>
      </c>
    </row>
    <row r="143" spans="1:20" x14ac:dyDescent="0.3">
      <c r="A143" s="10">
        <v>45800</v>
      </c>
      <c r="B143" s="11">
        <v>23</v>
      </c>
      <c r="C143" s="11">
        <f>MONTH(Tabla1[[#This Row],[FECHA]])</f>
        <v>5</v>
      </c>
      <c r="D143" s="3">
        <v>1352100</v>
      </c>
      <c r="E143" s="11">
        <v>25</v>
      </c>
      <c r="F143" s="3">
        <v>3174700</v>
      </c>
      <c r="G143" s="11">
        <v>16</v>
      </c>
      <c r="H143" s="3">
        <v>10722800</v>
      </c>
      <c r="I143" s="11">
        <v>22</v>
      </c>
      <c r="J143" s="3">
        <v>7037100</v>
      </c>
      <c r="K143" s="11">
        <v>36</v>
      </c>
      <c r="L143" s="3">
        <v>1686200</v>
      </c>
      <c r="M143" s="11">
        <v>51</v>
      </c>
      <c r="N143" s="3">
        <v>2369300</v>
      </c>
      <c r="O143" s="3">
        <f t="shared" si="15"/>
        <v>22286700</v>
      </c>
      <c r="P143" s="8">
        <f t="shared" si="16"/>
        <v>99</v>
      </c>
      <c r="Q143" s="3">
        <f t="shared" si="17"/>
        <v>23972900</v>
      </c>
      <c r="R143" s="8">
        <f t="shared" si="18"/>
        <v>150</v>
      </c>
      <c r="S143" s="9">
        <f t="shared" si="20"/>
        <v>0.51515151515151514</v>
      </c>
      <c r="T143" s="4">
        <f t="shared" si="19"/>
        <v>7.033775638324942E-2</v>
      </c>
    </row>
    <row r="144" spans="1:20" x14ac:dyDescent="0.3">
      <c r="A144" s="10">
        <v>45801</v>
      </c>
      <c r="B144" s="11">
        <v>24</v>
      </c>
      <c r="C144" s="11">
        <f>MONTH(Tabla1[[#This Row],[FECHA]])</f>
        <v>5</v>
      </c>
      <c r="D144" s="3">
        <v>1531700</v>
      </c>
      <c r="E144" s="11">
        <v>25</v>
      </c>
      <c r="F144" s="3">
        <v>10072400</v>
      </c>
      <c r="G144" s="11">
        <v>28</v>
      </c>
      <c r="H144" s="3">
        <v>10922100</v>
      </c>
      <c r="I144" s="11">
        <v>21</v>
      </c>
      <c r="J144" s="3">
        <v>2584000</v>
      </c>
      <c r="K144" s="11">
        <v>26</v>
      </c>
      <c r="L144" s="3">
        <v>2778900</v>
      </c>
      <c r="M144" s="11">
        <v>58</v>
      </c>
      <c r="N144" s="3">
        <v>5658200</v>
      </c>
      <c r="O144" s="3">
        <f t="shared" si="15"/>
        <v>25110200</v>
      </c>
      <c r="P144" s="8">
        <f t="shared" si="16"/>
        <v>100</v>
      </c>
      <c r="Q144" s="3">
        <f t="shared" si="17"/>
        <v>27889100</v>
      </c>
      <c r="R144" s="8">
        <f t="shared" si="18"/>
        <v>158</v>
      </c>
      <c r="S144" s="9">
        <f t="shared" si="20"/>
        <v>0.57999999999999996</v>
      </c>
      <c r="T144" s="4">
        <f t="shared" si="19"/>
        <v>9.964107841414746E-2</v>
      </c>
    </row>
    <row r="145" spans="1:20" x14ac:dyDescent="0.3">
      <c r="A145" s="10">
        <v>45802</v>
      </c>
      <c r="B145" s="11">
        <v>25</v>
      </c>
      <c r="C145" s="11">
        <f>MONTH(Tabla1[[#This Row],[FECHA]])</f>
        <v>5</v>
      </c>
      <c r="D145" s="3">
        <v>601700</v>
      </c>
      <c r="E145" s="11">
        <v>12</v>
      </c>
      <c r="F145" s="3">
        <v>653100</v>
      </c>
      <c r="G145" s="11">
        <v>9</v>
      </c>
      <c r="H145" s="3">
        <v>573900</v>
      </c>
      <c r="I145" s="11">
        <v>4</v>
      </c>
      <c r="J145" s="3">
        <v>454700</v>
      </c>
      <c r="K145" s="11">
        <v>7</v>
      </c>
      <c r="L145" s="3">
        <v>2159300</v>
      </c>
      <c r="M145" s="11">
        <v>45</v>
      </c>
      <c r="N145" s="3">
        <v>701200</v>
      </c>
      <c r="O145" s="3">
        <f t="shared" si="15"/>
        <v>2283400</v>
      </c>
      <c r="P145" s="8">
        <f t="shared" si="16"/>
        <v>32</v>
      </c>
      <c r="Q145" s="3">
        <f t="shared" si="17"/>
        <v>4442700</v>
      </c>
      <c r="R145" s="8">
        <f t="shared" si="18"/>
        <v>77</v>
      </c>
      <c r="S145" s="9">
        <f t="shared" si="20"/>
        <v>1.40625</v>
      </c>
      <c r="T145" s="4">
        <f t="shared" si="19"/>
        <v>0.48603326805771263</v>
      </c>
    </row>
    <row r="146" spans="1:20" x14ac:dyDescent="0.3">
      <c r="A146" s="10">
        <v>45803</v>
      </c>
      <c r="B146" s="11">
        <v>26</v>
      </c>
      <c r="C146" s="11">
        <f>MONTH(Tabla1[[#This Row],[FECHA]])</f>
        <v>5</v>
      </c>
      <c r="D146" s="3">
        <v>1219200</v>
      </c>
      <c r="E146" s="11">
        <v>23</v>
      </c>
      <c r="F146" s="3">
        <v>2796200</v>
      </c>
      <c r="G146" s="11">
        <v>15</v>
      </c>
      <c r="H146" s="3">
        <v>23840352</v>
      </c>
      <c r="I146" s="11">
        <v>18</v>
      </c>
      <c r="J146" s="3">
        <v>11322400</v>
      </c>
      <c r="K146" s="11">
        <v>31</v>
      </c>
      <c r="L146" s="3">
        <v>5722200</v>
      </c>
      <c r="M146" s="11">
        <v>56</v>
      </c>
      <c r="N146" s="3">
        <v>4429300</v>
      </c>
      <c r="O146" s="3">
        <f t="shared" si="15"/>
        <v>39178152</v>
      </c>
      <c r="P146" s="8">
        <f t="shared" si="16"/>
        <v>87</v>
      </c>
      <c r="Q146" s="3">
        <f t="shared" si="17"/>
        <v>44900352</v>
      </c>
      <c r="R146" s="8">
        <f t="shared" si="18"/>
        <v>143</v>
      </c>
      <c r="S146" s="9">
        <f t="shared" si="20"/>
        <v>0.64367816091954022</v>
      </c>
      <c r="T146" s="4">
        <f t="shared" si="19"/>
        <v>0.12744220802545156</v>
      </c>
    </row>
    <row r="147" spans="1:20" x14ac:dyDescent="0.3">
      <c r="A147" s="10">
        <v>45804</v>
      </c>
      <c r="B147" s="11">
        <v>27</v>
      </c>
      <c r="C147" s="11">
        <f>MONTH(Tabla1[[#This Row],[FECHA]])</f>
        <v>5</v>
      </c>
      <c r="D147" s="3">
        <v>1782500</v>
      </c>
      <c r="E147" s="11">
        <v>33</v>
      </c>
      <c r="F147" s="3">
        <v>5955600</v>
      </c>
      <c r="G147" s="11">
        <v>18</v>
      </c>
      <c r="H147" s="3">
        <v>16736815</v>
      </c>
      <c r="I147" s="11">
        <v>28</v>
      </c>
      <c r="J147" s="3">
        <v>8461800</v>
      </c>
      <c r="K147" s="11">
        <v>36</v>
      </c>
      <c r="L147" s="3">
        <v>5560600</v>
      </c>
      <c r="M147" s="11">
        <v>59</v>
      </c>
      <c r="N147" s="3">
        <v>3185900</v>
      </c>
      <c r="O147" s="3">
        <f t="shared" si="15"/>
        <v>32936715</v>
      </c>
      <c r="P147" s="8">
        <f t="shared" si="16"/>
        <v>115</v>
      </c>
      <c r="Q147" s="3">
        <f t="shared" si="17"/>
        <v>38497315</v>
      </c>
      <c r="R147" s="8">
        <f t="shared" si="18"/>
        <v>174</v>
      </c>
      <c r="S147" s="9">
        <f t="shared" si="20"/>
        <v>0.5130434782608696</v>
      </c>
      <c r="T147" s="4">
        <f t="shared" si="19"/>
        <v>0.14444124220091714</v>
      </c>
    </row>
    <row r="148" spans="1:20" x14ac:dyDescent="0.3">
      <c r="A148" s="10">
        <v>45805</v>
      </c>
      <c r="B148" s="11">
        <v>28</v>
      </c>
      <c r="C148" s="11">
        <f>MONTH(Tabla1[[#This Row],[FECHA]])</f>
        <v>5</v>
      </c>
      <c r="D148" s="3">
        <v>2049800</v>
      </c>
      <c r="E148" s="11">
        <v>31</v>
      </c>
      <c r="F148" s="3">
        <v>2648200</v>
      </c>
      <c r="G148" s="11">
        <v>15</v>
      </c>
      <c r="H148" s="3">
        <v>7078500</v>
      </c>
      <c r="I148" s="11">
        <v>24</v>
      </c>
      <c r="J148" s="3">
        <v>3317850</v>
      </c>
      <c r="K148" s="11">
        <v>34</v>
      </c>
      <c r="L148" s="3">
        <v>2601800</v>
      </c>
      <c r="M148" s="11">
        <v>55</v>
      </c>
      <c r="N148" s="3">
        <v>4382667</v>
      </c>
      <c r="O148" s="3">
        <f t="shared" si="15"/>
        <v>15094350</v>
      </c>
      <c r="P148" s="8">
        <f t="shared" si="16"/>
        <v>104</v>
      </c>
      <c r="Q148" s="3">
        <f t="shared" si="17"/>
        <v>17696150</v>
      </c>
      <c r="R148" s="8">
        <f t="shared" si="18"/>
        <v>159</v>
      </c>
      <c r="S148" s="9">
        <f t="shared" si="20"/>
        <v>0.52884615384615385</v>
      </c>
      <c r="T148" s="4">
        <f t="shared" si="19"/>
        <v>0.14702633058603143</v>
      </c>
    </row>
    <row r="149" spans="1:20" x14ac:dyDescent="0.3">
      <c r="A149" s="10">
        <v>45806</v>
      </c>
      <c r="B149" s="11">
        <v>29</v>
      </c>
      <c r="C149" s="11">
        <f>MONTH(Tabla1[[#This Row],[FECHA]])</f>
        <v>5</v>
      </c>
      <c r="D149" s="3">
        <v>1686000</v>
      </c>
      <c r="E149" s="11">
        <v>25</v>
      </c>
      <c r="F149" s="3">
        <v>2598100</v>
      </c>
      <c r="G149" s="11">
        <v>15</v>
      </c>
      <c r="H149" s="3">
        <v>8178277.1799999997</v>
      </c>
      <c r="I149" s="11">
        <v>19</v>
      </c>
      <c r="J149" s="3">
        <v>3168550</v>
      </c>
      <c r="K149" s="11">
        <v>31</v>
      </c>
      <c r="L149" s="3">
        <v>4238700</v>
      </c>
      <c r="M149" s="11">
        <v>59</v>
      </c>
      <c r="N149" s="3">
        <v>4150900</v>
      </c>
      <c r="O149" s="3">
        <f t="shared" si="15"/>
        <v>15630927.18</v>
      </c>
      <c r="P149" s="8">
        <f t="shared" si="16"/>
        <v>90</v>
      </c>
      <c r="Q149" s="3">
        <f t="shared" si="17"/>
        <v>19869627.18</v>
      </c>
      <c r="R149" s="8">
        <f t="shared" si="18"/>
        <v>149</v>
      </c>
      <c r="S149" s="9">
        <f t="shared" si="20"/>
        <v>0.65555555555555556</v>
      </c>
      <c r="T149" s="4">
        <f t="shared" si="19"/>
        <v>0.21332559295659617</v>
      </c>
    </row>
    <row r="150" spans="1:20" x14ac:dyDescent="0.3">
      <c r="A150" s="10">
        <v>45807</v>
      </c>
      <c r="B150" s="11">
        <v>30</v>
      </c>
      <c r="C150" s="11">
        <f>MONTH(Tabla1[[#This Row],[FECHA]])</f>
        <v>5</v>
      </c>
      <c r="D150" s="3">
        <v>1460200</v>
      </c>
      <c r="E150" s="11">
        <v>35</v>
      </c>
      <c r="F150" s="3">
        <v>3360932</v>
      </c>
      <c r="G150" s="11">
        <v>25</v>
      </c>
      <c r="H150" s="3">
        <v>13800463</v>
      </c>
      <c r="I150" s="11">
        <v>20</v>
      </c>
      <c r="J150" s="3">
        <v>3094439</v>
      </c>
      <c r="K150" s="11">
        <v>29</v>
      </c>
      <c r="L150" s="3">
        <v>2096600</v>
      </c>
      <c r="M150" s="11">
        <v>50</v>
      </c>
      <c r="N150" s="3">
        <v>6358300</v>
      </c>
      <c r="O150" s="3">
        <f t="shared" si="15"/>
        <v>21716034</v>
      </c>
      <c r="P150" s="8">
        <f t="shared" si="16"/>
        <v>109</v>
      </c>
      <c r="Q150" s="3">
        <f t="shared" si="17"/>
        <v>23812634</v>
      </c>
      <c r="R150" s="8">
        <f t="shared" si="18"/>
        <v>159</v>
      </c>
      <c r="S150" s="9">
        <f t="shared" si="20"/>
        <v>0.45871559633027525</v>
      </c>
      <c r="T150" s="4">
        <f t="shared" si="19"/>
        <v>8.8045698766461539E-2</v>
      </c>
    </row>
    <row r="151" spans="1:20" x14ac:dyDescent="0.3">
      <c r="A151" s="10">
        <v>45808</v>
      </c>
      <c r="B151" s="11">
        <v>31</v>
      </c>
      <c r="C151" s="11">
        <f>MONTH(Tabla1[[#This Row],[FECHA]])</f>
        <v>5</v>
      </c>
      <c r="D151" s="3">
        <v>1103400</v>
      </c>
      <c r="E151" s="11">
        <v>27</v>
      </c>
      <c r="F151" s="3">
        <v>6729600</v>
      </c>
      <c r="G151" s="11">
        <v>22</v>
      </c>
      <c r="H151" s="3">
        <v>2679200</v>
      </c>
      <c r="I151" s="11">
        <v>9</v>
      </c>
      <c r="J151" s="3">
        <v>8029700</v>
      </c>
      <c r="K151" s="11">
        <v>28</v>
      </c>
      <c r="L151" s="3">
        <v>9353100</v>
      </c>
      <c r="M151" s="11">
        <v>65</v>
      </c>
      <c r="N151" s="3">
        <v>9392200</v>
      </c>
      <c r="O151" s="3">
        <f t="shared" si="15"/>
        <v>18541900</v>
      </c>
      <c r="P151" s="8">
        <f t="shared" si="16"/>
        <v>86</v>
      </c>
      <c r="Q151" s="3">
        <f t="shared" si="17"/>
        <v>27895000</v>
      </c>
      <c r="R151" s="8">
        <f t="shared" si="18"/>
        <v>151</v>
      </c>
      <c r="S151" s="9">
        <f t="shared" si="20"/>
        <v>0.7558139534883721</v>
      </c>
      <c r="T151" s="4">
        <f t="shared" si="19"/>
        <v>0.33529664814482885</v>
      </c>
    </row>
    <row r="152" spans="1:20" x14ac:dyDescent="0.3">
      <c r="A152" s="10">
        <v>45809</v>
      </c>
      <c r="B152" s="11">
        <v>1</v>
      </c>
      <c r="C152" s="11">
        <f>MONTH(Tabla1[[#This Row],[FECHA]])</f>
        <v>6</v>
      </c>
      <c r="D152" s="3">
        <v>1823800</v>
      </c>
      <c r="E152" s="11">
        <v>26</v>
      </c>
      <c r="F152" s="3">
        <v>3075548</v>
      </c>
      <c r="G152" s="11">
        <v>23</v>
      </c>
      <c r="H152" s="3">
        <v>214200</v>
      </c>
      <c r="I152" s="11">
        <v>2</v>
      </c>
      <c r="J152" s="3">
        <v>1555200</v>
      </c>
      <c r="K152" s="11">
        <v>16</v>
      </c>
      <c r="L152" s="3">
        <v>2416800</v>
      </c>
      <c r="M152" s="11">
        <v>63</v>
      </c>
      <c r="N152" s="3">
        <v>63500</v>
      </c>
      <c r="O152" s="3">
        <f t="shared" si="15"/>
        <v>6668748</v>
      </c>
      <c r="P152" s="8">
        <f t="shared" si="16"/>
        <v>67</v>
      </c>
      <c r="Q152" s="3">
        <f t="shared" si="17"/>
        <v>9085548</v>
      </c>
      <c r="R152" s="8">
        <f t="shared" si="18"/>
        <v>130</v>
      </c>
      <c r="S152" s="9">
        <f t="shared" si="20"/>
        <v>0.94029850746268662</v>
      </c>
      <c r="T152" s="4">
        <f t="shared" si="19"/>
        <v>0.26600486839098753</v>
      </c>
    </row>
    <row r="153" spans="1:20" x14ac:dyDescent="0.3">
      <c r="A153" s="10">
        <v>45810</v>
      </c>
      <c r="B153" s="11">
        <v>2</v>
      </c>
      <c r="C153" s="11">
        <f>MONTH(Tabla1[[#This Row],[FECHA]])</f>
        <v>6</v>
      </c>
      <c r="D153" s="3">
        <v>1733300</v>
      </c>
      <c r="E153" s="11">
        <v>20</v>
      </c>
      <c r="F153" s="3">
        <v>2651100</v>
      </c>
      <c r="G153" s="11">
        <v>18</v>
      </c>
      <c r="H153" s="3">
        <v>2192500</v>
      </c>
      <c r="I153" s="11">
        <v>9</v>
      </c>
      <c r="J153" s="3">
        <v>4415900</v>
      </c>
      <c r="K153" s="11">
        <v>16</v>
      </c>
      <c r="L153" s="3">
        <v>1461100</v>
      </c>
      <c r="M153" s="11">
        <v>32</v>
      </c>
      <c r="N153" s="3">
        <v>1156000</v>
      </c>
      <c r="O153" s="3">
        <f t="shared" si="15"/>
        <v>10992800</v>
      </c>
      <c r="P153" s="8">
        <f t="shared" si="16"/>
        <v>63</v>
      </c>
      <c r="Q153" s="3">
        <f t="shared" si="17"/>
        <v>12453900</v>
      </c>
      <c r="R153" s="8">
        <f t="shared" si="18"/>
        <v>95</v>
      </c>
      <c r="S153" s="9">
        <f t="shared" si="20"/>
        <v>0.50793650793650791</v>
      </c>
      <c r="T153" s="4">
        <f t="shared" si="19"/>
        <v>0.11732067866290881</v>
      </c>
    </row>
    <row r="154" spans="1:20" x14ac:dyDescent="0.3">
      <c r="A154" s="10">
        <v>45811</v>
      </c>
      <c r="B154" s="11">
        <v>3</v>
      </c>
      <c r="C154" s="11">
        <f>MONTH(Tabla1[[#This Row],[FECHA]])</f>
        <v>6</v>
      </c>
      <c r="D154" s="3">
        <v>1438500</v>
      </c>
      <c r="E154" s="11">
        <v>21</v>
      </c>
      <c r="F154" s="3">
        <v>1861100</v>
      </c>
      <c r="G154" s="11">
        <v>12</v>
      </c>
      <c r="H154" s="3">
        <v>14561500</v>
      </c>
      <c r="I154" s="11">
        <v>23</v>
      </c>
      <c r="J154" s="3">
        <v>2856200</v>
      </c>
      <c r="K154" s="11">
        <v>25</v>
      </c>
      <c r="L154" s="3">
        <v>7830350</v>
      </c>
      <c r="M154" s="11">
        <v>83</v>
      </c>
      <c r="N154" s="3">
        <v>485600</v>
      </c>
      <c r="O154" s="3">
        <f t="shared" si="15"/>
        <v>20717300</v>
      </c>
      <c r="P154" s="8">
        <f t="shared" si="16"/>
        <v>81</v>
      </c>
      <c r="Q154" s="3">
        <f t="shared" si="17"/>
        <v>28547650</v>
      </c>
      <c r="R154" s="8">
        <f t="shared" si="18"/>
        <v>164</v>
      </c>
      <c r="S154" s="9">
        <f t="shared" si="20"/>
        <v>1.0246913580246915</v>
      </c>
      <c r="T154" s="4">
        <f t="shared" si="19"/>
        <v>0.27429052829217115</v>
      </c>
    </row>
    <row r="155" spans="1:20" x14ac:dyDescent="0.3">
      <c r="A155" s="10">
        <v>45812</v>
      </c>
      <c r="B155" s="11">
        <v>4</v>
      </c>
      <c r="C155" s="11">
        <f>MONTH(Tabla1[[#This Row],[FECHA]])</f>
        <v>6</v>
      </c>
      <c r="D155" s="3">
        <v>1424400</v>
      </c>
      <c r="E155" s="11">
        <v>36</v>
      </c>
      <c r="F155" s="3">
        <v>7739700</v>
      </c>
      <c r="G155" s="11">
        <v>16</v>
      </c>
      <c r="H155" s="3">
        <v>23748086</v>
      </c>
      <c r="I155" s="11">
        <v>20</v>
      </c>
      <c r="J155" s="3">
        <v>2985600</v>
      </c>
      <c r="K155" s="11">
        <v>38</v>
      </c>
      <c r="L155" s="3">
        <v>5024700</v>
      </c>
      <c r="M155" s="11">
        <v>61</v>
      </c>
      <c r="N155" s="3">
        <v>2682800</v>
      </c>
      <c r="O155" s="3">
        <f t="shared" si="15"/>
        <v>35897786</v>
      </c>
      <c r="P155" s="8">
        <f t="shared" si="16"/>
        <v>110</v>
      </c>
      <c r="Q155" s="3">
        <f t="shared" si="17"/>
        <v>40922486</v>
      </c>
      <c r="R155" s="8">
        <f t="shared" si="18"/>
        <v>171</v>
      </c>
      <c r="S155" s="9">
        <f t="shared" si="20"/>
        <v>0.55454545454545456</v>
      </c>
      <c r="T155" s="4">
        <f t="shared" si="19"/>
        <v>0.12278579556481491</v>
      </c>
    </row>
    <row r="156" spans="1:20" x14ac:dyDescent="0.3">
      <c r="A156" s="10">
        <v>45813</v>
      </c>
      <c r="B156" s="11">
        <v>5</v>
      </c>
      <c r="C156" s="11">
        <f>MONTH(Tabla1[[#This Row],[FECHA]])</f>
        <v>6</v>
      </c>
      <c r="D156" s="3">
        <v>2323501</v>
      </c>
      <c r="E156" s="11">
        <v>46</v>
      </c>
      <c r="F156" s="3">
        <v>13232100</v>
      </c>
      <c r="G156" s="11">
        <v>22</v>
      </c>
      <c r="H156" s="3">
        <v>15851100</v>
      </c>
      <c r="I156" s="11">
        <v>24</v>
      </c>
      <c r="J156" s="3">
        <v>8707000</v>
      </c>
      <c r="K156" s="11">
        <v>29</v>
      </c>
      <c r="L156" s="3">
        <v>3354400</v>
      </c>
      <c r="M156" s="11">
        <v>67</v>
      </c>
      <c r="N156" s="3">
        <v>7740300</v>
      </c>
      <c r="O156" s="3">
        <f t="shared" si="15"/>
        <v>40113701</v>
      </c>
      <c r="P156" s="8">
        <f t="shared" si="16"/>
        <v>121</v>
      </c>
      <c r="Q156" s="3">
        <f t="shared" si="17"/>
        <v>43468101</v>
      </c>
      <c r="R156" s="8">
        <f t="shared" si="18"/>
        <v>188</v>
      </c>
      <c r="S156" s="9">
        <f t="shared" si="20"/>
        <v>0.55371900826446285</v>
      </c>
      <c r="T156" s="4">
        <f t="shared" si="19"/>
        <v>7.7169232674783747E-2</v>
      </c>
    </row>
    <row r="157" spans="1:20" x14ac:dyDescent="0.3">
      <c r="A157" s="10">
        <v>45814</v>
      </c>
      <c r="B157" s="11">
        <v>6</v>
      </c>
      <c r="C157" s="11">
        <f>MONTH(Tabla1[[#This Row],[FECHA]])</f>
        <v>6</v>
      </c>
      <c r="D157" s="3">
        <v>1190100</v>
      </c>
      <c r="E157" s="11">
        <v>22</v>
      </c>
      <c r="F157" s="3">
        <v>1522800</v>
      </c>
      <c r="G157" s="11">
        <v>9</v>
      </c>
      <c r="H157" s="3">
        <v>1824050</v>
      </c>
      <c r="I157" s="11">
        <v>11</v>
      </c>
      <c r="J157" s="3">
        <v>2867600</v>
      </c>
      <c r="K157" s="11">
        <v>27</v>
      </c>
      <c r="L157" s="3">
        <v>3840700</v>
      </c>
      <c r="M157" s="11">
        <v>57</v>
      </c>
      <c r="N157" s="3">
        <v>3141600</v>
      </c>
      <c r="O157" s="3">
        <f t="shared" si="15"/>
        <v>7404550</v>
      </c>
      <c r="P157" s="8">
        <f t="shared" si="16"/>
        <v>69</v>
      </c>
      <c r="Q157" s="3">
        <f t="shared" si="17"/>
        <v>11245250</v>
      </c>
      <c r="R157" s="8">
        <f t="shared" si="18"/>
        <v>126</v>
      </c>
      <c r="S157" s="9">
        <f t="shared" si="20"/>
        <v>0.82608695652173914</v>
      </c>
      <c r="T157" s="4">
        <f t="shared" si="19"/>
        <v>0.34153976123252039</v>
      </c>
    </row>
    <row r="158" spans="1:20" x14ac:dyDescent="0.3">
      <c r="A158" s="10">
        <v>45815</v>
      </c>
      <c r="B158" s="11">
        <v>7</v>
      </c>
      <c r="C158" s="11">
        <f>MONTH(Tabla1[[#This Row],[FECHA]])</f>
        <v>6</v>
      </c>
      <c r="D158" s="3">
        <v>2073400</v>
      </c>
      <c r="E158" s="11">
        <v>35</v>
      </c>
      <c r="F158" s="3">
        <v>3612200</v>
      </c>
      <c r="G158" s="11">
        <v>22</v>
      </c>
      <c r="H158" s="3">
        <v>7194000</v>
      </c>
      <c r="I158" s="11">
        <v>21</v>
      </c>
      <c r="J158" s="3">
        <v>1771100</v>
      </c>
      <c r="K158" s="11">
        <v>28</v>
      </c>
      <c r="L158" s="3">
        <v>5697700</v>
      </c>
      <c r="M158" s="11">
        <v>75</v>
      </c>
      <c r="N158" s="3">
        <v>7443300</v>
      </c>
      <c r="O158" s="3">
        <f t="shared" si="15"/>
        <v>14650700</v>
      </c>
      <c r="P158" s="8">
        <f t="shared" si="16"/>
        <v>106</v>
      </c>
      <c r="Q158" s="3">
        <f t="shared" si="17"/>
        <v>20348400</v>
      </c>
      <c r="R158" s="8">
        <f t="shared" si="18"/>
        <v>181</v>
      </c>
      <c r="S158" s="9">
        <f t="shared" si="20"/>
        <v>0.70754716981132071</v>
      </c>
      <c r="T158" s="4">
        <f t="shared" si="19"/>
        <v>0.28000727329912917</v>
      </c>
    </row>
    <row r="159" spans="1:20" x14ac:dyDescent="0.3">
      <c r="A159" s="10">
        <v>45816</v>
      </c>
      <c r="B159" s="11">
        <v>8</v>
      </c>
      <c r="C159" s="11">
        <f>MONTH(Tabla1[[#This Row],[FECHA]])</f>
        <v>6</v>
      </c>
      <c r="D159" s="3">
        <v>1947300</v>
      </c>
      <c r="E159" s="11">
        <v>25</v>
      </c>
      <c r="F159" s="3">
        <v>1036300</v>
      </c>
      <c r="G159" s="11">
        <v>9</v>
      </c>
      <c r="H159" s="3">
        <v>459500</v>
      </c>
      <c r="I159" s="11">
        <v>3</v>
      </c>
      <c r="J159" s="3">
        <v>1053400</v>
      </c>
      <c r="K159" s="11">
        <v>14</v>
      </c>
      <c r="L159" s="3">
        <v>1850100</v>
      </c>
      <c r="M159" s="11">
        <v>49</v>
      </c>
      <c r="N159" s="3">
        <v>1112000</v>
      </c>
      <c r="O159" s="3">
        <f t="shared" si="15"/>
        <v>4496500</v>
      </c>
      <c r="P159" s="8">
        <f t="shared" si="16"/>
        <v>51</v>
      </c>
      <c r="Q159" s="3">
        <f t="shared" si="17"/>
        <v>6346600</v>
      </c>
      <c r="R159" s="8">
        <f t="shared" si="18"/>
        <v>100</v>
      </c>
      <c r="S159" s="9">
        <f t="shared" si="20"/>
        <v>0.96078431372549022</v>
      </c>
      <c r="T159" s="4">
        <f t="shared" si="19"/>
        <v>0.2915104150253679</v>
      </c>
    </row>
    <row r="160" spans="1:20" x14ac:dyDescent="0.3">
      <c r="A160" s="10">
        <v>45817</v>
      </c>
      <c r="B160" s="11">
        <v>9</v>
      </c>
      <c r="C160" s="11">
        <f>MONTH(Tabla1[[#This Row],[FECHA]])</f>
        <v>6</v>
      </c>
      <c r="D160" s="3">
        <v>1412600</v>
      </c>
      <c r="E160" s="11">
        <v>46</v>
      </c>
      <c r="F160" s="3">
        <v>1443500</v>
      </c>
      <c r="G160" s="11">
        <v>16</v>
      </c>
      <c r="H160" s="3">
        <v>5093334</v>
      </c>
      <c r="I160" s="11">
        <v>15</v>
      </c>
      <c r="J160" s="3">
        <v>2676750</v>
      </c>
      <c r="K160" s="11">
        <v>26</v>
      </c>
      <c r="L160" s="3">
        <v>3150100</v>
      </c>
      <c r="M160" s="11">
        <v>61</v>
      </c>
      <c r="N160" s="3">
        <v>8102900</v>
      </c>
      <c r="O160" s="3">
        <f t="shared" si="15"/>
        <v>10626184</v>
      </c>
      <c r="P160" s="8">
        <f t="shared" si="16"/>
        <v>103</v>
      </c>
      <c r="Q160" s="3">
        <f t="shared" si="17"/>
        <v>13776284</v>
      </c>
      <c r="R160" s="8">
        <f t="shared" si="18"/>
        <v>164</v>
      </c>
      <c r="S160" s="9">
        <f t="shared" si="20"/>
        <v>0.59223300970873782</v>
      </c>
      <c r="T160" s="4">
        <f t="shared" si="19"/>
        <v>0.22866108160952547</v>
      </c>
    </row>
    <row r="161" spans="1:20" x14ac:dyDescent="0.3">
      <c r="A161" s="10">
        <v>45818</v>
      </c>
      <c r="B161" s="11">
        <v>10</v>
      </c>
      <c r="C161" s="11">
        <f>MONTH(Tabla1[[#This Row],[FECHA]])</f>
        <v>6</v>
      </c>
      <c r="D161" s="3">
        <v>1930900</v>
      </c>
      <c r="E161" s="11">
        <v>29</v>
      </c>
      <c r="F161" s="3">
        <v>3383200</v>
      </c>
      <c r="G161" s="11">
        <v>13</v>
      </c>
      <c r="H161" s="3">
        <v>15789800</v>
      </c>
      <c r="I161" s="11">
        <v>27</v>
      </c>
      <c r="J161" s="3">
        <v>3884407</v>
      </c>
      <c r="K161" s="11">
        <v>28</v>
      </c>
      <c r="L161" s="3">
        <v>4575400</v>
      </c>
      <c r="M161" s="11">
        <v>42</v>
      </c>
      <c r="N161" s="3">
        <v>2344900</v>
      </c>
      <c r="O161" s="3">
        <f t="shared" si="15"/>
        <v>24988307</v>
      </c>
      <c r="P161" s="8">
        <f t="shared" si="16"/>
        <v>97</v>
      </c>
      <c r="Q161" s="3">
        <f t="shared" si="17"/>
        <v>29563707</v>
      </c>
      <c r="R161" s="8">
        <f t="shared" si="18"/>
        <v>139</v>
      </c>
      <c r="S161" s="9">
        <f t="shared" si="20"/>
        <v>0.4329896907216495</v>
      </c>
      <c r="T161" s="4">
        <f t="shared" si="19"/>
        <v>0.15476408286687457</v>
      </c>
    </row>
    <row r="162" spans="1:20" x14ac:dyDescent="0.3">
      <c r="A162" s="10">
        <v>45819</v>
      </c>
      <c r="B162" s="11">
        <v>11</v>
      </c>
      <c r="C162" s="11">
        <f>MONTH(Tabla1[[#This Row],[FECHA]])</f>
        <v>6</v>
      </c>
      <c r="D162" s="3">
        <v>1984300</v>
      </c>
      <c r="E162" s="11">
        <v>30</v>
      </c>
      <c r="F162" s="3">
        <v>3312100</v>
      </c>
      <c r="G162" s="11">
        <v>18</v>
      </c>
      <c r="H162" s="3">
        <v>8375550</v>
      </c>
      <c r="I162" s="11">
        <v>20</v>
      </c>
      <c r="J162" s="3">
        <v>3403200</v>
      </c>
      <c r="K162" s="11">
        <v>30</v>
      </c>
      <c r="L162" s="3">
        <v>8702500</v>
      </c>
      <c r="M162" s="11">
        <v>63</v>
      </c>
      <c r="N162" s="3">
        <v>3261500</v>
      </c>
      <c r="O162" s="3">
        <f t="shared" si="15"/>
        <v>17075150</v>
      </c>
      <c r="P162" s="8">
        <f t="shared" si="16"/>
        <v>98</v>
      </c>
      <c r="Q162" s="3">
        <f t="shared" si="17"/>
        <v>25777650</v>
      </c>
      <c r="R162" s="8">
        <f t="shared" si="18"/>
        <v>161</v>
      </c>
      <c r="S162" s="9">
        <f t="shared" si="20"/>
        <v>0.6428571428571429</v>
      </c>
      <c r="T162" s="4">
        <f t="shared" si="19"/>
        <v>0.33759865620023549</v>
      </c>
    </row>
    <row r="163" spans="1:20" x14ac:dyDescent="0.3">
      <c r="A163" s="10">
        <v>45820</v>
      </c>
      <c r="B163" s="11">
        <v>12</v>
      </c>
      <c r="C163" s="11">
        <f>MONTH(Tabla1[[#This Row],[FECHA]])</f>
        <v>6</v>
      </c>
      <c r="D163" s="3">
        <v>2390600</v>
      </c>
      <c r="E163" s="11">
        <v>25</v>
      </c>
      <c r="F163" s="3">
        <v>2616703</v>
      </c>
      <c r="G163" s="11">
        <v>11</v>
      </c>
      <c r="H163" s="3">
        <v>11025810</v>
      </c>
      <c r="I163" s="11">
        <v>17</v>
      </c>
      <c r="J163" s="3">
        <v>3003200</v>
      </c>
      <c r="K163" s="11">
        <v>32</v>
      </c>
      <c r="L163" s="3">
        <v>2948300</v>
      </c>
      <c r="M163" s="11">
        <v>81</v>
      </c>
      <c r="N163" s="3">
        <v>5612500</v>
      </c>
      <c r="O163" s="3">
        <f t="shared" si="15"/>
        <v>19036313</v>
      </c>
      <c r="P163" s="8">
        <f t="shared" si="16"/>
        <v>85</v>
      </c>
      <c r="Q163" s="3">
        <f t="shared" si="17"/>
        <v>21984613</v>
      </c>
      <c r="R163" s="8">
        <f t="shared" si="18"/>
        <v>166</v>
      </c>
      <c r="S163" s="9">
        <f t="shared" si="20"/>
        <v>0.95294117647058818</v>
      </c>
      <c r="T163" s="4">
        <f t="shared" si="19"/>
        <v>0.13410743232096012</v>
      </c>
    </row>
    <row r="164" spans="1:20" x14ac:dyDescent="0.3">
      <c r="A164" s="10">
        <v>45821</v>
      </c>
      <c r="B164" s="11">
        <v>13</v>
      </c>
      <c r="C164" s="11">
        <f>MONTH(Tabla1[[#This Row],[FECHA]])</f>
        <v>6</v>
      </c>
      <c r="D164" s="3">
        <v>842400</v>
      </c>
      <c r="E164" s="11">
        <v>13</v>
      </c>
      <c r="F164" s="3">
        <v>2311800</v>
      </c>
      <c r="G164" s="11">
        <v>10</v>
      </c>
      <c r="H164" s="3">
        <v>14463025</v>
      </c>
      <c r="I164" s="11">
        <v>21</v>
      </c>
      <c r="J164" s="3">
        <v>3150300</v>
      </c>
      <c r="K164" s="11">
        <v>25</v>
      </c>
      <c r="L164" s="3">
        <v>2976400</v>
      </c>
      <c r="M164" s="11">
        <v>34</v>
      </c>
      <c r="N164" s="3">
        <v>5870400</v>
      </c>
      <c r="O164" s="3">
        <f t="shared" si="15"/>
        <v>20767525</v>
      </c>
      <c r="P164" s="8">
        <f t="shared" si="16"/>
        <v>69</v>
      </c>
      <c r="Q164" s="3">
        <f t="shared" si="17"/>
        <v>23743925</v>
      </c>
      <c r="R164" s="8">
        <f t="shared" si="18"/>
        <v>103</v>
      </c>
      <c r="S164" s="9">
        <f t="shared" si="20"/>
        <v>0.49275362318840582</v>
      </c>
      <c r="T164" s="4">
        <f t="shared" si="19"/>
        <v>0.1253541695402087</v>
      </c>
    </row>
    <row r="165" spans="1:20" x14ac:dyDescent="0.3">
      <c r="A165" s="10">
        <v>45822</v>
      </c>
      <c r="B165" s="11">
        <v>14</v>
      </c>
      <c r="C165" s="11">
        <f>MONTH(Tabla1[[#This Row],[FECHA]])</f>
        <v>6</v>
      </c>
      <c r="D165" s="3">
        <v>906200</v>
      </c>
      <c r="E165" s="11">
        <v>22</v>
      </c>
      <c r="F165" s="3">
        <v>6489100</v>
      </c>
      <c r="G165" s="11">
        <v>18</v>
      </c>
      <c r="H165" s="3">
        <v>6949043</v>
      </c>
      <c r="I165" s="11">
        <v>16</v>
      </c>
      <c r="J165" s="3">
        <v>2841000</v>
      </c>
      <c r="K165" s="11">
        <v>35</v>
      </c>
      <c r="L165" s="3">
        <v>3728200</v>
      </c>
      <c r="M165" s="11">
        <v>63</v>
      </c>
      <c r="N165" s="3">
        <v>3769700</v>
      </c>
      <c r="O165" s="3">
        <f t="shared" si="15"/>
        <v>17185343</v>
      </c>
      <c r="P165" s="8">
        <f t="shared" si="16"/>
        <v>91</v>
      </c>
      <c r="Q165" s="3">
        <f t="shared" si="17"/>
        <v>20913543</v>
      </c>
      <c r="R165" s="8">
        <f t="shared" si="18"/>
        <v>154</v>
      </c>
      <c r="S165" s="9">
        <f t="shared" si="20"/>
        <v>0.69230769230769229</v>
      </c>
      <c r="T165" s="4">
        <f t="shared" si="19"/>
        <v>0.17826725964127646</v>
      </c>
    </row>
    <row r="166" spans="1:20" x14ac:dyDescent="0.3">
      <c r="A166" s="10">
        <v>45823</v>
      </c>
      <c r="B166" s="11">
        <v>15</v>
      </c>
      <c r="C166" s="11">
        <f>MONTH(Tabla1[[#This Row],[FECHA]])</f>
        <v>6</v>
      </c>
      <c r="D166" s="3">
        <v>834900</v>
      </c>
      <c r="E166" s="11">
        <v>13</v>
      </c>
      <c r="F166" s="3">
        <v>1092400</v>
      </c>
      <c r="G166" s="11">
        <v>8</v>
      </c>
      <c r="H166" s="3">
        <v>3261900</v>
      </c>
      <c r="I166" s="11">
        <v>5</v>
      </c>
      <c r="J166" s="3">
        <v>687100</v>
      </c>
      <c r="K166" s="11">
        <v>13</v>
      </c>
      <c r="L166" s="3">
        <v>1998200</v>
      </c>
      <c r="M166" s="11">
        <v>37</v>
      </c>
      <c r="N166" s="3">
        <v>1969700</v>
      </c>
      <c r="O166" s="3">
        <f t="shared" si="15"/>
        <v>5876300</v>
      </c>
      <c r="P166" s="8">
        <f t="shared" si="16"/>
        <v>39</v>
      </c>
      <c r="Q166" s="3">
        <f t="shared" si="17"/>
        <v>7874500</v>
      </c>
      <c r="R166" s="8">
        <f t="shared" si="18"/>
        <v>76</v>
      </c>
      <c r="S166" s="9">
        <f t="shared" si="20"/>
        <v>0.94871794871794868</v>
      </c>
      <c r="T166" s="4">
        <f t="shared" si="19"/>
        <v>0.25375579401866788</v>
      </c>
    </row>
    <row r="167" spans="1:20" x14ac:dyDescent="0.3">
      <c r="A167" s="10">
        <v>45824</v>
      </c>
      <c r="B167" s="11">
        <v>16</v>
      </c>
      <c r="C167" s="11">
        <f>MONTH(Tabla1[[#This Row],[FECHA]])</f>
        <v>6</v>
      </c>
      <c r="D167" s="3">
        <v>2429000</v>
      </c>
      <c r="E167" s="11">
        <v>36</v>
      </c>
      <c r="F167" s="3">
        <v>5878200</v>
      </c>
      <c r="G167" s="11">
        <v>16</v>
      </c>
      <c r="H167" s="3">
        <v>10765200</v>
      </c>
      <c r="I167" s="11">
        <v>22</v>
      </c>
      <c r="J167" s="3">
        <v>3111900</v>
      </c>
      <c r="K167" s="11">
        <v>29</v>
      </c>
      <c r="L167" s="3">
        <v>4466000</v>
      </c>
      <c r="M167" s="11">
        <v>56</v>
      </c>
      <c r="N167" s="3">
        <v>2609900</v>
      </c>
      <c r="O167" s="3">
        <f t="shared" si="15"/>
        <v>22184300</v>
      </c>
      <c r="P167" s="8">
        <f t="shared" si="16"/>
        <v>103</v>
      </c>
      <c r="Q167" s="3">
        <f t="shared" si="17"/>
        <v>26650300</v>
      </c>
      <c r="R167" s="8">
        <f t="shared" si="18"/>
        <v>159</v>
      </c>
      <c r="S167" s="9">
        <f t="shared" si="20"/>
        <v>0.5436893203883495</v>
      </c>
      <c r="T167" s="4">
        <f t="shared" si="19"/>
        <v>0.16757785090599356</v>
      </c>
    </row>
    <row r="168" spans="1:20" x14ac:dyDescent="0.3">
      <c r="A168" s="10">
        <v>45825</v>
      </c>
      <c r="B168" s="11">
        <v>17</v>
      </c>
      <c r="C168" s="11">
        <f>MONTH(Tabla1[[#This Row],[FECHA]])</f>
        <v>6</v>
      </c>
      <c r="D168" s="3">
        <v>1414400</v>
      </c>
      <c r="E168" s="11">
        <v>27</v>
      </c>
      <c r="F168" s="3">
        <v>2812900</v>
      </c>
      <c r="G168" s="11">
        <v>17</v>
      </c>
      <c r="H168" s="3">
        <v>9881371</v>
      </c>
      <c r="I168" s="11">
        <v>25</v>
      </c>
      <c r="J168" s="3">
        <v>2183639</v>
      </c>
      <c r="K168" s="11">
        <v>30</v>
      </c>
      <c r="L168" s="3">
        <v>6731600</v>
      </c>
      <c r="M168" s="11">
        <v>65</v>
      </c>
      <c r="N168" s="3">
        <v>3487710</v>
      </c>
      <c r="O168" s="3">
        <f t="shared" si="15"/>
        <v>16292310</v>
      </c>
      <c r="P168" s="8">
        <f t="shared" si="16"/>
        <v>99</v>
      </c>
      <c r="Q168" s="3">
        <f t="shared" si="17"/>
        <v>23023910</v>
      </c>
      <c r="R168" s="8">
        <f t="shared" si="18"/>
        <v>164</v>
      </c>
      <c r="S168" s="9">
        <f t="shared" si="20"/>
        <v>0.65656565656565657</v>
      </c>
      <c r="T168" s="4">
        <f t="shared" si="19"/>
        <v>0.29237431869738895</v>
      </c>
    </row>
    <row r="169" spans="1:20" x14ac:dyDescent="0.3">
      <c r="A169" s="10">
        <v>45826</v>
      </c>
      <c r="B169" s="11">
        <v>18</v>
      </c>
      <c r="C169" s="11">
        <f>MONTH(Tabla1[[#This Row],[FECHA]])</f>
        <v>6</v>
      </c>
      <c r="D169" s="3">
        <v>1556300</v>
      </c>
      <c r="E169" s="11">
        <v>31</v>
      </c>
      <c r="F169" s="3">
        <v>2375700</v>
      </c>
      <c r="G169" s="11">
        <v>14</v>
      </c>
      <c r="H169" s="3">
        <v>16830287</v>
      </c>
      <c r="I169" s="11">
        <v>29</v>
      </c>
      <c r="J169" s="3">
        <v>3481400</v>
      </c>
      <c r="K169" s="11">
        <v>27</v>
      </c>
      <c r="L169" s="3">
        <v>3614900</v>
      </c>
      <c r="M169" s="11">
        <v>57</v>
      </c>
      <c r="N169" s="3">
        <v>4496900</v>
      </c>
      <c r="O169" s="3">
        <f t="shared" si="15"/>
        <v>24243687</v>
      </c>
      <c r="P169" s="8">
        <f t="shared" si="16"/>
        <v>101</v>
      </c>
      <c r="Q169" s="3">
        <f t="shared" si="17"/>
        <v>27858587</v>
      </c>
      <c r="R169" s="8">
        <f t="shared" si="18"/>
        <v>158</v>
      </c>
      <c r="S169" s="9">
        <f t="shared" si="20"/>
        <v>0.5643564356435643</v>
      </c>
      <c r="T169" s="4">
        <f t="shared" si="19"/>
        <v>0.12975891419044333</v>
      </c>
    </row>
    <row r="170" spans="1:20" x14ac:dyDescent="0.3">
      <c r="A170" s="10">
        <v>45827</v>
      </c>
      <c r="B170" s="11">
        <v>19</v>
      </c>
      <c r="C170" s="11">
        <f>MONTH(Tabla1[[#This Row],[FECHA]])</f>
        <v>6</v>
      </c>
      <c r="D170" s="3">
        <v>1613000</v>
      </c>
      <c r="E170" s="11">
        <v>28</v>
      </c>
      <c r="F170" s="3">
        <v>10345503</v>
      </c>
      <c r="G170" s="11">
        <v>14</v>
      </c>
      <c r="H170" s="3">
        <v>5029200</v>
      </c>
      <c r="I170" s="11">
        <v>18</v>
      </c>
      <c r="J170" s="3">
        <v>5128500</v>
      </c>
      <c r="K170" s="11">
        <v>23</v>
      </c>
      <c r="L170" s="3">
        <v>7878300</v>
      </c>
      <c r="M170" s="11">
        <v>56</v>
      </c>
      <c r="N170" s="3">
        <v>2760000</v>
      </c>
      <c r="O170" s="3">
        <f t="shared" si="15"/>
        <v>22116203</v>
      </c>
      <c r="P170" s="8">
        <f t="shared" si="16"/>
        <v>83</v>
      </c>
      <c r="Q170" s="3">
        <f t="shared" si="17"/>
        <v>29994503</v>
      </c>
      <c r="R170" s="8">
        <f t="shared" si="18"/>
        <v>139</v>
      </c>
      <c r="S170" s="9">
        <f t="shared" si="20"/>
        <v>0.67469879518072284</v>
      </c>
      <c r="T170" s="4">
        <f t="shared" si="19"/>
        <v>0.26265812772427</v>
      </c>
    </row>
    <row r="171" spans="1:20" x14ac:dyDescent="0.3">
      <c r="A171" s="10">
        <v>45828</v>
      </c>
      <c r="B171" s="11">
        <v>20</v>
      </c>
      <c r="C171" s="11">
        <f>MONTH(Tabla1[[#This Row],[FECHA]])</f>
        <v>6</v>
      </c>
      <c r="D171" s="3">
        <v>1399200</v>
      </c>
      <c r="E171" s="11">
        <v>28</v>
      </c>
      <c r="F171" s="3">
        <v>3284300</v>
      </c>
      <c r="G171" s="11">
        <v>22</v>
      </c>
      <c r="H171" s="3">
        <v>14371566</v>
      </c>
      <c r="I171" s="11">
        <v>29</v>
      </c>
      <c r="J171" s="3">
        <v>2886500</v>
      </c>
      <c r="K171" s="11">
        <v>25</v>
      </c>
      <c r="L171" s="3">
        <v>3504900</v>
      </c>
      <c r="M171" s="11">
        <v>58</v>
      </c>
      <c r="N171" s="3">
        <v>2149900</v>
      </c>
      <c r="O171" s="3">
        <f t="shared" si="15"/>
        <v>21941566</v>
      </c>
      <c r="P171" s="8">
        <f t="shared" si="16"/>
        <v>104</v>
      </c>
      <c r="Q171" s="3">
        <f t="shared" si="17"/>
        <v>25446466</v>
      </c>
      <c r="R171" s="8">
        <f t="shared" si="18"/>
        <v>162</v>
      </c>
      <c r="S171" s="9">
        <f t="shared" si="20"/>
        <v>0.55769230769230771</v>
      </c>
      <c r="T171" s="4">
        <f t="shared" si="19"/>
        <v>0.13773621845956921</v>
      </c>
    </row>
    <row r="172" spans="1:20" x14ac:dyDescent="0.3">
      <c r="A172" s="10">
        <v>45829</v>
      </c>
      <c r="B172" s="11">
        <v>21</v>
      </c>
      <c r="C172" s="11">
        <f>MONTH(Tabla1[[#This Row],[FECHA]])</f>
        <v>6</v>
      </c>
      <c r="D172" s="3">
        <v>882900</v>
      </c>
      <c r="E172" s="11">
        <v>13</v>
      </c>
      <c r="F172" s="3">
        <v>3226400</v>
      </c>
      <c r="G172" s="11">
        <v>19</v>
      </c>
      <c r="H172" s="3">
        <v>5546879</v>
      </c>
      <c r="I172" s="11">
        <v>15</v>
      </c>
      <c r="J172" s="3">
        <v>2150900</v>
      </c>
      <c r="K172" s="11">
        <v>20</v>
      </c>
      <c r="L172" s="3">
        <v>1043900</v>
      </c>
      <c r="M172" s="11">
        <v>42</v>
      </c>
      <c r="N172" s="3">
        <v>2355200</v>
      </c>
      <c r="O172" s="3">
        <f t="shared" si="15"/>
        <v>11807079</v>
      </c>
      <c r="P172" s="8">
        <f t="shared" si="16"/>
        <v>67</v>
      </c>
      <c r="Q172" s="3">
        <f t="shared" si="17"/>
        <v>12850979</v>
      </c>
      <c r="R172" s="8">
        <f t="shared" si="18"/>
        <v>109</v>
      </c>
      <c r="S172" s="9">
        <f t="shared" si="20"/>
        <v>0.62686567164179108</v>
      </c>
      <c r="T172" s="4">
        <f t="shared" si="19"/>
        <v>8.1231165345457337E-2</v>
      </c>
    </row>
    <row r="173" spans="1:20" x14ac:dyDescent="0.3">
      <c r="A173" s="10">
        <v>45830</v>
      </c>
      <c r="B173" s="11">
        <v>22</v>
      </c>
      <c r="C173" s="11">
        <f>MONTH(Tabla1[[#This Row],[FECHA]])</f>
        <v>6</v>
      </c>
      <c r="D173" s="3">
        <v>1556600</v>
      </c>
      <c r="E173" s="11">
        <v>19</v>
      </c>
      <c r="F173" s="3">
        <v>2189300</v>
      </c>
      <c r="G173" s="11">
        <v>14</v>
      </c>
      <c r="H173" s="3">
        <v>892500</v>
      </c>
      <c r="I173" s="11">
        <v>3</v>
      </c>
      <c r="J173" s="3">
        <v>2734000</v>
      </c>
      <c r="K173" s="11">
        <v>13</v>
      </c>
      <c r="L173" s="3">
        <v>1865000</v>
      </c>
      <c r="M173" s="11">
        <v>56</v>
      </c>
      <c r="N173" s="3">
        <v>329300</v>
      </c>
      <c r="O173" s="3">
        <f t="shared" si="15"/>
        <v>7372400</v>
      </c>
      <c r="P173" s="8">
        <f t="shared" si="16"/>
        <v>49</v>
      </c>
      <c r="Q173" s="3">
        <f t="shared" si="17"/>
        <v>9237400</v>
      </c>
      <c r="R173" s="8">
        <f t="shared" si="18"/>
        <v>105</v>
      </c>
      <c r="S173" s="9">
        <f t="shared" ref="S173:S204" si="21">M173/P173</f>
        <v>1.1428571428571428</v>
      </c>
      <c r="T173" s="4">
        <f t="shared" si="19"/>
        <v>0.2018966375820036</v>
      </c>
    </row>
    <row r="174" spans="1:20" x14ac:dyDescent="0.3">
      <c r="A174" s="10">
        <v>45831</v>
      </c>
      <c r="B174" s="11">
        <v>23</v>
      </c>
      <c r="C174" s="11">
        <f>MONTH(Tabla1[[#This Row],[FECHA]])</f>
        <v>6</v>
      </c>
      <c r="D174" s="3">
        <v>180700</v>
      </c>
      <c r="E174" s="11">
        <v>5</v>
      </c>
      <c r="F174" s="3">
        <v>3157920</v>
      </c>
      <c r="G174" s="11">
        <v>11</v>
      </c>
      <c r="H174" s="3">
        <v>1045400</v>
      </c>
      <c r="I174" s="11">
        <v>4</v>
      </c>
      <c r="J174" s="3">
        <v>1741600</v>
      </c>
      <c r="K174" s="11">
        <v>25</v>
      </c>
      <c r="L174" s="3">
        <v>2358000</v>
      </c>
      <c r="M174" s="11">
        <v>55</v>
      </c>
      <c r="N174" s="3">
        <v>1483000</v>
      </c>
      <c r="O174" s="3">
        <f t="shared" si="15"/>
        <v>6125620</v>
      </c>
      <c r="P174" s="8">
        <f t="shared" si="16"/>
        <v>45</v>
      </c>
      <c r="Q174" s="3">
        <f t="shared" si="17"/>
        <v>8483620</v>
      </c>
      <c r="R174" s="8">
        <f t="shared" si="18"/>
        <v>100</v>
      </c>
      <c r="S174" s="9">
        <f t="shared" si="21"/>
        <v>1.2222222222222223</v>
      </c>
      <c r="T174" s="4">
        <f t="shared" si="19"/>
        <v>0.27794738566791061</v>
      </c>
    </row>
    <row r="175" spans="1:20" x14ac:dyDescent="0.3">
      <c r="A175" s="10">
        <v>45832</v>
      </c>
      <c r="B175" s="11">
        <v>24</v>
      </c>
      <c r="C175" s="11">
        <f>MONTH(Tabla1[[#This Row],[FECHA]])</f>
        <v>6</v>
      </c>
      <c r="D175" s="3">
        <v>1869200</v>
      </c>
      <c r="E175" s="11">
        <v>39</v>
      </c>
      <c r="F175" s="3">
        <v>5674300</v>
      </c>
      <c r="G175" s="11">
        <v>15</v>
      </c>
      <c r="H175" s="3">
        <v>11309100</v>
      </c>
      <c r="I175" s="11">
        <v>21</v>
      </c>
      <c r="J175" s="3">
        <v>5024820</v>
      </c>
      <c r="K175" s="11">
        <v>39</v>
      </c>
      <c r="L175" s="3">
        <v>7652900</v>
      </c>
      <c r="M175" s="11">
        <v>56</v>
      </c>
      <c r="N175" s="3">
        <v>3538400</v>
      </c>
      <c r="O175" s="3">
        <f t="shared" si="15"/>
        <v>23877420</v>
      </c>
      <c r="P175" s="8">
        <f t="shared" si="16"/>
        <v>114</v>
      </c>
      <c r="Q175" s="3">
        <f t="shared" si="17"/>
        <v>31530320</v>
      </c>
      <c r="R175" s="8">
        <f t="shared" si="18"/>
        <v>170</v>
      </c>
      <c r="S175" s="9">
        <f t="shared" si="21"/>
        <v>0.49122807017543857</v>
      </c>
      <c r="T175" s="4">
        <f t="shared" si="19"/>
        <v>0.2427155829690279</v>
      </c>
    </row>
    <row r="176" spans="1:20" x14ac:dyDescent="0.3">
      <c r="A176" s="10">
        <v>45833</v>
      </c>
      <c r="B176" s="11">
        <v>25</v>
      </c>
      <c r="C176" s="11">
        <f>MONTH(Tabla1[[#This Row],[FECHA]])</f>
        <v>6</v>
      </c>
      <c r="D176" s="3">
        <v>1224600</v>
      </c>
      <c r="E176" s="11">
        <v>28</v>
      </c>
      <c r="F176" s="3">
        <v>2489600</v>
      </c>
      <c r="G176" s="11">
        <v>14</v>
      </c>
      <c r="H176" s="3">
        <v>17013490</v>
      </c>
      <c r="I176" s="11">
        <v>29</v>
      </c>
      <c r="J176" s="3">
        <v>2756500</v>
      </c>
      <c r="K176" s="11">
        <v>31</v>
      </c>
      <c r="L176" s="3">
        <v>4230500</v>
      </c>
      <c r="M176" s="11">
        <v>77</v>
      </c>
      <c r="N176" s="3">
        <v>8362600</v>
      </c>
      <c r="O176" s="3">
        <f t="shared" si="15"/>
        <v>23484190</v>
      </c>
      <c r="P176" s="8">
        <f t="shared" si="16"/>
        <v>102</v>
      </c>
      <c r="Q176" s="3">
        <f t="shared" si="17"/>
        <v>27714690</v>
      </c>
      <c r="R176" s="8">
        <f t="shared" si="18"/>
        <v>179</v>
      </c>
      <c r="S176" s="9">
        <f t="shared" si="21"/>
        <v>0.75490196078431371</v>
      </c>
      <c r="T176" s="4">
        <f t="shared" si="19"/>
        <v>0.15264468049254745</v>
      </c>
    </row>
    <row r="177" spans="1:20" x14ac:dyDescent="0.3">
      <c r="A177" s="10">
        <v>45834</v>
      </c>
      <c r="B177" s="11">
        <v>26</v>
      </c>
      <c r="C177" s="11">
        <f>MONTH(Tabla1[[#This Row],[FECHA]])</f>
        <v>6</v>
      </c>
      <c r="D177" s="3">
        <v>1383500</v>
      </c>
      <c r="E177" s="11">
        <v>30</v>
      </c>
      <c r="F177" s="3">
        <v>1857100</v>
      </c>
      <c r="G177" s="11">
        <v>12</v>
      </c>
      <c r="H177" s="3">
        <v>6463901</v>
      </c>
      <c r="I177" s="11">
        <v>14</v>
      </c>
      <c r="J177" s="3">
        <v>5620680</v>
      </c>
      <c r="K177" s="11">
        <v>22</v>
      </c>
      <c r="L177" s="3">
        <v>6815400</v>
      </c>
      <c r="M177" s="11">
        <v>67</v>
      </c>
      <c r="N177" s="3">
        <v>7112200</v>
      </c>
      <c r="O177" s="3">
        <f t="shared" si="15"/>
        <v>15325181</v>
      </c>
      <c r="P177" s="8">
        <f t="shared" si="16"/>
        <v>78</v>
      </c>
      <c r="Q177" s="3">
        <f t="shared" si="17"/>
        <v>22140581</v>
      </c>
      <c r="R177" s="8">
        <f t="shared" si="18"/>
        <v>145</v>
      </c>
      <c r="S177" s="9">
        <f t="shared" si="21"/>
        <v>0.85897435897435892</v>
      </c>
      <c r="T177" s="4">
        <f t="shared" si="19"/>
        <v>0.3078239003755141</v>
      </c>
    </row>
    <row r="178" spans="1:20" x14ac:dyDescent="0.3">
      <c r="A178" s="10">
        <v>45835</v>
      </c>
      <c r="B178" s="11">
        <v>27</v>
      </c>
      <c r="C178" s="11">
        <f>MONTH(Tabla1[[#This Row],[FECHA]])</f>
        <v>6</v>
      </c>
      <c r="D178" s="3">
        <v>1502100</v>
      </c>
      <c r="E178" s="11">
        <v>20</v>
      </c>
      <c r="F178" s="3">
        <v>2713600</v>
      </c>
      <c r="G178" s="11">
        <v>16</v>
      </c>
      <c r="H178" s="3">
        <v>15779060</v>
      </c>
      <c r="I178" s="11">
        <v>24</v>
      </c>
      <c r="J178" s="3">
        <v>1577450</v>
      </c>
      <c r="K178" s="11">
        <v>28</v>
      </c>
      <c r="L178" s="3">
        <v>4273950</v>
      </c>
      <c r="M178" s="11">
        <v>43</v>
      </c>
      <c r="N178" s="3">
        <v>5025900</v>
      </c>
      <c r="O178" s="3">
        <f t="shared" si="15"/>
        <v>21572210</v>
      </c>
      <c r="P178" s="8">
        <f t="shared" si="16"/>
        <v>88</v>
      </c>
      <c r="Q178" s="3">
        <f t="shared" si="17"/>
        <v>25846160</v>
      </c>
      <c r="R178" s="8">
        <f t="shared" si="18"/>
        <v>131</v>
      </c>
      <c r="S178" s="9">
        <f t="shared" si="21"/>
        <v>0.48863636363636365</v>
      </c>
      <c r="T178" s="4">
        <f t="shared" si="19"/>
        <v>0.16536112134259015</v>
      </c>
    </row>
    <row r="179" spans="1:20" x14ac:dyDescent="0.3">
      <c r="A179" s="10">
        <v>45836</v>
      </c>
      <c r="B179" s="11">
        <v>28</v>
      </c>
      <c r="C179" s="11">
        <f>MONTH(Tabla1[[#This Row],[FECHA]])</f>
        <v>6</v>
      </c>
      <c r="D179" s="3">
        <v>1694500</v>
      </c>
      <c r="E179" s="11">
        <v>31</v>
      </c>
      <c r="F179" s="3">
        <v>4141300</v>
      </c>
      <c r="G179" s="11">
        <v>18</v>
      </c>
      <c r="H179" s="3">
        <v>10637800</v>
      </c>
      <c r="I179" s="11">
        <v>20</v>
      </c>
      <c r="J179" s="3">
        <v>2394500</v>
      </c>
      <c r="K179" s="11">
        <v>31</v>
      </c>
      <c r="L179" s="3">
        <v>3172400</v>
      </c>
      <c r="M179" s="11">
        <v>71</v>
      </c>
      <c r="N179" s="3">
        <v>4775350</v>
      </c>
      <c r="O179" s="3">
        <f t="shared" si="15"/>
        <v>18868100</v>
      </c>
      <c r="P179" s="8">
        <f t="shared" si="16"/>
        <v>100</v>
      </c>
      <c r="Q179" s="3">
        <f t="shared" si="17"/>
        <v>22040500</v>
      </c>
      <c r="R179" s="8">
        <f t="shared" si="18"/>
        <v>171</v>
      </c>
      <c r="S179" s="9">
        <f t="shared" si="21"/>
        <v>0.71</v>
      </c>
      <c r="T179" s="4">
        <f t="shared" si="19"/>
        <v>0.14393502869717112</v>
      </c>
    </row>
    <row r="180" spans="1:20" x14ac:dyDescent="0.3">
      <c r="A180" s="10">
        <v>45837</v>
      </c>
      <c r="B180" s="11">
        <v>29</v>
      </c>
      <c r="C180" s="11">
        <f>MONTH(Tabla1[[#This Row],[FECHA]])</f>
        <v>6</v>
      </c>
      <c r="D180" s="3">
        <v>972600</v>
      </c>
      <c r="E180" s="11">
        <v>22</v>
      </c>
      <c r="F180" s="3">
        <v>4250667</v>
      </c>
      <c r="G180" s="11">
        <v>12</v>
      </c>
      <c r="H180" s="3">
        <v>457700</v>
      </c>
      <c r="I180" s="11">
        <v>4</v>
      </c>
      <c r="J180" s="3">
        <v>2208600</v>
      </c>
      <c r="K180" s="11">
        <v>20</v>
      </c>
      <c r="L180" s="3">
        <v>2354800</v>
      </c>
      <c r="M180" s="11">
        <v>40</v>
      </c>
      <c r="N180" s="3">
        <v>353900</v>
      </c>
      <c r="O180" s="3">
        <f t="shared" si="15"/>
        <v>7889567</v>
      </c>
      <c r="P180" s="8">
        <f t="shared" si="16"/>
        <v>58</v>
      </c>
      <c r="Q180" s="3">
        <f t="shared" si="17"/>
        <v>10244367</v>
      </c>
      <c r="R180" s="8">
        <f t="shared" si="18"/>
        <v>98</v>
      </c>
      <c r="S180" s="9">
        <f t="shared" si="21"/>
        <v>0.68965517241379315</v>
      </c>
      <c r="T180" s="4">
        <f t="shared" si="19"/>
        <v>0.2298629090504079</v>
      </c>
    </row>
    <row r="181" spans="1:20" x14ac:dyDescent="0.3">
      <c r="A181" s="10">
        <v>45838</v>
      </c>
      <c r="B181" s="11">
        <v>30</v>
      </c>
      <c r="C181" s="11">
        <f>MONTH(Tabla1[[#This Row],[FECHA]])</f>
        <v>6</v>
      </c>
      <c r="D181" s="3">
        <v>867680</v>
      </c>
      <c r="E181" s="11">
        <v>16</v>
      </c>
      <c r="F181" s="3">
        <v>1587020</v>
      </c>
      <c r="G181" s="11">
        <v>10</v>
      </c>
      <c r="H181" s="3">
        <v>1499200</v>
      </c>
      <c r="I181" s="11">
        <v>2</v>
      </c>
      <c r="J181" s="3">
        <v>2005300</v>
      </c>
      <c r="K181" s="11">
        <v>13</v>
      </c>
      <c r="L181" s="3">
        <v>2742950</v>
      </c>
      <c r="M181" s="11">
        <v>42</v>
      </c>
      <c r="N181" s="3">
        <v>921300</v>
      </c>
      <c r="O181" s="3">
        <f t="shared" si="15"/>
        <v>5959200</v>
      </c>
      <c r="P181" s="8">
        <f t="shared" si="16"/>
        <v>41</v>
      </c>
      <c r="Q181" s="3">
        <f t="shared" si="17"/>
        <v>8702150</v>
      </c>
      <c r="R181" s="8">
        <f t="shared" si="18"/>
        <v>83</v>
      </c>
      <c r="S181" s="9">
        <f t="shared" si="21"/>
        <v>1.024390243902439</v>
      </c>
      <c r="T181" s="4">
        <f t="shared" si="19"/>
        <v>0.31520371402469505</v>
      </c>
    </row>
    <row r="182" spans="1:20" x14ac:dyDescent="0.3">
      <c r="A182" s="10">
        <v>45839</v>
      </c>
      <c r="B182" s="11">
        <v>1</v>
      </c>
      <c r="C182" s="11">
        <f>MONTH(Tabla1[[#This Row],[FECHA]])</f>
        <v>7</v>
      </c>
      <c r="D182" s="3">
        <v>2690100</v>
      </c>
      <c r="E182" s="11">
        <v>33</v>
      </c>
      <c r="F182" s="3">
        <v>5306564</v>
      </c>
      <c r="G182" s="11">
        <v>25</v>
      </c>
      <c r="H182" s="3">
        <v>19858040</v>
      </c>
      <c r="I182" s="11">
        <v>29</v>
      </c>
      <c r="J182" s="3">
        <v>7199989</v>
      </c>
      <c r="K182" s="11">
        <v>40</v>
      </c>
      <c r="L182" s="3">
        <v>6479750</v>
      </c>
      <c r="M182" s="11">
        <v>78</v>
      </c>
      <c r="N182" s="3">
        <v>3742400</v>
      </c>
      <c r="O182" s="3">
        <f t="shared" si="15"/>
        <v>35054693</v>
      </c>
      <c r="P182" s="8">
        <f t="shared" si="16"/>
        <v>127</v>
      </c>
      <c r="Q182" s="3">
        <f t="shared" si="17"/>
        <v>41534443</v>
      </c>
      <c r="R182" s="8">
        <f t="shared" si="18"/>
        <v>205</v>
      </c>
      <c r="S182" s="9">
        <f t="shared" si="21"/>
        <v>0.61417322834645671</v>
      </c>
      <c r="T182" s="4">
        <f t="shared" si="19"/>
        <v>0.15600907420378793</v>
      </c>
    </row>
    <row r="183" spans="1:20" x14ac:dyDescent="0.3">
      <c r="A183" s="10">
        <v>45840</v>
      </c>
      <c r="B183" s="11">
        <v>2</v>
      </c>
      <c r="C183" s="11">
        <f>MONTH(Tabla1[[#This Row],[FECHA]])</f>
        <v>7</v>
      </c>
      <c r="D183" s="3">
        <v>2399300</v>
      </c>
      <c r="E183" s="11">
        <v>21</v>
      </c>
      <c r="F183" s="3">
        <v>5448000</v>
      </c>
      <c r="G183" s="11">
        <v>19</v>
      </c>
      <c r="H183" s="3">
        <v>11185100</v>
      </c>
      <c r="I183" s="11">
        <v>31</v>
      </c>
      <c r="J183" s="3">
        <v>6337300</v>
      </c>
      <c r="K183" s="11">
        <v>33</v>
      </c>
      <c r="L183" s="3">
        <v>12572100</v>
      </c>
      <c r="M183" s="11">
        <v>82</v>
      </c>
      <c r="N183" s="3">
        <v>5031700</v>
      </c>
      <c r="O183" s="3">
        <f t="shared" si="15"/>
        <v>25369700</v>
      </c>
      <c r="P183" s="8">
        <f t="shared" si="16"/>
        <v>104</v>
      </c>
      <c r="Q183" s="3">
        <f t="shared" si="17"/>
        <v>37941800</v>
      </c>
      <c r="R183" s="8">
        <f t="shared" si="18"/>
        <v>186</v>
      </c>
      <c r="S183" s="9">
        <f t="shared" si="21"/>
        <v>0.78846153846153844</v>
      </c>
      <c r="T183" s="4">
        <f t="shared" si="19"/>
        <v>0.33135222894011357</v>
      </c>
    </row>
    <row r="184" spans="1:20" x14ac:dyDescent="0.3">
      <c r="A184" s="10">
        <v>45841</v>
      </c>
      <c r="B184" s="11">
        <v>3</v>
      </c>
      <c r="C184" s="11">
        <f>MONTH(Tabla1[[#This Row],[FECHA]])</f>
        <v>7</v>
      </c>
      <c r="D184" s="3">
        <v>1195500</v>
      </c>
      <c r="E184" s="11">
        <v>24</v>
      </c>
      <c r="F184" s="3">
        <v>3132594</v>
      </c>
      <c r="G184" s="11">
        <v>14</v>
      </c>
      <c r="H184" s="3">
        <v>5717900</v>
      </c>
      <c r="I184" s="11">
        <v>26</v>
      </c>
      <c r="J184" s="3">
        <v>3132800</v>
      </c>
      <c r="K184" s="11">
        <v>33</v>
      </c>
      <c r="L184" s="3">
        <v>2188350</v>
      </c>
      <c r="M184" s="11">
        <v>54</v>
      </c>
      <c r="N184" s="3">
        <v>6280650</v>
      </c>
      <c r="O184" s="3">
        <f t="shared" si="15"/>
        <v>13178794</v>
      </c>
      <c r="P184" s="8">
        <f t="shared" si="16"/>
        <v>97</v>
      </c>
      <c r="Q184" s="3">
        <f t="shared" si="17"/>
        <v>15367144</v>
      </c>
      <c r="R184" s="8">
        <f t="shared" si="18"/>
        <v>151</v>
      </c>
      <c r="S184" s="9">
        <f t="shared" si="21"/>
        <v>0.55670103092783507</v>
      </c>
      <c r="T184" s="4">
        <f t="shared" si="19"/>
        <v>0.14240447021255218</v>
      </c>
    </row>
    <row r="185" spans="1:20" x14ac:dyDescent="0.3">
      <c r="A185" s="10">
        <v>45842</v>
      </c>
      <c r="B185" s="11">
        <v>4</v>
      </c>
      <c r="C185" s="11">
        <f>MONTH(Tabla1[[#This Row],[FECHA]])</f>
        <v>7</v>
      </c>
      <c r="D185" s="3">
        <v>2148387</v>
      </c>
      <c r="E185" s="11">
        <v>26</v>
      </c>
      <c r="F185" s="3">
        <v>5001780</v>
      </c>
      <c r="G185" s="11">
        <v>20</v>
      </c>
      <c r="H185" s="3">
        <v>10769020</v>
      </c>
      <c r="I185" s="11">
        <v>22</v>
      </c>
      <c r="J185" s="3">
        <v>4891038</v>
      </c>
      <c r="K185" s="11">
        <v>33</v>
      </c>
      <c r="L185" s="3">
        <v>2931900</v>
      </c>
      <c r="M185" s="11">
        <v>52</v>
      </c>
      <c r="N185" s="3">
        <v>5644500</v>
      </c>
      <c r="O185" s="3">
        <f t="shared" si="15"/>
        <v>22810225</v>
      </c>
      <c r="P185" s="8">
        <f t="shared" si="16"/>
        <v>101</v>
      </c>
      <c r="Q185" s="3">
        <f t="shared" si="17"/>
        <v>25742125</v>
      </c>
      <c r="R185" s="8">
        <f t="shared" si="18"/>
        <v>153</v>
      </c>
      <c r="S185" s="9">
        <f t="shared" si="21"/>
        <v>0.51485148514851486</v>
      </c>
      <c r="T185" s="4">
        <f t="shared" si="19"/>
        <v>0.11389502614877366</v>
      </c>
    </row>
    <row r="186" spans="1:20" x14ac:dyDescent="0.3">
      <c r="A186" s="10">
        <v>45843</v>
      </c>
      <c r="B186" s="11">
        <v>5</v>
      </c>
      <c r="C186" s="11">
        <f>MONTH(Tabla1[[#This Row],[FECHA]])</f>
        <v>7</v>
      </c>
      <c r="D186" s="3">
        <v>3755700</v>
      </c>
      <c r="E186" s="11">
        <v>35</v>
      </c>
      <c r="F186" s="3">
        <v>8627190</v>
      </c>
      <c r="G186" s="11">
        <v>31</v>
      </c>
      <c r="H186" s="3">
        <v>6686400</v>
      </c>
      <c r="I186" s="11">
        <v>19</v>
      </c>
      <c r="J186" s="3">
        <v>3977800</v>
      </c>
      <c r="K186" s="11">
        <v>34</v>
      </c>
      <c r="L186" s="3">
        <v>6427100</v>
      </c>
      <c r="M186" s="11">
        <v>78</v>
      </c>
      <c r="N186" s="3">
        <v>9322750</v>
      </c>
      <c r="O186" s="3">
        <f t="shared" si="15"/>
        <v>23047090</v>
      </c>
      <c r="P186" s="8">
        <f t="shared" si="16"/>
        <v>119</v>
      </c>
      <c r="Q186" s="3">
        <f t="shared" si="17"/>
        <v>29474190</v>
      </c>
      <c r="R186" s="8">
        <f t="shared" si="18"/>
        <v>197</v>
      </c>
      <c r="S186" s="9">
        <f t="shared" si="21"/>
        <v>0.65546218487394958</v>
      </c>
      <c r="T186" s="4">
        <f t="shared" si="19"/>
        <v>0.21805857938759302</v>
      </c>
    </row>
    <row r="187" spans="1:20" x14ac:dyDescent="0.3">
      <c r="A187" s="10">
        <v>45844</v>
      </c>
      <c r="B187" s="11">
        <v>6</v>
      </c>
      <c r="C187" s="11">
        <f>MONTH(Tabla1[[#This Row],[FECHA]])</f>
        <v>7</v>
      </c>
      <c r="D187" s="3">
        <v>711400</v>
      </c>
      <c r="E187" s="11">
        <v>15</v>
      </c>
      <c r="F187" s="3">
        <v>1745150</v>
      </c>
      <c r="G187" s="11">
        <v>14</v>
      </c>
      <c r="H187" s="3">
        <v>2420400</v>
      </c>
      <c r="I187" s="11">
        <v>6</v>
      </c>
      <c r="J187" s="3">
        <v>1372300</v>
      </c>
      <c r="K187" s="11">
        <v>16</v>
      </c>
      <c r="L187" s="3">
        <v>2082900</v>
      </c>
      <c r="M187" s="11">
        <v>45</v>
      </c>
      <c r="N187" s="3">
        <v>340000</v>
      </c>
      <c r="O187" s="3">
        <f t="shared" si="15"/>
        <v>6249250</v>
      </c>
      <c r="P187" s="8">
        <f t="shared" si="16"/>
        <v>51</v>
      </c>
      <c r="Q187" s="3">
        <f t="shared" si="17"/>
        <v>8332150</v>
      </c>
      <c r="R187" s="8">
        <f t="shared" si="18"/>
        <v>96</v>
      </c>
      <c r="S187" s="9">
        <f t="shared" si="21"/>
        <v>0.88235294117647056</v>
      </c>
      <c r="T187" s="4">
        <f t="shared" si="19"/>
        <v>0.24998349765666725</v>
      </c>
    </row>
    <row r="188" spans="1:20" x14ac:dyDescent="0.3">
      <c r="A188" s="10">
        <v>45845</v>
      </c>
      <c r="B188" s="11">
        <v>7</v>
      </c>
      <c r="C188" s="11">
        <f>MONTH(Tabla1[[#This Row],[FECHA]])</f>
        <v>7</v>
      </c>
      <c r="D188" s="3">
        <v>2172800</v>
      </c>
      <c r="E188" s="11">
        <v>33</v>
      </c>
      <c r="F188" s="3">
        <v>1728940</v>
      </c>
      <c r="G188" s="11">
        <v>18</v>
      </c>
      <c r="H188" s="3">
        <v>13918411</v>
      </c>
      <c r="I188" s="11">
        <v>25</v>
      </c>
      <c r="J188" s="3">
        <v>6919112</v>
      </c>
      <c r="K188" s="11">
        <v>48</v>
      </c>
      <c r="L188" s="3">
        <v>4256000</v>
      </c>
      <c r="M188" s="11">
        <v>59</v>
      </c>
      <c r="N188" s="3">
        <v>1480800</v>
      </c>
      <c r="O188" s="3">
        <f t="shared" si="15"/>
        <v>24739263</v>
      </c>
      <c r="P188" s="8">
        <f t="shared" si="16"/>
        <v>124</v>
      </c>
      <c r="Q188" s="3">
        <f t="shared" si="17"/>
        <v>28995263</v>
      </c>
      <c r="R188" s="8">
        <f t="shared" si="18"/>
        <v>183</v>
      </c>
      <c r="S188" s="9">
        <f t="shared" si="21"/>
        <v>0.47580645161290325</v>
      </c>
      <c r="T188" s="4">
        <f t="shared" si="19"/>
        <v>0.14678259686763317</v>
      </c>
    </row>
    <row r="189" spans="1:20" x14ac:dyDescent="0.3">
      <c r="A189" s="10">
        <v>45846</v>
      </c>
      <c r="B189" s="11">
        <v>8</v>
      </c>
      <c r="C189" s="11">
        <f>MONTH(Tabla1[[#This Row],[FECHA]])</f>
        <v>7</v>
      </c>
      <c r="D189" s="3">
        <v>1844400</v>
      </c>
      <c r="E189" s="11">
        <v>35</v>
      </c>
      <c r="F189" s="3">
        <v>1847874</v>
      </c>
      <c r="G189" s="11">
        <v>13</v>
      </c>
      <c r="H189" s="3">
        <v>23445350</v>
      </c>
      <c r="I189" s="11">
        <v>31</v>
      </c>
      <c r="J189" s="3">
        <v>2786700</v>
      </c>
      <c r="K189" s="11">
        <v>44</v>
      </c>
      <c r="L189" s="3">
        <v>4023550</v>
      </c>
      <c r="M189" s="11">
        <v>54</v>
      </c>
      <c r="N189" s="3">
        <v>5283750</v>
      </c>
      <c r="O189" s="3">
        <f t="shared" si="15"/>
        <v>29924324</v>
      </c>
      <c r="P189" s="8">
        <f t="shared" si="16"/>
        <v>123</v>
      </c>
      <c r="Q189" s="3">
        <f t="shared" si="17"/>
        <v>33947874</v>
      </c>
      <c r="R189" s="8">
        <f t="shared" si="18"/>
        <v>177</v>
      </c>
      <c r="S189" s="9">
        <f t="shared" si="21"/>
        <v>0.43902439024390244</v>
      </c>
      <c r="T189" s="4">
        <f t="shared" si="19"/>
        <v>0.11852141315241126</v>
      </c>
    </row>
    <row r="190" spans="1:20" x14ac:dyDescent="0.3">
      <c r="A190" s="10">
        <v>45847</v>
      </c>
      <c r="B190" s="11">
        <v>9</v>
      </c>
      <c r="C190" s="11">
        <f>MONTH(Tabla1[[#This Row],[FECHA]])</f>
        <v>7</v>
      </c>
      <c r="D190" s="3">
        <v>1518600</v>
      </c>
      <c r="E190" s="11">
        <v>34</v>
      </c>
      <c r="F190" s="3">
        <v>2531042</v>
      </c>
      <c r="G190" s="11">
        <v>15</v>
      </c>
      <c r="H190" s="3">
        <v>3371200</v>
      </c>
      <c r="I190" s="11">
        <v>16</v>
      </c>
      <c r="J190" s="3">
        <v>2789827</v>
      </c>
      <c r="K190" s="11">
        <v>33</v>
      </c>
      <c r="L190" s="3">
        <v>7526700</v>
      </c>
      <c r="M190" s="11">
        <v>63</v>
      </c>
      <c r="N190" s="3">
        <v>7412200</v>
      </c>
      <c r="O190" s="3">
        <f t="shared" si="15"/>
        <v>10210669</v>
      </c>
      <c r="P190" s="8">
        <f t="shared" si="16"/>
        <v>98</v>
      </c>
      <c r="Q190" s="3">
        <f t="shared" si="17"/>
        <v>17737369</v>
      </c>
      <c r="R190" s="8">
        <f t="shared" si="18"/>
        <v>161</v>
      </c>
      <c r="S190" s="9">
        <f t="shared" si="21"/>
        <v>0.6428571428571429</v>
      </c>
      <c r="T190" s="4">
        <f t="shared" si="19"/>
        <v>0.42434140035086376</v>
      </c>
    </row>
    <row r="191" spans="1:20" x14ac:dyDescent="0.3">
      <c r="A191" s="10">
        <v>45848</v>
      </c>
      <c r="B191" s="11">
        <v>10</v>
      </c>
      <c r="C191" s="11">
        <f>MONTH(Tabla1[[#This Row],[FECHA]])</f>
        <v>7</v>
      </c>
      <c r="D191" s="3">
        <v>930100</v>
      </c>
      <c r="E191" s="11">
        <v>15</v>
      </c>
      <c r="F191" s="3">
        <v>2845550</v>
      </c>
      <c r="G191" s="11">
        <v>14</v>
      </c>
      <c r="H191" s="3">
        <v>18489600</v>
      </c>
      <c r="I191" s="11">
        <v>30</v>
      </c>
      <c r="J191" s="3">
        <v>2071740</v>
      </c>
      <c r="K191" s="11">
        <v>24</v>
      </c>
      <c r="L191" s="3">
        <v>3364600</v>
      </c>
      <c r="M191" s="11">
        <v>63</v>
      </c>
      <c r="N191" s="3">
        <v>5117400</v>
      </c>
      <c r="O191" s="3">
        <f t="shared" si="15"/>
        <v>24336990</v>
      </c>
      <c r="P191" s="8">
        <f t="shared" si="16"/>
        <v>83</v>
      </c>
      <c r="Q191" s="3">
        <f t="shared" si="17"/>
        <v>27701590</v>
      </c>
      <c r="R191" s="8">
        <f t="shared" si="18"/>
        <v>146</v>
      </c>
      <c r="S191" s="9">
        <f t="shared" si="21"/>
        <v>0.75903614457831325</v>
      </c>
      <c r="T191" s="4">
        <f t="shared" si="19"/>
        <v>0.12145873215219777</v>
      </c>
    </row>
    <row r="192" spans="1:20" x14ac:dyDescent="0.3">
      <c r="A192" s="10">
        <v>45849</v>
      </c>
      <c r="B192" s="11">
        <v>11</v>
      </c>
      <c r="C192" s="11">
        <f>MONTH(Tabla1[[#This Row],[FECHA]])</f>
        <v>7</v>
      </c>
      <c r="D192" s="3">
        <v>2955870</v>
      </c>
      <c r="E192" s="11">
        <v>35</v>
      </c>
      <c r="F192" s="3">
        <v>2376200</v>
      </c>
      <c r="G192" s="11">
        <v>17</v>
      </c>
      <c r="H192" s="3">
        <v>14936758</v>
      </c>
      <c r="I192" s="11">
        <v>20</v>
      </c>
      <c r="J192" s="3">
        <v>4460900</v>
      </c>
      <c r="K192" s="11">
        <v>46</v>
      </c>
      <c r="L192" s="3">
        <v>5025600</v>
      </c>
      <c r="M192" s="11">
        <v>70</v>
      </c>
      <c r="N192" s="3">
        <v>2232950</v>
      </c>
      <c r="O192" s="3">
        <f t="shared" si="15"/>
        <v>24729728</v>
      </c>
      <c r="P192" s="8">
        <f t="shared" si="16"/>
        <v>118</v>
      </c>
      <c r="Q192" s="3">
        <f t="shared" si="17"/>
        <v>29755328</v>
      </c>
      <c r="R192" s="8">
        <f t="shared" si="18"/>
        <v>188</v>
      </c>
      <c r="S192" s="9">
        <f t="shared" si="21"/>
        <v>0.59322033898305082</v>
      </c>
      <c r="T192" s="4">
        <f t="shared" si="19"/>
        <v>0.16889748283063793</v>
      </c>
    </row>
    <row r="193" spans="1:20" x14ac:dyDescent="0.3">
      <c r="A193" s="10">
        <v>45850</v>
      </c>
      <c r="B193" s="11">
        <v>12</v>
      </c>
      <c r="C193" s="11">
        <f>MONTH(Tabla1[[#This Row],[FECHA]])</f>
        <v>7</v>
      </c>
      <c r="D193" s="3">
        <v>2447400</v>
      </c>
      <c r="E193" s="11">
        <v>28</v>
      </c>
      <c r="F193" s="3">
        <v>4813600</v>
      </c>
      <c r="G193" s="11">
        <v>25</v>
      </c>
      <c r="H193" s="3">
        <v>7231948</v>
      </c>
      <c r="I193" s="11">
        <v>19</v>
      </c>
      <c r="J193" s="3">
        <v>1077700</v>
      </c>
      <c r="K193" s="11">
        <v>31</v>
      </c>
      <c r="L193" s="3">
        <v>6052200</v>
      </c>
      <c r="M193" s="11">
        <v>76</v>
      </c>
      <c r="N193" s="3">
        <v>8800500</v>
      </c>
      <c r="O193" s="3">
        <f t="shared" ref="O193:O256" si="22">D193+F193+H193+J193</f>
        <v>15570648</v>
      </c>
      <c r="P193" s="8">
        <f t="shared" ref="P193:P256" si="23">E193+G193+I193+K193</f>
        <v>103</v>
      </c>
      <c r="Q193" s="3">
        <f t="shared" ref="Q193:Q256" si="24">O193+L193</f>
        <v>21622848</v>
      </c>
      <c r="R193" s="8">
        <f t="shared" ref="R193:R256" si="25">P193+M193</f>
        <v>179</v>
      </c>
      <c r="S193" s="9">
        <f t="shared" si="21"/>
        <v>0.73786407766990292</v>
      </c>
      <c r="T193" s="4">
        <f t="shared" ref="T193:T256" si="26">IFERROR(L193/Q193,0)</f>
        <v>0.27989837416421742</v>
      </c>
    </row>
    <row r="194" spans="1:20" x14ac:dyDescent="0.3">
      <c r="A194" s="10">
        <v>45851</v>
      </c>
      <c r="B194" s="11">
        <v>13</v>
      </c>
      <c r="C194" s="11">
        <f>MONTH(Tabla1[[#This Row],[FECHA]])</f>
        <v>7</v>
      </c>
      <c r="D194" s="3">
        <v>1246000</v>
      </c>
      <c r="E194" s="11">
        <v>20</v>
      </c>
      <c r="F194" s="3">
        <v>1330280</v>
      </c>
      <c r="G194" s="11">
        <v>14</v>
      </c>
      <c r="H194" s="3">
        <v>3526300</v>
      </c>
      <c r="I194" s="11">
        <v>9</v>
      </c>
      <c r="J194" s="3">
        <v>911100</v>
      </c>
      <c r="K194" s="11">
        <v>12</v>
      </c>
      <c r="L194" s="3">
        <v>1846950</v>
      </c>
      <c r="M194" s="11">
        <v>42</v>
      </c>
      <c r="N194" s="3">
        <v>85000</v>
      </c>
      <c r="O194" s="3">
        <f t="shared" si="22"/>
        <v>7013680</v>
      </c>
      <c r="P194" s="8">
        <f t="shared" si="23"/>
        <v>55</v>
      </c>
      <c r="Q194" s="3">
        <f t="shared" si="24"/>
        <v>8860630</v>
      </c>
      <c r="R194" s="8">
        <f t="shared" si="25"/>
        <v>97</v>
      </c>
      <c r="S194" s="9">
        <f t="shared" si="21"/>
        <v>0.76363636363636367</v>
      </c>
      <c r="T194" s="4">
        <f t="shared" si="26"/>
        <v>0.20844454626815476</v>
      </c>
    </row>
    <row r="195" spans="1:20" x14ac:dyDescent="0.3">
      <c r="A195" s="10">
        <v>45852</v>
      </c>
      <c r="B195" s="11">
        <v>14</v>
      </c>
      <c r="C195" s="11">
        <f>MONTH(Tabla1[[#This Row],[FECHA]])</f>
        <v>7</v>
      </c>
      <c r="D195" s="3">
        <v>2259600</v>
      </c>
      <c r="E195" s="11">
        <v>44</v>
      </c>
      <c r="F195" s="3">
        <v>3415900</v>
      </c>
      <c r="G195" s="11">
        <v>22</v>
      </c>
      <c r="H195" s="3">
        <v>10966500</v>
      </c>
      <c r="I195" s="11">
        <v>16</v>
      </c>
      <c r="J195" s="3">
        <v>1089900</v>
      </c>
      <c r="K195" s="11">
        <v>24</v>
      </c>
      <c r="L195" s="3">
        <v>5155700</v>
      </c>
      <c r="M195" s="11">
        <v>77</v>
      </c>
      <c r="N195" s="3">
        <v>4503000</v>
      </c>
      <c r="O195" s="3">
        <f t="shared" si="22"/>
        <v>17731900</v>
      </c>
      <c r="P195" s="8">
        <f t="shared" si="23"/>
        <v>106</v>
      </c>
      <c r="Q195" s="3">
        <f t="shared" si="24"/>
        <v>22887600</v>
      </c>
      <c r="R195" s="8">
        <f t="shared" si="25"/>
        <v>183</v>
      </c>
      <c r="S195" s="9">
        <f t="shared" si="21"/>
        <v>0.72641509433962259</v>
      </c>
      <c r="T195" s="4">
        <f t="shared" si="26"/>
        <v>0.22526171376640627</v>
      </c>
    </row>
    <row r="196" spans="1:20" x14ac:dyDescent="0.3">
      <c r="A196" s="10">
        <v>45853</v>
      </c>
      <c r="B196" s="11">
        <v>15</v>
      </c>
      <c r="C196" s="11">
        <f>MONTH(Tabla1[[#This Row],[FECHA]])</f>
        <v>7</v>
      </c>
      <c r="D196" s="3">
        <v>1247800</v>
      </c>
      <c r="E196" s="11">
        <v>17</v>
      </c>
      <c r="F196" s="3">
        <v>6812000</v>
      </c>
      <c r="G196" s="11">
        <v>16</v>
      </c>
      <c r="H196" s="3">
        <v>13665600</v>
      </c>
      <c r="I196" s="11">
        <v>18</v>
      </c>
      <c r="J196" s="3">
        <v>4238620</v>
      </c>
      <c r="K196" s="11">
        <v>33</v>
      </c>
      <c r="L196" s="3">
        <v>3471700</v>
      </c>
      <c r="M196" s="11">
        <v>48</v>
      </c>
      <c r="N196" s="3">
        <v>3816300</v>
      </c>
      <c r="O196" s="3">
        <f t="shared" si="22"/>
        <v>25964020</v>
      </c>
      <c r="P196" s="8">
        <f t="shared" si="23"/>
        <v>84</v>
      </c>
      <c r="Q196" s="3">
        <f t="shared" si="24"/>
        <v>29435720</v>
      </c>
      <c r="R196" s="8">
        <f t="shared" si="25"/>
        <v>132</v>
      </c>
      <c r="S196" s="9">
        <f t="shared" si="21"/>
        <v>0.5714285714285714</v>
      </c>
      <c r="T196" s="4">
        <f t="shared" si="26"/>
        <v>0.11794173881257193</v>
      </c>
    </row>
    <row r="197" spans="1:20" x14ac:dyDescent="0.3">
      <c r="A197" s="10">
        <v>45854</v>
      </c>
      <c r="B197" s="11">
        <v>16</v>
      </c>
      <c r="C197" s="11">
        <f>MONTH(Tabla1[[#This Row],[FECHA]])</f>
        <v>7</v>
      </c>
      <c r="D197" s="3">
        <v>1389300</v>
      </c>
      <c r="E197" s="11">
        <v>33</v>
      </c>
      <c r="F197" s="3">
        <v>10324326</v>
      </c>
      <c r="G197" s="11">
        <v>14</v>
      </c>
      <c r="H197" s="3">
        <v>8785300</v>
      </c>
      <c r="I197" s="11">
        <v>17</v>
      </c>
      <c r="J197" s="3">
        <v>2581000</v>
      </c>
      <c r="K197" s="11">
        <v>24</v>
      </c>
      <c r="L197" s="3">
        <v>2179800</v>
      </c>
      <c r="M197" s="11">
        <v>63</v>
      </c>
      <c r="N197" s="3">
        <v>3847150</v>
      </c>
      <c r="O197" s="3">
        <f t="shared" si="22"/>
        <v>23079926</v>
      </c>
      <c r="P197" s="8">
        <f t="shared" si="23"/>
        <v>88</v>
      </c>
      <c r="Q197" s="3">
        <f t="shared" si="24"/>
        <v>25259726</v>
      </c>
      <c r="R197" s="8">
        <f t="shared" si="25"/>
        <v>151</v>
      </c>
      <c r="S197" s="9">
        <f t="shared" si="21"/>
        <v>0.71590909090909094</v>
      </c>
      <c r="T197" s="4">
        <f t="shared" si="26"/>
        <v>8.6295472880426341E-2</v>
      </c>
    </row>
    <row r="198" spans="1:20" x14ac:dyDescent="0.3">
      <c r="A198" s="10">
        <v>45855</v>
      </c>
      <c r="B198" s="11">
        <v>17</v>
      </c>
      <c r="C198" s="11">
        <f>MONTH(Tabla1[[#This Row],[FECHA]])</f>
        <v>7</v>
      </c>
      <c r="D198" s="3">
        <v>1842900</v>
      </c>
      <c r="E198" s="11">
        <v>32</v>
      </c>
      <c r="F198" s="3">
        <v>3379400</v>
      </c>
      <c r="G198" s="11">
        <v>15</v>
      </c>
      <c r="H198" s="3">
        <v>10356600</v>
      </c>
      <c r="I198" s="11">
        <v>28</v>
      </c>
      <c r="J198" s="3">
        <v>1983799</v>
      </c>
      <c r="K198" s="11">
        <v>23</v>
      </c>
      <c r="L198" s="3">
        <v>2766700</v>
      </c>
      <c r="M198" s="11">
        <v>60</v>
      </c>
      <c r="N198" s="3">
        <v>5998700</v>
      </c>
      <c r="O198" s="3">
        <f t="shared" si="22"/>
        <v>17562699</v>
      </c>
      <c r="P198" s="8">
        <f t="shared" si="23"/>
        <v>98</v>
      </c>
      <c r="Q198" s="3">
        <f t="shared" si="24"/>
        <v>20329399</v>
      </c>
      <c r="R198" s="8">
        <f t="shared" si="25"/>
        <v>158</v>
      </c>
      <c r="S198" s="9">
        <f t="shared" si="21"/>
        <v>0.61224489795918369</v>
      </c>
      <c r="T198" s="4">
        <f t="shared" si="26"/>
        <v>0.13609354610040367</v>
      </c>
    </row>
    <row r="199" spans="1:20" x14ac:dyDescent="0.3">
      <c r="A199" s="10">
        <v>45856</v>
      </c>
      <c r="B199" s="11">
        <v>18</v>
      </c>
      <c r="C199" s="11">
        <f>MONTH(Tabla1[[#This Row],[FECHA]])</f>
        <v>7</v>
      </c>
      <c r="D199" s="3">
        <v>1847900</v>
      </c>
      <c r="E199" s="11">
        <v>23</v>
      </c>
      <c r="F199" s="3">
        <v>8043900</v>
      </c>
      <c r="G199" s="11">
        <v>17</v>
      </c>
      <c r="H199" s="3">
        <v>10405600</v>
      </c>
      <c r="I199" s="11">
        <v>17</v>
      </c>
      <c r="J199" s="3">
        <v>1159798</v>
      </c>
      <c r="K199" s="11">
        <v>23</v>
      </c>
      <c r="L199" s="3">
        <v>4810700</v>
      </c>
      <c r="M199" s="11">
        <v>61</v>
      </c>
      <c r="N199" s="3">
        <v>2041500</v>
      </c>
      <c r="O199" s="3">
        <f t="shared" si="22"/>
        <v>21457198</v>
      </c>
      <c r="P199" s="8">
        <f t="shared" si="23"/>
        <v>80</v>
      </c>
      <c r="Q199" s="3">
        <f t="shared" si="24"/>
        <v>26267898</v>
      </c>
      <c r="R199" s="8">
        <f t="shared" si="25"/>
        <v>141</v>
      </c>
      <c r="S199" s="9">
        <f t="shared" si="21"/>
        <v>0.76249999999999996</v>
      </c>
      <c r="T199" s="4">
        <f t="shared" si="26"/>
        <v>0.18313989189390031</v>
      </c>
    </row>
    <row r="200" spans="1:20" x14ac:dyDescent="0.3">
      <c r="A200" s="10">
        <v>45857</v>
      </c>
      <c r="B200" s="11">
        <v>19</v>
      </c>
      <c r="C200" s="11">
        <f>MONTH(Tabla1[[#This Row],[FECHA]])</f>
        <v>7</v>
      </c>
      <c r="D200" s="3">
        <v>2382100</v>
      </c>
      <c r="E200" s="11">
        <v>32</v>
      </c>
      <c r="F200" s="3">
        <v>4754800</v>
      </c>
      <c r="G200" s="11">
        <v>20</v>
      </c>
      <c r="H200" s="3">
        <v>1591500</v>
      </c>
      <c r="I200" s="11">
        <v>14</v>
      </c>
      <c r="J200" s="3">
        <v>3869750</v>
      </c>
      <c r="K200" s="11">
        <v>41</v>
      </c>
      <c r="L200" s="3">
        <v>2298400</v>
      </c>
      <c r="M200" s="11">
        <v>53</v>
      </c>
      <c r="N200" s="3">
        <v>4452700</v>
      </c>
      <c r="O200" s="3">
        <f t="shared" si="22"/>
        <v>12598150</v>
      </c>
      <c r="P200" s="8">
        <f t="shared" si="23"/>
        <v>107</v>
      </c>
      <c r="Q200" s="3">
        <f t="shared" si="24"/>
        <v>14896550</v>
      </c>
      <c r="R200" s="8">
        <f t="shared" si="25"/>
        <v>160</v>
      </c>
      <c r="S200" s="9">
        <f t="shared" si="21"/>
        <v>0.49532710280373832</v>
      </c>
      <c r="T200" s="4">
        <f t="shared" si="26"/>
        <v>0.15429075859846744</v>
      </c>
    </row>
    <row r="201" spans="1:20" x14ac:dyDescent="0.3">
      <c r="A201" s="10">
        <v>45858</v>
      </c>
      <c r="B201" s="11">
        <v>20</v>
      </c>
      <c r="C201" s="11">
        <f>MONTH(Tabla1[[#This Row],[FECHA]])</f>
        <v>7</v>
      </c>
      <c r="D201" s="3">
        <v>897700</v>
      </c>
      <c r="E201" s="11">
        <v>18</v>
      </c>
      <c r="F201" s="3">
        <v>1645200</v>
      </c>
      <c r="G201" s="11">
        <v>10</v>
      </c>
      <c r="H201" s="3">
        <v>2454800</v>
      </c>
      <c r="I201" s="11">
        <v>7</v>
      </c>
      <c r="J201" s="3">
        <v>1234000</v>
      </c>
      <c r="K201" s="11">
        <v>10</v>
      </c>
      <c r="L201" s="3">
        <v>2375300</v>
      </c>
      <c r="M201" s="11">
        <v>60</v>
      </c>
      <c r="N201" s="3">
        <v>1225000</v>
      </c>
      <c r="O201" s="3">
        <f t="shared" si="22"/>
        <v>6231700</v>
      </c>
      <c r="P201" s="8">
        <f t="shared" si="23"/>
        <v>45</v>
      </c>
      <c r="Q201" s="3">
        <f t="shared" si="24"/>
        <v>8607000</v>
      </c>
      <c r="R201" s="8">
        <f t="shared" si="25"/>
        <v>105</v>
      </c>
      <c r="S201" s="9">
        <f t="shared" si="21"/>
        <v>1.3333333333333333</v>
      </c>
      <c r="T201" s="4">
        <f t="shared" si="26"/>
        <v>0.27597304519577087</v>
      </c>
    </row>
    <row r="202" spans="1:20" x14ac:dyDescent="0.3">
      <c r="A202" s="10">
        <v>45859</v>
      </c>
      <c r="B202" s="11">
        <v>21</v>
      </c>
      <c r="C202" s="11">
        <f>MONTH(Tabla1[[#This Row],[FECHA]])</f>
        <v>7</v>
      </c>
      <c r="D202" s="3">
        <v>2123500</v>
      </c>
      <c r="E202" s="11">
        <v>34</v>
      </c>
      <c r="F202" s="3">
        <v>1577700</v>
      </c>
      <c r="G202" s="11">
        <v>12</v>
      </c>
      <c r="H202" s="3">
        <v>12194600</v>
      </c>
      <c r="I202" s="11">
        <v>22</v>
      </c>
      <c r="J202" s="3">
        <v>5287290</v>
      </c>
      <c r="K202" s="11">
        <v>36</v>
      </c>
      <c r="L202" s="3">
        <v>7563200</v>
      </c>
      <c r="M202" s="11">
        <v>74</v>
      </c>
      <c r="N202" s="3">
        <v>7356000</v>
      </c>
      <c r="O202" s="3">
        <f t="shared" si="22"/>
        <v>21183090</v>
      </c>
      <c r="P202" s="8">
        <f t="shared" si="23"/>
        <v>104</v>
      </c>
      <c r="Q202" s="3">
        <f t="shared" si="24"/>
        <v>28746290</v>
      </c>
      <c r="R202" s="8">
        <f t="shared" si="25"/>
        <v>178</v>
      </c>
      <c r="S202" s="9">
        <f t="shared" si="21"/>
        <v>0.71153846153846156</v>
      </c>
      <c r="T202" s="4">
        <f t="shared" si="26"/>
        <v>0.26310177765548182</v>
      </c>
    </row>
    <row r="203" spans="1:20" x14ac:dyDescent="0.3">
      <c r="A203" s="10">
        <v>45860</v>
      </c>
      <c r="B203" s="11">
        <v>22</v>
      </c>
      <c r="C203" s="11">
        <f>MONTH(Tabla1[[#This Row],[FECHA]])</f>
        <v>7</v>
      </c>
      <c r="D203" s="3">
        <v>3841850</v>
      </c>
      <c r="E203" s="11">
        <v>55</v>
      </c>
      <c r="F203" s="3">
        <v>12527400</v>
      </c>
      <c r="G203" s="11">
        <v>25</v>
      </c>
      <c r="H203" s="3">
        <v>3256200</v>
      </c>
      <c r="I203" s="11">
        <v>22</v>
      </c>
      <c r="J203" s="3">
        <v>2446700</v>
      </c>
      <c r="K203" s="11">
        <v>25</v>
      </c>
      <c r="L203" s="3">
        <v>5561000</v>
      </c>
      <c r="M203" s="11">
        <v>64</v>
      </c>
      <c r="N203" s="3">
        <v>6729450</v>
      </c>
      <c r="O203" s="3">
        <f t="shared" si="22"/>
        <v>22072150</v>
      </c>
      <c r="P203" s="8">
        <f t="shared" si="23"/>
        <v>127</v>
      </c>
      <c r="Q203" s="3">
        <f t="shared" si="24"/>
        <v>27633150</v>
      </c>
      <c r="R203" s="8">
        <f t="shared" si="25"/>
        <v>191</v>
      </c>
      <c r="S203" s="9">
        <f t="shared" si="21"/>
        <v>0.50393700787401574</v>
      </c>
      <c r="T203" s="4">
        <f t="shared" si="26"/>
        <v>0.20124379594798278</v>
      </c>
    </row>
    <row r="204" spans="1:20" x14ac:dyDescent="0.3">
      <c r="A204" s="10">
        <v>45861</v>
      </c>
      <c r="B204" s="11">
        <v>23</v>
      </c>
      <c r="C204" s="11">
        <f>MONTH(Tabla1[[#This Row],[FECHA]])</f>
        <v>7</v>
      </c>
      <c r="D204" s="3">
        <v>2066200</v>
      </c>
      <c r="E204" s="11">
        <v>30</v>
      </c>
      <c r="F204" s="3">
        <v>2743300</v>
      </c>
      <c r="G204" s="11">
        <v>8</v>
      </c>
      <c r="H204" s="3">
        <v>7399200</v>
      </c>
      <c r="I204" s="11">
        <v>26</v>
      </c>
      <c r="J204" s="3">
        <v>9848850</v>
      </c>
      <c r="K204" s="11">
        <v>37</v>
      </c>
      <c r="L204" s="3">
        <v>4561150</v>
      </c>
      <c r="M204" s="11">
        <v>72</v>
      </c>
      <c r="N204" s="3">
        <v>5860400</v>
      </c>
      <c r="O204" s="3">
        <f t="shared" si="22"/>
        <v>22057550</v>
      </c>
      <c r="P204" s="8">
        <f t="shared" si="23"/>
        <v>101</v>
      </c>
      <c r="Q204" s="3">
        <f t="shared" si="24"/>
        <v>26618700</v>
      </c>
      <c r="R204" s="8">
        <f t="shared" si="25"/>
        <v>173</v>
      </c>
      <c r="S204" s="9">
        <f t="shared" si="21"/>
        <v>0.71287128712871284</v>
      </c>
      <c r="T204" s="4">
        <f t="shared" si="26"/>
        <v>0.17135134322863249</v>
      </c>
    </row>
    <row r="205" spans="1:20" x14ac:dyDescent="0.3">
      <c r="A205" s="10">
        <v>45862</v>
      </c>
      <c r="B205" s="11">
        <v>24</v>
      </c>
      <c r="C205" s="11">
        <f>MONTH(Tabla1[[#This Row],[FECHA]])</f>
        <v>7</v>
      </c>
      <c r="D205" s="3">
        <v>916600</v>
      </c>
      <c r="E205" s="11">
        <v>16</v>
      </c>
      <c r="F205" s="3">
        <v>4725290</v>
      </c>
      <c r="G205" s="11">
        <v>15</v>
      </c>
      <c r="H205" s="3">
        <v>9056982</v>
      </c>
      <c r="I205" s="11">
        <v>27</v>
      </c>
      <c r="J205" s="3">
        <v>3491400</v>
      </c>
      <c r="K205" s="11">
        <v>20</v>
      </c>
      <c r="L205" s="3">
        <v>2317600</v>
      </c>
      <c r="M205" s="11">
        <v>52</v>
      </c>
      <c r="N205" s="3">
        <v>3558400</v>
      </c>
      <c r="O205" s="3">
        <f t="shared" si="22"/>
        <v>18190272</v>
      </c>
      <c r="P205" s="8">
        <f t="shared" si="23"/>
        <v>78</v>
      </c>
      <c r="Q205" s="3">
        <f t="shared" si="24"/>
        <v>20507872</v>
      </c>
      <c r="R205" s="8">
        <f t="shared" si="25"/>
        <v>130</v>
      </c>
      <c r="S205" s="9">
        <f t="shared" ref="S205:S229" si="27">M205/P205</f>
        <v>0.66666666666666663</v>
      </c>
      <c r="T205" s="4">
        <f t="shared" si="26"/>
        <v>0.1130102625957486</v>
      </c>
    </row>
    <row r="206" spans="1:20" x14ac:dyDescent="0.3">
      <c r="A206" s="10">
        <v>45863</v>
      </c>
      <c r="B206" s="11">
        <v>25</v>
      </c>
      <c r="C206" s="11">
        <f>MONTH(Tabla1[[#This Row],[FECHA]])</f>
        <v>7</v>
      </c>
      <c r="D206" s="3">
        <v>1132200</v>
      </c>
      <c r="E206" s="11">
        <v>24</v>
      </c>
      <c r="F206" s="3">
        <v>3590200</v>
      </c>
      <c r="G206" s="11">
        <v>19</v>
      </c>
      <c r="H206" s="3">
        <v>5718897</v>
      </c>
      <c r="I206" s="11">
        <v>19</v>
      </c>
      <c r="J206" s="3">
        <v>2743200</v>
      </c>
      <c r="K206" s="11">
        <v>26</v>
      </c>
      <c r="L206" s="3">
        <v>3756100</v>
      </c>
      <c r="M206" s="11">
        <v>60</v>
      </c>
      <c r="N206" s="3">
        <v>4487700</v>
      </c>
      <c r="O206" s="3">
        <f t="shared" si="22"/>
        <v>13184497</v>
      </c>
      <c r="P206" s="8">
        <f t="shared" si="23"/>
        <v>88</v>
      </c>
      <c r="Q206" s="3">
        <f t="shared" si="24"/>
        <v>16940597</v>
      </c>
      <c r="R206" s="8">
        <f t="shared" si="25"/>
        <v>148</v>
      </c>
      <c r="S206" s="9">
        <f t="shared" si="27"/>
        <v>0.68181818181818177</v>
      </c>
      <c r="T206" s="4">
        <f t="shared" si="26"/>
        <v>0.22172182007517208</v>
      </c>
    </row>
    <row r="207" spans="1:20" x14ac:dyDescent="0.3">
      <c r="A207" s="10">
        <v>45864</v>
      </c>
      <c r="B207" s="11">
        <v>26</v>
      </c>
      <c r="C207" s="11">
        <f>MONTH(Tabla1[[#This Row],[FECHA]])</f>
        <v>7</v>
      </c>
      <c r="D207" s="3">
        <v>1290900</v>
      </c>
      <c r="E207" s="11">
        <v>21</v>
      </c>
      <c r="F207" s="3">
        <v>7847700</v>
      </c>
      <c r="G207" s="11">
        <v>21</v>
      </c>
      <c r="H207" s="3">
        <v>4781600</v>
      </c>
      <c r="I207" s="11">
        <v>15</v>
      </c>
      <c r="J207" s="3">
        <v>2377700</v>
      </c>
      <c r="K207" s="11">
        <v>26</v>
      </c>
      <c r="L207" s="3">
        <v>3559200</v>
      </c>
      <c r="M207" s="11">
        <v>61</v>
      </c>
      <c r="N207" s="3">
        <v>6537500</v>
      </c>
      <c r="O207" s="3">
        <f t="shared" si="22"/>
        <v>16297900</v>
      </c>
      <c r="P207" s="8">
        <f t="shared" si="23"/>
        <v>83</v>
      </c>
      <c r="Q207" s="3">
        <f t="shared" si="24"/>
        <v>19857100</v>
      </c>
      <c r="R207" s="8">
        <f t="shared" si="25"/>
        <v>144</v>
      </c>
      <c r="S207" s="9">
        <f t="shared" si="27"/>
        <v>0.73493975903614461</v>
      </c>
      <c r="T207" s="4">
        <f t="shared" si="26"/>
        <v>0.17924067462016105</v>
      </c>
    </row>
    <row r="208" spans="1:20" x14ac:dyDescent="0.3">
      <c r="A208" s="10">
        <v>45865</v>
      </c>
      <c r="B208" s="11">
        <v>27</v>
      </c>
      <c r="C208" s="11">
        <f>MONTH(Tabla1[[#This Row],[FECHA]])</f>
        <v>7</v>
      </c>
      <c r="D208" s="3">
        <v>1180500</v>
      </c>
      <c r="E208" s="11">
        <v>18</v>
      </c>
      <c r="F208" s="3">
        <v>612400</v>
      </c>
      <c r="G208" s="11">
        <v>7</v>
      </c>
      <c r="H208" s="3">
        <v>181400</v>
      </c>
      <c r="I208" s="11">
        <v>1</v>
      </c>
      <c r="J208" s="3">
        <v>1211800</v>
      </c>
      <c r="K208" s="11">
        <v>16</v>
      </c>
      <c r="L208" s="3">
        <v>1151100</v>
      </c>
      <c r="M208" s="11">
        <v>40</v>
      </c>
      <c r="N208" s="3">
        <v>135200</v>
      </c>
      <c r="O208" s="3">
        <f t="shared" si="22"/>
        <v>3186100</v>
      </c>
      <c r="P208" s="8">
        <f t="shared" si="23"/>
        <v>42</v>
      </c>
      <c r="Q208" s="3">
        <f t="shared" si="24"/>
        <v>4337200</v>
      </c>
      <c r="R208" s="8">
        <f t="shared" si="25"/>
        <v>82</v>
      </c>
      <c r="S208" s="9">
        <f t="shared" si="27"/>
        <v>0.95238095238095233</v>
      </c>
      <c r="T208" s="4">
        <f t="shared" si="26"/>
        <v>0.26540164161209995</v>
      </c>
    </row>
    <row r="209" spans="1:20" x14ac:dyDescent="0.3">
      <c r="A209" s="10">
        <v>45866</v>
      </c>
      <c r="B209" s="11">
        <v>28</v>
      </c>
      <c r="C209" s="11">
        <f>MONTH(Tabla1[[#This Row],[FECHA]])</f>
        <v>7</v>
      </c>
      <c r="D209" s="3">
        <v>2605600</v>
      </c>
      <c r="E209" s="11">
        <v>28</v>
      </c>
      <c r="F209" s="3">
        <v>2603100</v>
      </c>
      <c r="G209" s="11">
        <v>14</v>
      </c>
      <c r="H209" s="3">
        <v>4496200</v>
      </c>
      <c r="I209" s="11">
        <v>16</v>
      </c>
      <c r="J209" s="3">
        <v>4762300</v>
      </c>
      <c r="K209" s="11">
        <v>34</v>
      </c>
      <c r="L209" s="3">
        <v>4295150</v>
      </c>
      <c r="M209" s="11">
        <v>62</v>
      </c>
      <c r="N209" s="3">
        <v>6261300</v>
      </c>
      <c r="O209" s="3">
        <f t="shared" si="22"/>
        <v>14467200</v>
      </c>
      <c r="P209" s="8">
        <f t="shared" si="23"/>
        <v>92</v>
      </c>
      <c r="Q209" s="3">
        <f t="shared" si="24"/>
        <v>18762350</v>
      </c>
      <c r="R209" s="8">
        <f t="shared" si="25"/>
        <v>154</v>
      </c>
      <c r="S209" s="9">
        <f t="shared" si="27"/>
        <v>0.67391304347826086</v>
      </c>
      <c r="T209" s="4">
        <f t="shared" si="26"/>
        <v>0.22892388213629955</v>
      </c>
    </row>
    <row r="210" spans="1:20" x14ac:dyDescent="0.3">
      <c r="A210" s="10">
        <v>45867</v>
      </c>
      <c r="B210" s="11">
        <v>29</v>
      </c>
      <c r="C210" s="11">
        <f>MONTH(Tabla1[[#This Row],[FECHA]])</f>
        <v>7</v>
      </c>
      <c r="D210" s="3">
        <v>2946900</v>
      </c>
      <c r="E210" s="11">
        <v>37</v>
      </c>
      <c r="F210" s="3">
        <v>2295500</v>
      </c>
      <c r="G210" s="11">
        <v>20</v>
      </c>
      <c r="H210" s="3">
        <v>9282300</v>
      </c>
      <c r="I210" s="11">
        <v>23</v>
      </c>
      <c r="J210" s="3">
        <v>8619350</v>
      </c>
      <c r="K210" s="11">
        <v>58</v>
      </c>
      <c r="L210" s="3">
        <v>834900</v>
      </c>
      <c r="M210" s="11">
        <v>29</v>
      </c>
      <c r="N210" s="3">
        <v>3555400</v>
      </c>
      <c r="O210" s="3">
        <f t="shared" si="22"/>
        <v>23144050</v>
      </c>
      <c r="P210" s="8">
        <f t="shared" si="23"/>
        <v>138</v>
      </c>
      <c r="Q210" s="3">
        <f t="shared" si="24"/>
        <v>23978950</v>
      </c>
      <c r="R210" s="8">
        <f t="shared" si="25"/>
        <v>167</v>
      </c>
      <c r="S210" s="9">
        <f t="shared" si="27"/>
        <v>0.21014492753623187</v>
      </c>
      <c r="T210" s="4">
        <f t="shared" si="26"/>
        <v>3.4818038321110807E-2</v>
      </c>
    </row>
    <row r="211" spans="1:20" x14ac:dyDescent="0.3">
      <c r="A211" s="10">
        <v>45868</v>
      </c>
      <c r="B211" s="11">
        <v>30</v>
      </c>
      <c r="C211" s="11">
        <f>MONTH(Tabla1[[#This Row],[FECHA]])</f>
        <v>7</v>
      </c>
      <c r="D211" s="3">
        <v>1216300</v>
      </c>
      <c r="E211" s="11">
        <v>23</v>
      </c>
      <c r="F211" s="3">
        <v>1808610</v>
      </c>
      <c r="G211" s="11">
        <v>14</v>
      </c>
      <c r="H211" s="3">
        <v>20502592</v>
      </c>
      <c r="I211" s="11">
        <v>20</v>
      </c>
      <c r="J211" s="3">
        <v>1985200</v>
      </c>
      <c r="K211" s="11">
        <v>29</v>
      </c>
      <c r="L211" s="3">
        <v>4427500</v>
      </c>
      <c r="M211" s="11">
        <v>61</v>
      </c>
      <c r="N211" s="3">
        <v>6406500</v>
      </c>
      <c r="O211" s="3">
        <f t="shared" si="22"/>
        <v>25512702</v>
      </c>
      <c r="P211" s="8">
        <f t="shared" si="23"/>
        <v>86</v>
      </c>
      <c r="Q211" s="3">
        <f t="shared" si="24"/>
        <v>29940202</v>
      </c>
      <c r="R211" s="8">
        <f t="shared" si="25"/>
        <v>147</v>
      </c>
      <c r="S211" s="9">
        <f t="shared" si="27"/>
        <v>0.70930232558139539</v>
      </c>
      <c r="T211" s="4">
        <f t="shared" si="26"/>
        <v>0.14787809380845193</v>
      </c>
    </row>
    <row r="212" spans="1:20" x14ac:dyDescent="0.3">
      <c r="A212" s="10">
        <v>45869</v>
      </c>
      <c r="B212" s="11">
        <v>31</v>
      </c>
      <c r="C212" s="11">
        <f>MONTH(Tabla1[[#This Row],[FECHA]])</f>
        <v>7</v>
      </c>
      <c r="D212" s="3">
        <v>1345100</v>
      </c>
      <c r="E212" s="11">
        <v>27</v>
      </c>
      <c r="F212" s="3">
        <v>5579296</v>
      </c>
      <c r="G212" s="11">
        <v>22</v>
      </c>
      <c r="H212" s="3">
        <v>7271179</v>
      </c>
      <c r="I212" s="11">
        <v>26</v>
      </c>
      <c r="J212" s="3">
        <v>4162973</v>
      </c>
      <c r="K212" s="11">
        <v>31</v>
      </c>
      <c r="L212" s="3">
        <v>3474900</v>
      </c>
      <c r="M212" s="11">
        <v>61</v>
      </c>
      <c r="N212" s="3">
        <v>3153300</v>
      </c>
      <c r="O212" s="3">
        <f t="shared" si="22"/>
        <v>18358548</v>
      </c>
      <c r="P212" s="8">
        <f t="shared" si="23"/>
        <v>106</v>
      </c>
      <c r="Q212" s="3">
        <f t="shared" si="24"/>
        <v>21833448</v>
      </c>
      <c r="R212" s="8">
        <f t="shared" si="25"/>
        <v>167</v>
      </c>
      <c r="S212" s="9">
        <f t="shared" si="27"/>
        <v>0.57547169811320753</v>
      </c>
      <c r="T212" s="4">
        <f t="shared" si="26"/>
        <v>0.15915488932394004</v>
      </c>
    </row>
    <row r="213" spans="1:20" x14ac:dyDescent="0.3">
      <c r="A213" s="10">
        <v>45870</v>
      </c>
      <c r="B213" s="11">
        <v>1</v>
      </c>
      <c r="C213" s="11">
        <f>MONTH(Tabla1[[#This Row],[FECHA]])</f>
        <v>8</v>
      </c>
      <c r="D213" s="3">
        <v>1091900</v>
      </c>
      <c r="E213" s="11">
        <v>16</v>
      </c>
      <c r="F213" s="3">
        <v>2233400</v>
      </c>
      <c r="G213" s="11">
        <v>18</v>
      </c>
      <c r="H213" s="3">
        <v>10692655</v>
      </c>
      <c r="I213" s="11">
        <v>13</v>
      </c>
      <c r="J213" s="3">
        <v>3293900</v>
      </c>
      <c r="K213" s="11">
        <v>25</v>
      </c>
      <c r="L213" s="3">
        <v>1863500</v>
      </c>
      <c r="M213" s="11">
        <v>48</v>
      </c>
      <c r="N213" s="3">
        <v>4417350</v>
      </c>
      <c r="O213" s="3">
        <f t="shared" si="22"/>
        <v>17311855</v>
      </c>
      <c r="P213" s="8">
        <f t="shared" si="23"/>
        <v>72</v>
      </c>
      <c r="Q213" s="3">
        <f t="shared" si="24"/>
        <v>19175355</v>
      </c>
      <c r="R213" s="8">
        <f t="shared" si="25"/>
        <v>120</v>
      </c>
      <c r="S213" s="9">
        <f t="shared" si="27"/>
        <v>0.66666666666666663</v>
      </c>
      <c r="T213" s="4">
        <f t="shared" si="26"/>
        <v>9.7182033918016122E-2</v>
      </c>
    </row>
    <row r="214" spans="1:20" x14ac:dyDescent="0.3">
      <c r="A214" s="10">
        <v>45871</v>
      </c>
      <c r="B214" s="11">
        <v>2</v>
      </c>
      <c r="C214" s="11">
        <f>MONTH(Tabla1[[#This Row],[FECHA]])</f>
        <v>8</v>
      </c>
      <c r="D214" s="3">
        <v>1104000</v>
      </c>
      <c r="E214" s="11">
        <v>17</v>
      </c>
      <c r="F214" s="3">
        <v>7979269</v>
      </c>
      <c r="G214" s="11">
        <v>24</v>
      </c>
      <c r="H214" s="3">
        <v>4725793</v>
      </c>
      <c r="I214" s="11">
        <v>16</v>
      </c>
      <c r="J214" s="3">
        <v>3946643</v>
      </c>
      <c r="K214" s="11">
        <v>39</v>
      </c>
      <c r="L214" s="3">
        <v>4444100</v>
      </c>
      <c r="M214" s="11">
        <v>49</v>
      </c>
      <c r="N214" s="3">
        <v>3303900</v>
      </c>
      <c r="O214" s="3">
        <f t="shared" si="22"/>
        <v>17755705</v>
      </c>
      <c r="P214" s="8">
        <f t="shared" si="23"/>
        <v>96</v>
      </c>
      <c r="Q214" s="3">
        <f t="shared" si="24"/>
        <v>22199805</v>
      </c>
      <c r="R214" s="8">
        <f t="shared" si="25"/>
        <v>145</v>
      </c>
      <c r="S214" s="9">
        <f t="shared" si="27"/>
        <v>0.51041666666666663</v>
      </c>
      <c r="T214" s="4">
        <f t="shared" si="26"/>
        <v>0.20018644307911715</v>
      </c>
    </row>
    <row r="215" spans="1:20" x14ac:dyDescent="0.3">
      <c r="A215" s="10">
        <v>45872</v>
      </c>
      <c r="B215" s="11">
        <v>3</v>
      </c>
      <c r="C215" s="11">
        <f>MONTH(Tabla1[[#This Row],[FECHA]])</f>
        <v>8</v>
      </c>
      <c r="D215" s="3">
        <v>1734900</v>
      </c>
      <c r="E215" s="11">
        <v>25</v>
      </c>
      <c r="F215" s="3">
        <v>2307600</v>
      </c>
      <c r="G215" s="11">
        <v>12</v>
      </c>
      <c r="H215" s="3">
        <v>371000</v>
      </c>
      <c r="I215" s="11">
        <v>4</v>
      </c>
      <c r="J215" s="3">
        <v>2115350</v>
      </c>
      <c r="K215" s="11">
        <v>22</v>
      </c>
      <c r="L215" s="3">
        <v>794500</v>
      </c>
      <c r="M215" s="11">
        <v>32</v>
      </c>
      <c r="N215" s="3">
        <v>178450</v>
      </c>
      <c r="O215" s="3">
        <f t="shared" si="22"/>
        <v>6528850</v>
      </c>
      <c r="P215" s="8">
        <f t="shared" si="23"/>
        <v>63</v>
      </c>
      <c r="Q215" s="3">
        <f t="shared" si="24"/>
        <v>7323350</v>
      </c>
      <c r="R215" s="8">
        <f t="shared" si="25"/>
        <v>95</v>
      </c>
      <c r="S215" s="9">
        <f t="shared" si="27"/>
        <v>0.50793650793650791</v>
      </c>
      <c r="T215" s="4">
        <f t="shared" si="26"/>
        <v>0.10848860152798924</v>
      </c>
    </row>
    <row r="216" spans="1:20" x14ac:dyDescent="0.3">
      <c r="A216" s="10">
        <v>45873</v>
      </c>
      <c r="B216" s="11">
        <v>4</v>
      </c>
      <c r="C216" s="11">
        <f>MONTH(Tabla1[[#This Row],[FECHA]])</f>
        <v>8</v>
      </c>
      <c r="D216" s="3">
        <v>2587500</v>
      </c>
      <c r="E216" s="11">
        <v>30</v>
      </c>
      <c r="F216" s="3">
        <v>2765200</v>
      </c>
      <c r="G216" s="11">
        <v>17</v>
      </c>
      <c r="H216" s="3">
        <v>11873440</v>
      </c>
      <c r="I216" s="11">
        <v>20</v>
      </c>
      <c r="J216" s="3">
        <v>5343430</v>
      </c>
      <c r="K216" s="11">
        <v>34</v>
      </c>
      <c r="L216" s="3">
        <v>4269000</v>
      </c>
      <c r="M216" s="11">
        <v>49</v>
      </c>
      <c r="N216" s="3">
        <v>3160700</v>
      </c>
      <c r="O216" s="3">
        <f t="shared" si="22"/>
        <v>22569570</v>
      </c>
      <c r="P216" s="8">
        <f t="shared" si="23"/>
        <v>101</v>
      </c>
      <c r="Q216" s="3">
        <f t="shared" si="24"/>
        <v>26838570</v>
      </c>
      <c r="R216" s="8">
        <f t="shared" si="25"/>
        <v>150</v>
      </c>
      <c r="S216" s="9">
        <f t="shared" si="27"/>
        <v>0.48514851485148514</v>
      </c>
      <c r="T216" s="4">
        <f t="shared" si="26"/>
        <v>0.15906212588822727</v>
      </c>
    </row>
    <row r="217" spans="1:20" x14ac:dyDescent="0.3">
      <c r="A217" s="10">
        <v>45874</v>
      </c>
      <c r="B217" s="11">
        <v>5</v>
      </c>
      <c r="C217" s="11">
        <f>MONTH(Tabla1[[#This Row],[FECHA]])</f>
        <v>8</v>
      </c>
      <c r="D217" s="3">
        <v>2356520</v>
      </c>
      <c r="E217" s="11">
        <v>36</v>
      </c>
      <c r="F217" s="3">
        <v>3380600</v>
      </c>
      <c r="G217" s="11">
        <v>19</v>
      </c>
      <c r="H217" s="3">
        <v>10004150</v>
      </c>
      <c r="I217" s="11">
        <v>31</v>
      </c>
      <c r="J217" s="3">
        <v>3452600</v>
      </c>
      <c r="K217" s="11">
        <v>30</v>
      </c>
      <c r="L217" s="3">
        <v>2653200</v>
      </c>
      <c r="M217" s="11">
        <v>57</v>
      </c>
      <c r="N217" s="3">
        <v>3480100</v>
      </c>
      <c r="O217" s="3">
        <f t="shared" si="22"/>
        <v>19193870</v>
      </c>
      <c r="P217" s="8">
        <f t="shared" si="23"/>
        <v>116</v>
      </c>
      <c r="Q217" s="3">
        <f t="shared" si="24"/>
        <v>21847070</v>
      </c>
      <c r="R217" s="8">
        <f t="shared" si="25"/>
        <v>173</v>
      </c>
      <c r="S217" s="9">
        <f t="shared" si="27"/>
        <v>0.49137931034482757</v>
      </c>
      <c r="T217" s="4">
        <f t="shared" si="26"/>
        <v>0.12144420281529743</v>
      </c>
    </row>
    <row r="218" spans="1:20" x14ac:dyDescent="0.3">
      <c r="A218" s="10">
        <v>45875</v>
      </c>
      <c r="B218" s="11">
        <v>6</v>
      </c>
      <c r="C218" s="11">
        <f>MONTH(Tabla1[[#This Row],[FECHA]])</f>
        <v>8</v>
      </c>
      <c r="D218" s="3">
        <v>1127000</v>
      </c>
      <c r="E218" s="11">
        <v>25</v>
      </c>
      <c r="F218" s="3">
        <v>2455550</v>
      </c>
      <c r="G218" s="11">
        <v>13</v>
      </c>
      <c r="H218" s="3">
        <v>6329300</v>
      </c>
      <c r="I218" s="11">
        <v>12</v>
      </c>
      <c r="J218" s="3">
        <v>6963682</v>
      </c>
      <c r="K218" s="11">
        <v>31</v>
      </c>
      <c r="L218" s="3">
        <v>6052260</v>
      </c>
      <c r="M218" s="11">
        <v>68</v>
      </c>
      <c r="N218" s="3">
        <v>6168900</v>
      </c>
      <c r="O218" s="3">
        <f t="shared" si="22"/>
        <v>16875532</v>
      </c>
      <c r="P218" s="8">
        <f t="shared" si="23"/>
        <v>81</v>
      </c>
      <c r="Q218" s="3">
        <f t="shared" si="24"/>
        <v>22927792</v>
      </c>
      <c r="R218" s="8">
        <f t="shared" si="25"/>
        <v>149</v>
      </c>
      <c r="S218" s="9">
        <f t="shared" si="27"/>
        <v>0.83950617283950613</v>
      </c>
      <c r="T218" s="4">
        <f t="shared" si="26"/>
        <v>0.26397046867836205</v>
      </c>
    </row>
    <row r="219" spans="1:20" x14ac:dyDescent="0.3">
      <c r="A219" s="10">
        <v>45876</v>
      </c>
      <c r="B219" s="11">
        <v>7</v>
      </c>
      <c r="C219" s="11">
        <f>MONTH(Tabla1[[#This Row],[FECHA]])</f>
        <v>8</v>
      </c>
      <c r="D219" s="3">
        <v>1798200</v>
      </c>
      <c r="E219" s="11">
        <v>24</v>
      </c>
      <c r="F219" s="3">
        <v>2552300</v>
      </c>
      <c r="G219" s="11">
        <v>17</v>
      </c>
      <c r="H219" s="3">
        <v>2101500</v>
      </c>
      <c r="I219" s="11">
        <v>9</v>
      </c>
      <c r="J219" s="3">
        <v>2905500</v>
      </c>
      <c r="K219" s="11">
        <v>35</v>
      </c>
      <c r="L219" s="3">
        <v>1342000</v>
      </c>
      <c r="M219" s="11">
        <v>43</v>
      </c>
      <c r="N219" s="3">
        <v>757000</v>
      </c>
      <c r="O219" s="3">
        <f t="shared" si="22"/>
        <v>9357500</v>
      </c>
      <c r="P219" s="8">
        <f t="shared" si="23"/>
        <v>85</v>
      </c>
      <c r="Q219" s="3">
        <f t="shared" si="24"/>
        <v>10699500</v>
      </c>
      <c r="R219" s="8">
        <f t="shared" si="25"/>
        <v>128</v>
      </c>
      <c r="S219" s="9">
        <f t="shared" si="27"/>
        <v>0.50588235294117645</v>
      </c>
      <c r="T219" s="4">
        <f t="shared" si="26"/>
        <v>0.125426421795411</v>
      </c>
    </row>
    <row r="220" spans="1:20" x14ac:dyDescent="0.3">
      <c r="A220" s="10">
        <v>45877</v>
      </c>
      <c r="B220" s="11">
        <v>8</v>
      </c>
      <c r="C220" s="11">
        <f>MONTH(Tabla1[[#This Row],[FECHA]])</f>
        <v>8</v>
      </c>
      <c r="D220" s="3">
        <v>1506300</v>
      </c>
      <c r="E220" s="11">
        <v>31</v>
      </c>
      <c r="F220" s="3">
        <v>4227600</v>
      </c>
      <c r="G220" s="11">
        <v>27</v>
      </c>
      <c r="H220" s="3">
        <v>10319923</v>
      </c>
      <c r="I220" s="11">
        <v>21</v>
      </c>
      <c r="J220" s="3">
        <v>5940100</v>
      </c>
      <c r="K220" s="11">
        <v>57</v>
      </c>
      <c r="L220" s="3">
        <v>6291100</v>
      </c>
      <c r="M220" s="11">
        <v>74</v>
      </c>
      <c r="N220" s="3">
        <v>1536800</v>
      </c>
      <c r="O220" s="3">
        <f t="shared" si="22"/>
        <v>21993923</v>
      </c>
      <c r="P220" s="8">
        <f t="shared" si="23"/>
        <v>136</v>
      </c>
      <c r="Q220" s="3">
        <f t="shared" si="24"/>
        <v>28285023</v>
      </c>
      <c r="R220" s="8">
        <f t="shared" si="25"/>
        <v>210</v>
      </c>
      <c r="S220" s="9">
        <f t="shared" si="27"/>
        <v>0.54411764705882348</v>
      </c>
      <c r="T220" s="4">
        <f t="shared" si="26"/>
        <v>0.22241806202526335</v>
      </c>
    </row>
    <row r="221" spans="1:20" x14ac:dyDescent="0.3">
      <c r="A221" s="10">
        <v>45878</v>
      </c>
      <c r="B221" s="11">
        <v>9</v>
      </c>
      <c r="C221" s="11">
        <f>MONTH(Tabla1[[#This Row],[FECHA]])</f>
        <v>8</v>
      </c>
      <c r="D221" s="3">
        <v>4087900</v>
      </c>
      <c r="E221" s="11">
        <v>36</v>
      </c>
      <c r="F221" s="3">
        <v>5871000</v>
      </c>
      <c r="G221" s="11">
        <v>24</v>
      </c>
      <c r="H221" s="3">
        <v>7080391</v>
      </c>
      <c r="I221" s="11">
        <v>21</v>
      </c>
      <c r="J221" s="3">
        <v>8021200</v>
      </c>
      <c r="K221" s="11">
        <v>32</v>
      </c>
      <c r="L221" s="3">
        <v>5870300</v>
      </c>
      <c r="M221" s="11">
        <v>70</v>
      </c>
      <c r="N221" s="3">
        <v>5462500</v>
      </c>
      <c r="O221" s="3">
        <f t="shared" si="22"/>
        <v>25060491</v>
      </c>
      <c r="P221" s="8">
        <f t="shared" si="23"/>
        <v>113</v>
      </c>
      <c r="Q221" s="3">
        <f t="shared" si="24"/>
        <v>30930791</v>
      </c>
      <c r="R221" s="8">
        <f t="shared" si="25"/>
        <v>183</v>
      </c>
      <c r="S221" s="9">
        <f t="shared" si="27"/>
        <v>0.61946902654867253</v>
      </c>
      <c r="T221" s="4">
        <f t="shared" si="26"/>
        <v>0.18978822753029498</v>
      </c>
    </row>
    <row r="222" spans="1:20" x14ac:dyDescent="0.3">
      <c r="A222" s="10">
        <v>45879</v>
      </c>
      <c r="B222" s="11">
        <v>10</v>
      </c>
      <c r="C222" s="11">
        <f>MONTH(Tabla1[[#This Row],[FECHA]])</f>
        <v>8</v>
      </c>
      <c r="D222" s="3">
        <v>1343700</v>
      </c>
      <c r="E222" s="11">
        <v>23</v>
      </c>
      <c r="F222" s="3">
        <v>2238300</v>
      </c>
      <c r="G222" s="11">
        <v>13</v>
      </c>
      <c r="H222" s="3">
        <v>1238800</v>
      </c>
      <c r="I222" s="11">
        <v>6</v>
      </c>
      <c r="J222" s="3">
        <v>1916000</v>
      </c>
      <c r="K222" s="11">
        <v>19</v>
      </c>
      <c r="L222" s="3">
        <v>2378000</v>
      </c>
      <c r="M222" s="11">
        <v>51</v>
      </c>
      <c r="N222" s="3">
        <v>188600</v>
      </c>
      <c r="O222" s="3">
        <f t="shared" si="22"/>
        <v>6736800</v>
      </c>
      <c r="P222" s="8">
        <f t="shared" si="23"/>
        <v>61</v>
      </c>
      <c r="Q222" s="3">
        <f t="shared" si="24"/>
        <v>9114800</v>
      </c>
      <c r="R222" s="8">
        <f t="shared" si="25"/>
        <v>112</v>
      </c>
      <c r="S222" s="9">
        <f t="shared" si="27"/>
        <v>0.83606557377049184</v>
      </c>
      <c r="T222" s="4">
        <f t="shared" si="26"/>
        <v>0.26089436959669987</v>
      </c>
    </row>
    <row r="223" spans="1:20" x14ac:dyDescent="0.3">
      <c r="A223" s="10">
        <v>45880</v>
      </c>
      <c r="B223" s="11">
        <v>11</v>
      </c>
      <c r="C223" s="11">
        <f>MONTH(Tabla1[[#This Row],[FECHA]])</f>
        <v>8</v>
      </c>
      <c r="D223" s="3">
        <v>2564500</v>
      </c>
      <c r="E223" s="11">
        <v>42</v>
      </c>
      <c r="F223" s="3">
        <v>2211200</v>
      </c>
      <c r="G223" s="11">
        <v>15</v>
      </c>
      <c r="H223" s="3">
        <v>12973372</v>
      </c>
      <c r="I223" s="11">
        <v>27</v>
      </c>
      <c r="J223" s="3">
        <v>3886350</v>
      </c>
      <c r="K223" s="11">
        <v>26</v>
      </c>
      <c r="L223" s="3">
        <v>3094400</v>
      </c>
      <c r="M223" s="11">
        <v>57</v>
      </c>
      <c r="N223" s="3">
        <v>3915500</v>
      </c>
      <c r="O223" s="3">
        <f t="shared" si="22"/>
        <v>21635422</v>
      </c>
      <c r="P223" s="8">
        <f t="shared" si="23"/>
        <v>110</v>
      </c>
      <c r="Q223" s="3">
        <f t="shared" si="24"/>
        <v>24729822</v>
      </c>
      <c r="R223" s="8">
        <f t="shared" si="25"/>
        <v>167</v>
      </c>
      <c r="S223" s="9">
        <f t="shared" si="27"/>
        <v>0.51818181818181819</v>
      </c>
      <c r="T223" s="4">
        <f t="shared" si="26"/>
        <v>0.1251282762973385</v>
      </c>
    </row>
    <row r="224" spans="1:20" x14ac:dyDescent="0.3">
      <c r="A224" s="10">
        <v>45881</v>
      </c>
      <c r="B224" s="11">
        <v>12</v>
      </c>
      <c r="C224" s="11">
        <f>MONTH(Tabla1[[#This Row],[FECHA]])</f>
        <v>8</v>
      </c>
      <c r="D224" s="3">
        <v>2031400</v>
      </c>
      <c r="E224" s="11">
        <v>31</v>
      </c>
      <c r="F224" s="3">
        <v>669200</v>
      </c>
      <c r="G224" s="11">
        <v>12</v>
      </c>
      <c r="H224" s="3">
        <v>14055928</v>
      </c>
      <c r="I224" s="11">
        <v>31</v>
      </c>
      <c r="J224" s="3">
        <v>2874210</v>
      </c>
      <c r="K224" s="11">
        <v>36</v>
      </c>
      <c r="L224" s="3">
        <v>5873800</v>
      </c>
      <c r="M224" s="11">
        <v>75</v>
      </c>
      <c r="N224" s="3">
        <v>2819400</v>
      </c>
      <c r="O224" s="3">
        <f t="shared" si="22"/>
        <v>19630738</v>
      </c>
      <c r="P224" s="8">
        <f t="shared" si="23"/>
        <v>110</v>
      </c>
      <c r="Q224" s="3">
        <f t="shared" si="24"/>
        <v>25504538</v>
      </c>
      <c r="R224" s="8">
        <f t="shared" si="25"/>
        <v>185</v>
      </c>
      <c r="S224" s="9">
        <f t="shared" si="27"/>
        <v>0.68181818181818177</v>
      </c>
      <c r="T224" s="4">
        <f t="shared" si="26"/>
        <v>0.23030411293864644</v>
      </c>
    </row>
    <row r="225" spans="1:20" x14ac:dyDescent="0.3">
      <c r="A225" s="10">
        <v>45882</v>
      </c>
      <c r="B225" s="11">
        <v>13</v>
      </c>
      <c r="C225" s="11">
        <f>MONTH(Tabla1[[#This Row],[FECHA]])</f>
        <v>8</v>
      </c>
      <c r="D225" s="3">
        <v>1293656</v>
      </c>
      <c r="E225" s="11">
        <v>20</v>
      </c>
      <c r="F225" s="3">
        <v>2988800</v>
      </c>
      <c r="G225" s="11">
        <v>19</v>
      </c>
      <c r="H225" s="3">
        <v>13526802</v>
      </c>
      <c r="I225" s="11">
        <v>14</v>
      </c>
      <c r="J225" s="3">
        <v>3529800</v>
      </c>
      <c r="K225" s="11">
        <v>22</v>
      </c>
      <c r="L225" s="3">
        <v>4497500</v>
      </c>
      <c r="M225" s="11">
        <v>78</v>
      </c>
      <c r="N225" s="3">
        <v>24000</v>
      </c>
      <c r="O225" s="3">
        <f t="shared" si="22"/>
        <v>21339058</v>
      </c>
      <c r="P225" s="8">
        <f t="shared" si="23"/>
        <v>75</v>
      </c>
      <c r="Q225" s="3">
        <f t="shared" si="24"/>
        <v>25836558</v>
      </c>
      <c r="R225" s="8">
        <f t="shared" si="25"/>
        <v>153</v>
      </c>
      <c r="S225" s="9">
        <f t="shared" si="27"/>
        <v>1.04</v>
      </c>
      <c r="T225" s="4">
        <f t="shared" si="26"/>
        <v>0.17407504513565622</v>
      </c>
    </row>
    <row r="226" spans="1:20" x14ac:dyDescent="0.3">
      <c r="A226" s="10">
        <v>45883</v>
      </c>
      <c r="B226" s="11">
        <v>14</v>
      </c>
      <c r="C226" s="11">
        <f>MONTH(Tabla1[[#This Row],[FECHA]])</f>
        <v>8</v>
      </c>
      <c r="D226" s="3">
        <v>1047400</v>
      </c>
      <c r="E226" s="11">
        <v>18</v>
      </c>
      <c r="F226" s="3">
        <v>3738000</v>
      </c>
      <c r="G226" s="11">
        <v>14</v>
      </c>
      <c r="H226" s="3">
        <v>9852320</v>
      </c>
      <c r="I226" s="11">
        <v>20</v>
      </c>
      <c r="J226" s="3">
        <v>3230800</v>
      </c>
      <c r="K226" s="11">
        <v>22</v>
      </c>
      <c r="L226" s="3">
        <v>6167500</v>
      </c>
      <c r="M226" s="11">
        <v>68</v>
      </c>
      <c r="N226" s="3">
        <v>5201700</v>
      </c>
      <c r="O226" s="3">
        <f t="shared" si="22"/>
        <v>17868520</v>
      </c>
      <c r="P226" s="8">
        <f t="shared" si="23"/>
        <v>74</v>
      </c>
      <c r="Q226" s="3">
        <f t="shared" si="24"/>
        <v>24036020</v>
      </c>
      <c r="R226" s="8">
        <f t="shared" si="25"/>
        <v>142</v>
      </c>
      <c r="S226" s="9">
        <f t="shared" si="27"/>
        <v>0.91891891891891897</v>
      </c>
      <c r="T226" s="4">
        <f t="shared" si="26"/>
        <v>0.2565940617456634</v>
      </c>
    </row>
    <row r="227" spans="1:20" x14ac:dyDescent="0.3">
      <c r="A227" s="10">
        <v>45884</v>
      </c>
      <c r="B227" s="11">
        <v>15</v>
      </c>
      <c r="C227" s="11">
        <f>MONTH(Tabla1[[#This Row],[FECHA]])</f>
        <v>8</v>
      </c>
      <c r="D227" s="3">
        <v>1212700</v>
      </c>
      <c r="E227" s="11">
        <v>21</v>
      </c>
      <c r="F227" s="3">
        <v>1409600</v>
      </c>
      <c r="G227" s="11">
        <v>9</v>
      </c>
      <c r="H227" s="3">
        <v>8263100</v>
      </c>
      <c r="I227" s="11">
        <v>14</v>
      </c>
      <c r="J227" s="3">
        <v>1445300</v>
      </c>
      <c r="K227" s="11">
        <v>24</v>
      </c>
      <c r="L227" s="3">
        <v>3032700</v>
      </c>
      <c r="M227" s="11">
        <v>42</v>
      </c>
      <c r="N227" s="3">
        <v>4872150</v>
      </c>
      <c r="O227" s="3">
        <f t="shared" si="22"/>
        <v>12330700</v>
      </c>
      <c r="P227" s="8">
        <f t="shared" si="23"/>
        <v>68</v>
      </c>
      <c r="Q227" s="3">
        <f t="shared" si="24"/>
        <v>15363400</v>
      </c>
      <c r="R227" s="8">
        <f t="shared" si="25"/>
        <v>110</v>
      </c>
      <c r="S227" s="9">
        <f t="shared" si="27"/>
        <v>0.61764705882352944</v>
      </c>
      <c r="T227" s="4">
        <f t="shared" si="26"/>
        <v>0.19739771144408139</v>
      </c>
    </row>
    <row r="228" spans="1:20" x14ac:dyDescent="0.3">
      <c r="A228" s="10">
        <v>45885</v>
      </c>
      <c r="B228" s="11">
        <v>16</v>
      </c>
      <c r="C228" s="11">
        <f>MONTH(Tabla1[[#This Row],[FECHA]])</f>
        <v>8</v>
      </c>
      <c r="D228" s="3">
        <v>1983200</v>
      </c>
      <c r="E228" s="11">
        <v>23</v>
      </c>
      <c r="F228" s="3">
        <v>1249500</v>
      </c>
      <c r="G228" s="11">
        <v>17</v>
      </c>
      <c r="H228" s="3">
        <v>3872100</v>
      </c>
      <c r="I228" s="11">
        <v>20</v>
      </c>
      <c r="J228" s="3">
        <v>1744221</v>
      </c>
      <c r="K228" s="11">
        <v>24</v>
      </c>
      <c r="L228" s="3">
        <v>1624900</v>
      </c>
      <c r="M228" s="11">
        <v>67</v>
      </c>
      <c r="N228" s="3">
        <v>5101900</v>
      </c>
      <c r="O228" s="3">
        <f t="shared" si="22"/>
        <v>8849021</v>
      </c>
      <c r="P228" s="8">
        <f t="shared" si="23"/>
        <v>84</v>
      </c>
      <c r="Q228" s="3">
        <f t="shared" si="24"/>
        <v>10473921</v>
      </c>
      <c r="R228" s="8">
        <f t="shared" si="25"/>
        <v>151</v>
      </c>
      <c r="S228" s="9">
        <f t="shared" si="27"/>
        <v>0.79761904761904767</v>
      </c>
      <c r="T228" s="4">
        <f t="shared" si="26"/>
        <v>0.1551376986708225</v>
      </c>
    </row>
    <row r="229" spans="1:20" x14ac:dyDescent="0.3">
      <c r="A229" s="10">
        <v>45886</v>
      </c>
      <c r="B229" s="11">
        <v>17</v>
      </c>
      <c r="C229" s="11">
        <f>MONTH(Tabla1[[#This Row],[FECHA]])</f>
        <v>8</v>
      </c>
      <c r="D229" s="3">
        <v>1700100</v>
      </c>
      <c r="E229" s="11">
        <v>14</v>
      </c>
      <c r="F229" s="3">
        <v>3806500</v>
      </c>
      <c r="G229" s="11">
        <v>27</v>
      </c>
      <c r="H229" s="3">
        <v>2687400</v>
      </c>
      <c r="I229" s="11">
        <v>11</v>
      </c>
      <c r="J229" s="3">
        <v>940400</v>
      </c>
      <c r="K229" s="11">
        <v>9</v>
      </c>
      <c r="L229" s="3">
        <v>1725500</v>
      </c>
      <c r="M229" s="11">
        <v>32</v>
      </c>
      <c r="N229" s="3">
        <v>160300</v>
      </c>
      <c r="O229" s="3">
        <f t="shared" si="22"/>
        <v>9134400</v>
      </c>
      <c r="P229" s="8">
        <f t="shared" si="23"/>
        <v>61</v>
      </c>
      <c r="Q229" s="3">
        <f t="shared" si="24"/>
        <v>10859900</v>
      </c>
      <c r="R229" s="8">
        <f t="shared" si="25"/>
        <v>93</v>
      </c>
      <c r="S229" s="9">
        <f t="shared" si="27"/>
        <v>0.52459016393442626</v>
      </c>
      <c r="T229" s="4">
        <f t="shared" si="26"/>
        <v>0.15888728257166274</v>
      </c>
    </row>
    <row r="230" spans="1:20" x14ac:dyDescent="0.3">
      <c r="A230" s="10">
        <v>45887</v>
      </c>
      <c r="B230" s="11">
        <v>18</v>
      </c>
      <c r="C230" s="11">
        <f>MONTH(Tabla1[[#This Row],[FECHA]])</f>
        <v>8</v>
      </c>
      <c r="D230" s="3">
        <v>0</v>
      </c>
      <c r="E230" s="11">
        <v>0</v>
      </c>
      <c r="F230" s="3">
        <v>0</v>
      </c>
      <c r="G230" s="11">
        <v>0</v>
      </c>
      <c r="H230" s="3">
        <v>0</v>
      </c>
      <c r="I230" s="11">
        <v>0</v>
      </c>
      <c r="J230" s="3">
        <v>0</v>
      </c>
      <c r="K230" s="11">
        <v>0</v>
      </c>
      <c r="L230" s="3">
        <v>0</v>
      </c>
      <c r="M230" s="11">
        <v>0</v>
      </c>
      <c r="N230" s="3">
        <v>0</v>
      </c>
      <c r="O230" s="3">
        <f t="shared" si="22"/>
        <v>0</v>
      </c>
      <c r="P230" s="8">
        <f t="shared" si="23"/>
        <v>0</v>
      </c>
      <c r="Q230" s="3">
        <f t="shared" si="24"/>
        <v>0</v>
      </c>
      <c r="R230" s="8">
        <f t="shared" si="25"/>
        <v>0</v>
      </c>
      <c r="S230" s="9">
        <v>0</v>
      </c>
      <c r="T230" s="4">
        <f t="shared" si="26"/>
        <v>0</v>
      </c>
    </row>
    <row r="231" spans="1:20" x14ac:dyDescent="0.3">
      <c r="A231" s="10">
        <v>45888</v>
      </c>
      <c r="B231" s="11">
        <v>19</v>
      </c>
      <c r="C231" s="11">
        <f>MONTH(Tabla1[[#This Row],[FECHA]])</f>
        <v>8</v>
      </c>
      <c r="D231" s="3">
        <v>3386700</v>
      </c>
      <c r="E231" s="11">
        <v>53</v>
      </c>
      <c r="F231" s="3">
        <v>3272200</v>
      </c>
      <c r="G231" s="11">
        <v>16</v>
      </c>
      <c r="H231" s="3">
        <v>13357358</v>
      </c>
      <c r="I231" s="11">
        <v>27</v>
      </c>
      <c r="J231" s="3">
        <v>3127800</v>
      </c>
      <c r="K231" s="11">
        <v>36</v>
      </c>
      <c r="L231" s="3">
        <v>10897700</v>
      </c>
      <c r="M231" s="11">
        <v>74</v>
      </c>
      <c r="N231" s="3">
        <v>2689800</v>
      </c>
      <c r="O231" s="3">
        <f t="shared" si="22"/>
        <v>23144058</v>
      </c>
      <c r="P231" s="8">
        <f t="shared" si="23"/>
        <v>132</v>
      </c>
      <c r="Q231" s="3">
        <f t="shared" si="24"/>
        <v>34041758</v>
      </c>
      <c r="R231" s="8">
        <f t="shared" si="25"/>
        <v>206</v>
      </c>
      <c r="S231" s="9">
        <f t="shared" ref="S231:S262" si="28">M231/P231</f>
        <v>0.56060606060606055</v>
      </c>
      <c r="T231" s="4">
        <f t="shared" si="26"/>
        <v>0.3201274152762616</v>
      </c>
    </row>
    <row r="232" spans="1:20" x14ac:dyDescent="0.3">
      <c r="A232" s="10">
        <v>45889</v>
      </c>
      <c r="B232" s="11">
        <v>20</v>
      </c>
      <c r="C232" s="11">
        <f>MONTH(Tabla1[[#This Row],[FECHA]])</f>
        <v>8</v>
      </c>
      <c r="D232" s="3">
        <v>1156500</v>
      </c>
      <c r="E232" s="11">
        <v>9</v>
      </c>
      <c r="F232" s="3">
        <v>3638950</v>
      </c>
      <c r="G232" s="11">
        <v>22</v>
      </c>
      <c r="H232" s="3">
        <v>12005923</v>
      </c>
      <c r="I232" s="11">
        <v>24</v>
      </c>
      <c r="J232" s="3">
        <v>2283800</v>
      </c>
      <c r="K232" s="11">
        <v>32</v>
      </c>
      <c r="L232" s="3">
        <v>6666550</v>
      </c>
      <c r="M232" s="11">
        <v>59</v>
      </c>
      <c r="N232" s="3">
        <v>5292500</v>
      </c>
      <c r="O232" s="3">
        <f t="shared" si="22"/>
        <v>19085173</v>
      </c>
      <c r="P232" s="8">
        <f t="shared" si="23"/>
        <v>87</v>
      </c>
      <c r="Q232" s="3">
        <f t="shared" si="24"/>
        <v>25751723</v>
      </c>
      <c r="R232" s="8">
        <f t="shared" si="25"/>
        <v>146</v>
      </c>
      <c r="S232" s="9">
        <f t="shared" si="28"/>
        <v>0.67816091954022983</v>
      </c>
      <c r="T232" s="4">
        <f t="shared" si="26"/>
        <v>0.25887782343728999</v>
      </c>
    </row>
    <row r="233" spans="1:20" x14ac:dyDescent="0.3">
      <c r="A233" s="10">
        <v>45890</v>
      </c>
      <c r="B233" s="11">
        <v>21</v>
      </c>
      <c r="C233" s="11">
        <f>MONTH(Tabla1[[#This Row],[FECHA]])</f>
        <v>8</v>
      </c>
      <c r="D233" s="3">
        <v>831300</v>
      </c>
      <c r="E233" s="11">
        <v>17</v>
      </c>
      <c r="F233" s="3">
        <v>2414200</v>
      </c>
      <c r="G233" s="11">
        <v>14</v>
      </c>
      <c r="H233" s="3">
        <v>7191519</v>
      </c>
      <c r="I233" s="11">
        <v>18</v>
      </c>
      <c r="J233" s="3">
        <v>3159200</v>
      </c>
      <c r="K233" s="11">
        <v>30</v>
      </c>
      <c r="L233" s="3">
        <v>3062100</v>
      </c>
      <c r="M233" s="11">
        <v>44</v>
      </c>
      <c r="N233" s="3">
        <v>4471500</v>
      </c>
      <c r="O233" s="3">
        <f t="shared" si="22"/>
        <v>13596219</v>
      </c>
      <c r="P233" s="8">
        <f t="shared" si="23"/>
        <v>79</v>
      </c>
      <c r="Q233" s="3">
        <f t="shared" si="24"/>
        <v>16658319</v>
      </c>
      <c r="R233" s="8">
        <f t="shared" si="25"/>
        <v>123</v>
      </c>
      <c r="S233" s="9">
        <f t="shared" si="28"/>
        <v>0.55696202531645567</v>
      </c>
      <c r="T233" s="4">
        <f t="shared" si="26"/>
        <v>0.18381806711709628</v>
      </c>
    </row>
    <row r="234" spans="1:20" x14ac:dyDescent="0.3">
      <c r="A234" s="10">
        <v>45891</v>
      </c>
      <c r="B234" s="11">
        <v>22</v>
      </c>
      <c r="C234" s="11">
        <f>MONTH(Tabla1[[#This Row],[FECHA]])</f>
        <v>8</v>
      </c>
      <c r="D234" s="3">
        <v>1849300</v>
      </c>
      <c r="E234" s="11">
        <v>24</v>
      </c>
      <c r="F234" s="3">
        <v>17225600</v>
      </c>
      <c r="G234" s="11">
        <v>21</v>
      </c>
      <c r="H234" s="3">
        <v>4132900</v>
      </c>
      <c r="I234" s="11">
        <v>15</v>
      </c>
      <c r="J234" s="3">
        <v>4963760</v>
      </c>
      <c r="K234" s="11">
        <v>26</v>
      </c>
      <c r="L234" s="3">
        <v>2822100</v>
      </c>
      <c r="M234" s="11">
        <v>58</v>
      </c>
      <c r="N234" s="3">
        <v>4124000</v>
      </c>
      <c r="O234" s="3">
        <f t="shared" si="22"/>
        <v>28171560</v>
      </c>
      <c r="P234" s="8">
        <f t="shared" si="23"/>
        <v>86</v>
      </c>
      <c r="Q234" s="3">
        <f t="shared" si="24"/>
        <v>30993660</v>
      </c>
      <c r="R234" s="8">
        <f t="shared" si="25"/>
        <v>144</v>
      </c>
      <c r="S234" s="9">
        <f t="shared" si="28"/>
        <v>0.67441860465116277</v>
      </c>
      <c r="T234" s="4">
        <f t="shared" si="26"/>
        <v>9.1054105904239777E-2</v>
      </c>
    </row>
    <row r="235" spans="1:20" x14ac:dyDescent="0.3">
      <c r="A235" s="10">
        <v>45892</v>
      </c>
      <c r="B235" s="11">
        <v>23</v>
      </c>
      <c r="C235" s="11">
        <f>MONTH(Tabla1[[#This Row],[FECHA]])</f>
        <v>8</v>
      </c>
      <c r="D235" s="3">
        <v>1695200</v>
      </c>
      <c r="E235" s="11">
        <v>24</v>
      </c>
      <c r="F235" s="3">
        <v>3288900</v>
      </c>
      <c r="G235" s="11">
        <v>28</v>
      </c>
      <c r="H235" s="3">
        <v>4160500</v>
      </c>
      <c r="I235" s="11">
        <v>17</v>
      </c>
      <c r="J235" s="3">
        <v>13281600</v>
      </c>
      <c r="K235" s="11">
        <v>35</v>
      </c>
      <c r="L235" s="3">
        <v>3516900</v>
      </c>
      <c r="M235" s="11">
        <v>56</v>
      </c>
      <c r="N235" s="3">
        <v>5215300</v>
      </c>
      <c r="O235" s="3">
        <f t="shared" si="22"/>
        <v>22426200</v>
      </c>
      <c r="P235" s="8">
        <f t="shared" si="23"/>
        <v>104</v>
      </c>
      <c r="Q235" s="3">
        <f t="shared" si="24"/>
        <v>25943100</v>
      </c>
      <c r="R235" s="8">
        <f t="shared" si="25"/>
        <v>160</v>
      </c>
      <c r="S235" s="9">
        <f t="shared" si="28"/>
        <v>0.53846153846153844</v>
      </c>
      <c r="T235" s="4">
        <f t="shared" si="26"/>
        <v>0.13556205696312315</v>
      </c>
    </row>
    <row r="236" spans="1:20" x14ac:dyDescent="0.3">
      <c r="A236" s="10">
        <v>45893</v>
      </c>
      <c r="B236" s="11">
        <v>24</v>
      </c>
      <c r="C236" s="11">
        <f>MONTH(Tabla1[[#This Row],[FECHA]])</f>
        <v>8</v>
      </c>
      <c r="D236" s="3">
        <v>1405300</v>
      </c>
      <c r="E236" s="11">
        <v>12</v>
      </c>
      <c r="F236" s="3">
        <v>2813736</v>
      </c>
      <c r="G236" s="11">
        <v>20</v>
      </c>
      <c r="H236" s="3">
        <v>282400</v>
      </c>
      <c r="I236" s="11">
        <v>4</v>
      </c>
      <c r="J236" s="3">
        <v>2415500</v>
      </c>
      <c r="K236" s="11">
        <v>12</v>
      </c>
      <c r="L236" s="3">
        <v>2003900</v>
      </c>
      <c r="M236" s="11">
        <v>39</v>
      </c>
      <c r="N236" s="3">
        <v>342400</v>
      </c>
      <c r="O236" s="3">
        <f t="shared" si="22"/>
        <v>6916936</v>
      </c>
      <c r="P236" s="8">
        <f t="shared" si="23"/>
        <v>48</v>
      </c>
      <c r="Q236" s="3">
        <f t="shared" si="24"/>
        <v>8920836</v>
      </c>
      <c r="R236" s="8">
        <f t="shared" si="25"/>
        <v>87</v>
      </c>
      <c r="S236" s="9">
        <f t="shared" si="28"/>
        <v>0.8125</v>
      </c>
      <c r="T236" s="4">
        <f t="shared" si="26"/>
        <v>0.2246314134684238</v>
      </c>
    </row>
    <row r="237" spans="1:20" x14ac:dyDescent="0.3">
      <c r="A237" s="10">
        <v>45894</v>
      </c>
      <c r="B237" s="11">
        <v>25</v>
      </c>
      <c r="C237" s="11">
        <f>MONTH(Tabla1[[#This Row],[FECHA]])</f>
        <v>8</v>
      </c>
      <c r="D237" s="3">
        <v>959200</v>
      </c>
      <c r="E237" s="11">
        <v>22</v>
      </c>
      <c r="F237" s="3">
        <v>2655100</v>
      </c>
      <c r="G237" s="11">
        <v>14</v>
      </c>
      <c r="H237" s="3">
        <v>4833931</v>
      </c>
      <c r="I237" s="11">
        <v>16</v>
      </c>
      <c r="J237" s="3">
        <v>2927360</v>
      </c>
      <c r="K237" s="11">
        <v>41</v>
      </c>
      <c r="L237" s="3">
        <v>5947300</v>
      </c>
      <c r="M237" s="11">
        <v>57</v>
      </c>
      <c r="N237" s="3">
        <v>871100</v>
      </c>
      <c r="O237" s="3">
        <f t="shared" si="22"/>
        <v>11375591</v>
      </c>
      <c r="P237" s="8">
        <f t="shared" si="23"/>
        <v>93</v>
      </c>
      <c r="Q237" s="3">
        <f t="shared" si="24"/>
        <v>17322891</v>
      </c>
      <c r="R237" s="8">
        <f t="shared" si="25"/>
        <v>150</v>
      </c>
      <c r="S237" s="9">
        <f t="shared" si="28"/>
        <v>0.61290322580645162</v>
      </c>
      <c r="T237" s="4">
        <f t="shared" si="26"/>
        <v>0.34332029220757665</v>
      </c>
    </row>
    <row r="238" spans="1:20" x14ac:dyDescent="0.3">
      <c r="A238" s="10">
        <v>45895</v>
      </c>
      <c r="B238" s="11">
        <v>26</v>
      </c>
      <c r="C238" s="11">
        <f>MONTH(Tabla1[[#This Row],[FECHA]])</f>
        <v>8</v>
      </c>
      <c r="D238" s="3">
        <v>2639800</v>
      </c>
      <c r="E238" s="11">
        <v>42</v>
      </c>
      <c r="F238" s="3">
        <v>10589800</v>
      </c>
      <c r="G238" s="11">
        <v>13</v>
      </c>
      <c r="H238" s="3">
        <v>9558500</v>
      </c>
      <c r="I238" s="11">
        <v>24</v>
      </c>
      <c r="J238" s="3">
        <v>2333789</v>
      </c>
      <c r="K238" s="11">
        <v>22</v>
      </c>
      <c r="L238" s="3">
        <v>8295150</v>
      </c>
      <c r="M238" s="11">
        <v>60</v>
      </c>
      <c r="N238" s="3">
        <v>930400</v>
      </c>
      <c r="O238" s="3">
        <f t="shared" si="22"/>
        <v>25121889</v>
      </c>
      <c r="P238" s="8">
        <f t="shared" si="23"/>
        <v>101</v>
      </c>
      <c r="Q238" s="3">
        <f t="shared" si="24"/>
        <v>33417039</v>
      </c>
      <c r="R238" s="8">
        <f t="shared" si="25"/>
        <v>161</v>
      </c>
      <c r="S238" s="9">
        <f t="shared" si="28"/>
        <v>0.59405940594059403</v>
      </c>
      <c r="T238" s="4">
        <f t="shared" si="26"/>
        <v>0.24823114938459986</v>
      </c>
    </row>
    <row r="239" spans="1:20" x14ac:dyDescent="0.3">
      <c r="A239" s="10">
        <v>45896</v>
      </c>
      <c r="B239" s="11">
        <v>27</v>
      </c>
      <c r="C239" s="11">
        <f>MONTH(Tabla1[[#This Row],[FECHA]])</f>
        <v>8</v>
      </c>
      <c r="D239" s="3">
        <v>1155700</v>
      </c>
      <c r="E239" s="11">
        <v>20</v>
      </c>
      <c r="F239" s="3">
        <v>3390600</v>
      </c>
      <c r="G239" s="11">
        <v>20</v>
      </c>
      <c r="H239" s="3">
        <v>26896134</v>
      </c>
      <c r="I239" s="11">
        <v>16</v>
      </c>
      <c r="J239" s="3">
        <v>2409000</v>
      </c>
      <c r="K239" s="11">
        <v>32</v>
      </c>
      <c r="L239" s="3">
        <v>3994000</v>
      </c>
      <c r="M239" s="11">
        <v>62</v>
      </c>
      <c r="N239" s="3">
        <v>1398500</v>
      </c>
      <c r="O239" s="3">
        <f t="shared" si="22"/>
        <v>33851434</v>
      </c>
      <c r="P239" s="8">
        <f t="shared" si="23"/>
        <v>88</v>
      </c>
      <c r="Q239" s="3">
        <f t="shared" si="24"/>
        <v>37845434</v>
      </c>
      <c r="R239" s="8">
        <f t="shared" si="25"/>
        <v>150</v>
      </c>
      <c r="S239" s="9">
        <f t="shared" si="28"/>
        <v>0.70454545454545459</v>
      </c>
      <c r="T239" s="4">
        <f t="shared" si="26"/>
        <v>0.10553452762623887</v>
      </c>
    </row>
    <row r="240" spans="1:20" x14ac:dyDescent="0.3">
      <c r="A240" s="10">
        <v>45897</v>
      </c>
      <c r="B240" s="11">
        <v>28</v>
      </c>
      <c r="C240" s="11">
        <f>MONTH(Tabla1[[#This Row],[FECHA]])</f>
        <v>8</v>
      </c>
      <c r="D240" s="3">
        <v>1206100</v>
      </c>
      <c r="E240" s="11">
        <v>22</v>
      </c>
      <c r="F240" s="3">
        <v>2504433</v>
      </c>
      <c r="G240" s="11">
        <v>14</v>
      </c>
      <c r="H240" s="3">
        <v>9323800</v>
      </c>
      <c r="I240" s="11">
        <v>24</v>
      </c>
      <c r="J240" s="3">
        <v>3749200</v>
      </c>
      <c r="K240" s="11">
        <v>27</v>
      </c>
      <c r="L240" s="3">
        <v>4852600</v>
      </c>
      <c r="M240" s="11">
        <v>54</v>
      </c>
      <c r="N240" s="3">
        <v>3881250</v>
      </c>
      <c r="O240" s="3">
        <f t="shared" si="22"/>
        <v>16783533</v>
      </c>
      <c r="P240" s="8">
        <f t="shared" si="23"/>
        <v>87</v>
      </c>
      <c r="Q240" s="3">
        <f t="shared" si="24"/>
        <v>21636133</v>
      </c>
      <c r="R240" s="8">
        <f t="shared" si="25"/>
        <v>141</v>
      </c>
      <c r="S240" s="9">
        <f t="shared" si="28"/>
        <v>0.62068965517241381</v>
      </c>
      <c r="T240" s="4">
        <f t="shared" si="26"/>
        <v>0.22428222270587816</v>
      </c>
    </row>
    <row r="241" spans="1:20" x14ac:dyDescent="0.3">
      <c r="A241" s="10">
        <v>45898</v>
      </c>
      <c r="B241" s="11">
        <v>29</v>
      </c>
      <c r="C241" s="11">
        <f>MONTH(Tabla1[[#This Row],[FECHA]])</f>
        <v>8</v>
      </c>
      <c r="D241" s="3">
        <v>2043700</v>
      </c>
      <c r="E241" s="11">
        <v>22</v>
      </c>
      <c r="F241" s="3">
        <v>1905500</v>
      </c>
      <c r="G241" s="11">
        <v>17</v>
      </c>
      <c r="H241" s="3">
        <v>1995000</v>
      </c>
      <c r="I241" s="11">
        <v>12</v>
      </c>
      <c r="J241" s="3">
        <v>4374200</v>
      </c>
      <c r="K241" s="11">
        <v>22</v>
      </c>
      <c r="L241" s="3">
        <v>1944600</v>
      </c>
      <c r="M241" s="11">
        <v>47</v>
      </c>
      <c r="N241" s="3">
        <v>1914800</v>
      </c>
      <c r="O241" s="3">
        <f t="shared" si="22"/>
        <v>10318400</v>
      </c>
      <c r="P241" s="8">
        <f t="shared" si="23"/>
        <v>73</v>
      </c>
      <c r="Q241" s="3">
        <f t="shared" si="24"/>
        <v>12263000</v>
      </c>
      <c r="R241" s="8">
        <f t="shared" si="25"/>
        <v>120</v>
      </c>
      <c r="S241" s="9">
        <f t="shared" si="28"/>
        <v>0.64383561643835618</v>
      </c>
      <c r="T241" s="4">
        <f t="shared" si="26"/>
        <v>0.15857457392155264</v>
      </c>
    </row>
    <row r="242" spans="1:20" x14ac:dyDescent="0.3">
      <c r="A242" s="10">
        <v>45899</v>
      </c>
      <c r="B242" s="11">
        <v>30</v>
      </c>
      <c r="C242" s="11">
        <f>MONTH(Tabla1[[#This Row],[FECHA]])</f>
        <v>8</v>
      </c>
      <c r="D242" s="3">
        <v>1750200</v>
      </c>
      <c r="E242" s="11">
        <v>26</v>
      </c>
      <c r="F242" s="3">
        <v>3649700</v>
      </c>
      <c r="G242" s="11">
        <v>29</v>
      </c>
      <c r="H242" s="3">
        <v>8120200</v>
      </c>
      <c r="I242" s="11">
        <v>19</v>
      </c>
      <c r="J242" s="3">
        <v>23662200</v>
      </c>
      <c r="K242" s="11">
        <v>32</v>
      </c>
      <c r="L242" s="3">
        <v>4660700</v>
      </c>
      <c r="M242" s="11">
        <v>63</v>
      </c>
      <c r="N242" s="3">
        <v>4426000</v>
      </c>
      <c r="O242" s="3">
        <f t="shared" si="22"/>
        <v>37182300</v>
      </c>
      <c r="P242" s="8">
        <f t="shared" si="23"/>
        <v>106</v>
      </c>
      <c r="Q242" s="3">
        <f t="shared" si="24"/>
        <v>41843000</v>
      </c>
      <c r="R242" s="8">
        <f t="shared" si="25"/>
        <v>169</v>
      </c>
      <c r="S242" s="9">
        <f t="shared" si="28"/>
        <v>0.59433962264150941</v>
      </c>
      <c r="T242" s="4">
        <f t="shared" si="26"/>
        <v>0.11138541691561313</v>
      </c>
    </row>
    <row r="243" spans="1:20" x14ac:dyDescent="0.3">
      <c r="A243" s="10">
        <v>45900</v>
      </c>
      <c r="B243" s="11">
        <v>31</v>
      </c>
      <c r="C243" s="11">
        <f>MONTH(Tabla1[[#This Row],[FECHA]])</f>
        <v>8</v>
      </c>
      <c r="D243" s="3">
        <v>789600</v>
      </c>
      <c r="E243" s="11">
        <v>16</v>
      </c>
      <c r="F243" s="3">
        <v>1598900</v>
      </c>
      <c r="G243" s="11">
        <v>8</v>
      </c>
      <c r="H243" s="3">
        <v>5298400</v>
      </c>
      <c r="I243" s="11">
        <v>8</v>
      </c>
      <c r="J243" s="3">
        <v>1143100</v>
      </c>
      <c r="K243" s="11">
        <v>21</v>
      </c>
      <c r="L243" s="3">
        <v>1604000</v>
      </c>
      <c r="M243" s="11">
        <v>21</v>
      </c>
      <c r="N243" s="3">
        <v>154000</v>
      </c>
      <c r="O243" s="3">
        <f t="shared" si="22"/>
        <v>8830000</v>
      </c>
      <c r="P243" s="8">
        <f t="shared" si="23"/>
        <v>53</v>
      </c>
      <c r="Q243" s="3">
        <f t="shared" si="24"/>
        <v>10434000</v>
      </c>
      <c r="R243" s="8">
        <f t="shared" si="25"/>
        <v>74</v>
      </c>
      <c r="S243" s="9">
        <f t="shared" si="28"/>
        <v>0.39622641509433965</v>
      </c>
      <c r="T243" s="4">
        <f t="shared" si="26"/>
        <v>0.15372819628138776</v>
      </c>
    </row>
    <row r="244" spans="1:20" x14ac:dyDescent="0.3">
      <c r="A244" s="10">
        <v>45901</v>
      </c>
      <c r="B244" s="11">
        <v>1</v>
      </c>
      <c r="C244" s="11">
        <f>MONTH(Tabla1[[#This Row],[FECHA]])</f>
        <v>9</v>
      </c>
      <c r="D244" s="3">
        <v>856900</v>
      </c>
      <c r="E244" s="11">
        <v>18</v>
      </c>
      <c r="F244" s="3">
        <v>3990100</v>
      </c>
      <c r="G244" s="11">
        <v>14</v>
      </c>
      <c r="H244" s="3">
        <v>6440300</v>
      </c>
      <c r="I244" s="11">
        <v>17</v>
      </c>
      <c r="J244" s="3">
        <v>3211550</v>
      </c>
      <c r="K244" s="11">
        <v>28</v>
      </c>
      <c r="L244" s="3">
        <v>4804350</v>
      </c>
      <c r="M244" s="11">
        <v>49</v>
      </c>
      <c r="N244" s="3">
        <v>3696700</v>
      </c>
      <c r="O244" s="3">
        <f t="shared" si="22"/>
        <v>14498850</v>
      </c>
      <c r="P244" s="8">
        <f t="shared" si="23"/>
        <v>77</v>
      </c>
      <c r="Q244" s="3">
        <f t="shared" si="24"/>
        <v>19303200</v>
      </c>
      <c r="R244" s="8">
        <f t="shared" si="25"/>
        <v>126</v>
      </c>
      <c r="S244" s="9">
        <f t="shared" si="28"/>
        <v>0.63636363636363635</v>
      </c>
      <c r="T244" s="4">
        <f t="shared" si="26"/>
        <v>0.2488887852791247</v>
      </c>
    </row>
    <row r="245" spans="1:20" x14ac:dyDescent="0.3">
      <c r="A245" s="10">
        <v>45902</v>
      </c>
      <c r="B245" s="11">
        <v>2</v>
      </c>
      <c r="C245" s="11">
        <f>MONTH(Tabla1[[#This Row],[FECHA]])</f>
        <v>9</v>
      </c>
      <c r="D245" s="3">
        <v>1446300</v>
      </c>
      <c r="E245" s="11">
        <v>26</v>
      </c>
      <c r="F245" s="3">
        <v>4820200</v>
      </c>
      <c r="G245" s="11">
        <v>15</v>
      </c>
      <c r="H245" s="3">
        <v>9172911</v>
      </c>
      <c r="I245" s="11">
        <v>24</v>
      </c>
      <c r="J245" s="3">
        <v>1659400</v>
      </c>
      <c r="K245" s="11">
        <v>17</v>
      </c>
      <c r="L245" s="3">
        <v>7142800</v>
      </c>
      <c r="M245" s="11">
        <v>66</v>
      </c>
      <c r="N245" s="3">
        <v>3272800</v>
      </c>
      <c r="O245" s="3">
        <f t="shared" si="22"/>
        <v>17098811</v>
      </c>
      <c r="P245" s="8">
        <f t="shared" si="23"/>
        <v>82</v>
      </c>
      <c r="Q245" s="3">
        <f t="shared" si="24"/>
        <v>24241611</v>
      </c>
      <c r="R245" s="8">
        <f t="shared" si="25"/>
        <v>148</v>
      </c>
      <c r="S245" s="9">
        <f t="shared" si="28"/>
        <v>0.80487804878048785</v>
      </c>
      <c r="T245" s="4">
        <f t="shared" si="26"/>
        <v>0.29465038441545821</v>
      </c>
    </row>
    <row r="246" spans="1:20" x14ac:dyDescent="0.3">
      <c r="A246" s="10">
        <v>45903</v>
      </c>
      <c r="B246" s="11">
        <v>3</v>
      </c>
      <c r="C246" s="11">
        <f>MONTH(Tabla1[[#This Row],[FECHA]])</f>
        <v>9</v>
      </c>
      <c r="D246" s="3">
        <v>932600</v>
      </c>
      <c r="E246" s="11">
        <v>19</v>
      </c>
      <c r="F246" s="3">
        <v>3706000</v>
      </c>
      <c r="G246" s="11">
        <v>19</v>
      </c>
      <c r="H246" s="3">
        <v>7150159</v>
      </c>
      <c r="I246" s="11">
        <v>22</v>
      </c>
      <c r="J246" s="3">
        <v>5344838</v>
      </c>
      <c r="K246" s="11">
        <v>33</v>
      </c>
      <c r="L246" s="3">
        <v>1795000</v>
      </c>
      <c r="M246" s="11">
        <v>56</v>
      </c>
      <c r="N246" s="3">
        <v>5085100</v>
      </c>
      <c r="O246" s="3">
        <f t="shared" si="22"/>
        <v>17133597</v>
      </c>
      <c r="P246" s="8">
        <f t="shared" si="23"/>
        <v>93</v>
      </c>
      <c r="Q246" s="3">
        <f t="shared" si="24"/>
        <v>18928597</v>
      </c>
      <c r="R246" s="8">
        <f t="shared" si="25"/>
        <v>149</v>
      </c>
      <c r="S246" s="9">
        <f t="shared" si="28"/>
        <v>0.60215053763440862</v>
      </c>
      <c r="T246" s="4">
        <f t="shared" si="26"/>
        <v>9.4830060569201194E-2</v>
      </c>
    </row>
    <row r="247" spans="1:20" x14ac:dyDescent="0.3">
      <c r="A247" s="10">
        <v>45904</v>
      </c>
      <c r="B247" s="11">
        <v>4</v>
      </c>
      <c r="C247" s="11">
        <f>MONTH(Tabla1[[#This Row],[FECHA]])</f>
        <v>9</v>
      </c>
      <c r="D247" s="3">
        <v>1227700</v>
      </c>
      <c r="E247" s="11">
        <v>21</v>
      </c>
      <c r="F247" s="3">
        <v>2602200</v>
      </c>
      <c r="G247" s="11">
        <v>15</v>
      </c>
      <c r="H247" s="3">
        <v>7511450</v>
      </c>
      <c r="I247" s="11">
        <v>23</v>
      </c>
      <c r="J247" s="3">
        <v>1862300</v>
      </c>
      <c r="K247" s="11">
        <v>26</v>
      </c>
      <c r="L247" s="3">
        <v>6933550</v>
      </c>
      <c r="M247" s="11">
        <v>65</v>
      </c>
      <c r="N247" s="3">
        <v>2135000</v>
      </c>
      <c r="O247" s="3">
        <f t="shared" si="22"/>
        <v>13203650</v>
      </c>
      <c r="P247" s="8">
        <f t="shared" si="23"/>
        <v>85</v>
      </c>
      <c r="Q247" s="3">
        <f t="shared" si="24"/>
        <v>20137200</v>
      </c>
      <c r="R247" s="8">
        <f t="shared" si="25"/>
        <v>150</v>
      </c>
      <c r="S247" s="9">
        <f t="shared" si="28"/>
        <v>0.76470588235294112</v>
      </c>
      <c r="T247" s="4">
        <f t="shared" si="26"/>
        <v>0.34431549569950143</v>
      </c>
    </row>
    <row r="248" spans="1:20" x14ac:dyDescent="0.3">
      <c r="A248" s="10">
        <v>45905</v>
      </c>
      <c r="B248" s="11">
        <v>5</v>
      </c>
      <c r="C248" s="11">
        <f>MONTH(Tabla1[[#This Row],[FECHA]])</f>
        <v>9</v>
      </c>
      <c r="D248" s="3">
        <v>1003700</v>
      </c>
      <c r="E248" s="11">
        <v>16</v>
      </c>
      <c r="F248" s="3">
        <v>3992100</v>
      </c>
      <c r="G248" s="11">
        <v>26</v>
      </c>
      <c r="H248" s="3">
        <v>8259800</v>
      </c>
      <c r="I248" s="11">
        <v>18</v>
      </c>
      <c r="J248" s="3">
        <v>1956100</v>
      </c>
      <c r="K248" s="11">
        <v>18</v>
      </c>
      <c r="L248" s="3">
        <v>7033300</v>
      </c>
      <c r="M248" s="11">
        <v>75</v>
      </c>
      <c r="N248" s="3">
        <v>3668500</v>
      </c>
      <c r="O248" s="3">
        <f t="shared" si="22"/>
        <v>15211700</v>
      </c>
      <c r="P248" s="8">
        <f t="shared" si="23"/>
        <v>78</v>
      </c>
      <c r="Q248" s="3">
        <f t="shared" si="24"/>
        <v>22245000</v>
      </c>
      <c r="R248" s="8">
        <f t="shared" si="25"/>
        <v>153</v>
      </c>
      <c r="S248" s="9">
        <f t="shared" si="28"/>
        <v>0.96153846153846156</v>
      </c>
      <c r="T248" s="4">
        <f t="shared" si="26"/>
        <v>0.31617442121825129</v>
      </c>
    </row>
    <row r="249" spans="1:20" x14ac:dyDescent="0.3">
      <c r="A249" s="10">
        <v>45906</v>
      </c>
      <c r="B249" s="11">
        <v>6</v>
      </c>
      <c r="C249" s="11">
        <f>MONTH(Tabla1[[#This Row],[FECHA]])</f>
        <v>9</v>
      </c>
      <c r="D249" s="3">
        <v>1889806</v>
      </c>
      <c r="E249" s="11">
        <v>34</v>
      </c>
      <c r="F249" s="3">
        <v>7649700</v>
      </c>
      <c r="G249" s="11">
        <v>24</v>
      </c>
      <c r="H249" s="3">
        <v>3634900</v>
      </c>
      <c r="I249" s="11">
        <v>16</v>
      </c>
      <c r="J249" s="3">
        <v>7710600</v>
      </c>
      <c r="K249" s="11">
        <v>29</v>
      </c>
      <c r="L249" s="3">
        <v>3550900</v>
      </c>
      <c r="M249" s="11">
        <v>71</v>
      </c>
      <c r="N249" s="3">
        <v>4200000</v>
      </c>
      <c r="O249" s="3">
        <f t="shared" si="22"/>
        <v>20885006</v>
      </c>
      <c r="P249" s="8">
        <f t="shared" si="23"/>
        <v>103</v>
      </c>
      <c r="Q249" s="3">
        <f t="shared" si="24"/>
        <v>24435906</v>
      </c>
      <c r="R249" s="8">
        <f t="shared" si="25"/>
        <v>174</v>
      </c>
      <c r="S249" s="9">
        <f t="shared" si="28"/>
        <v>0.68932038834951459</v>
      </c>
      <c r="T249" s="4">
        <f t="shared" si="26"/>
        <v>0.14531484938598144</v>
      </c>
    </row>
    <row r="250" spans="1:20" x14ac:dyDescent="0.3">
      <c r="A250" s="10">
        <v>45907</v>
      </c>
      <c r="B250" s="11">
        <v>7</v>
      </c>
      <c r="C250" s="11">
        <f>MONTH(Tabla1[[#This Row],[FECHA]])</f>
        <v>9</v>
      </c>
      <c r="D250" s="3">
        <v>588200</v>
      </c>
      <c r="E250" s="11">
        <v>12</v>
      </c>
      <c r="F250" s="3">
        <v>1121700</v>
      </c>
      <c r="G250" s="11">
        <v>8</v>
      </c>
      <c r="H250" s="3">
        <v>645300</v>
      </c>
      <c r="I250" s="11">
        <v>7</v>
      </c>
      <c r="J250" s="3">
        <v>3754700</v>
      </c>
      <c r="K250" s="11">
        <v>11</v>
      </c>
      <c r="L250" s="3">
        <v>2770850</v>
      </c>
      <c r="M250" s="11">
        <v>56</v>
      </c>
      <c r="N250" s="3">
        <v>369800</v>
      </c>
      <c r="O250" s="3">
        <f t="shared" si="22"/>
        <v>6109900</v>
      </c>
      <c r="P250" s="8">
        <f t="shared" si="23"/>
        <v>38</v>
      </c>
      <c r="Q250" s="3">
        <f t="shared" si="24"/>
        <v>8880750</v>
      </c>
      <c r="R250" s="8">
        <f t="shared" si="25"/>
        <v>94</v>
      </c>
      <c r="S250" s="9">
        <f t="shared" si="28"/>
        <v>1.4736842105263157</v>
      </c>
      <c r="T250" s="4">
        <f t="shared" si="26"/>
        <v>0.31200630577372407</v>
      </c>
    </row>
    <row r="251" spans="1:20" x14ac:dyDescent="0.3">
      <c r="A251" s="10">
        <v>45908</v>
      </c>
      <c r="B251" s="11">
        <v>8</v>
      </c>
      <c r="C251" s="11">
        <f>MONTH(Tabla1[[#This Row],[FECHA]])</f>
        <v>9</v>
      </c>
      <c r="D251" s="3">
        <v>2341300</v>
      </c>
      <c r="E251" s="11">
        <v>40</v>
      </c>
      <c r="F251" s="3">
        <v>4900697</v>
      </c>
      <c r="G251" s="11">
        <v>21</v>
      </c>
      <c r="H251" s="3">
        <v>6762400</v>
      </c>
      <c r="I251" s="11">
        <v>15</v>
      </c>
      <c r="J251" s="3">
        <v>1929480</v>
      </c>
      <c r="K251" s="11">
        <v>38</v>
      </c>
      <c r="L251" s="3">
        <v>11874300</v>
      </c>
      <c r="M251" s="11">
        <v>78</v>
      </c>
      <c r="N251" s="3">
        <v>4214500</v>
      </c>
      <c r="O251" s="3">
        <f t="shared" si="22"/>
        <v>15933877</v>
      </c>
      <c r="P251" s="8">
        <f t="shared" si="23"/>
        <v>114</v>
      </c>
      <c r="Q251" s="3">
        <f t="shared" si="24"/>
        <v>27808177</v>
      </c>
      <c r="R251" s="8">
        <f t="shared" si="25"/>
        <v>192</v>
      </c>
      <c r="S251" s="9">
        <f t="shared" si="28"/>
        <v>0.68421052631578949</v>
      </c>
      <c r="T251" s="4">
        <f t="shared" si="26"/>
        <v>0.42700749495373247</v>
      </c>
    </row>
    <row r="252" spans="1:20" x14ac:dyDescent="0.3">
      <c r="A252" s="10">
        <v>45909</v>
      </c>
      <c r="B252" s="11">
        <v>9</v>
      </c>
      <c r="C252" s="11">
        <f>MONTH(Tabla1[[#This Row],[FECHA]])</f>
        <v>9</v>
      </c>
      <c r="D252" s="3">
        <v>2491800</v>
      </c>
      <c r="E252" s="11">
        <v>33</v>
      </c>
      <c r="F252" s="3">
        <v>3489100</v>
      </c>
      <c r="G252" s="11">
        <v>18</v>
      </c>
      <c r="H252" s="3">
        <v>12035700</v>
      </c>
      <c r="I252" s="11">
        <v>21</v>
      </c>
      <c r="J252" s="3">
        <v>2872200</v>
      </c>
      <c r="K252" s="11">
        <v>29</v>
      </c>
      <c r="L252" s="3">
        <v>4977550</v>
      </c>
      <c r="M252" s="11">
        <v>51</v>
      </c>
      <c r="N252" s="3">
        <v>9647350</v>
      </c>
      <c r="O252" s="3">
        <f t="shared" si="22"/>
        <v>20888800</v>
      </c>
      <c r="P252" s="8">
        <f t="shared" si="23"/>
        <v>101</v>
      </c>
      <c r="Q252" s="3">
        <f t="shared" si="24"/>
        <v>25866350</v>
      </c>
      <c r="R252" s="8">
        <f t="shared" si="25"/>
        <v>152</v>
      </c>
      <c r="S252" s="9">
        <f t="shared" si="28"/>
        <v>0.50495049504950495</v>
      </c>
      <c r="T252" s="4">
        <f t="shared" si="26"/>
        <v>0.19243341252244711</v>
      </c>
    </row>
    <row r="253" spans="1:20" x14ac:dyDescent="0.3">
      <c r="A253" s="10">
        <v>45910</v>
      </c>
      <c r="B253" s="11">
        <v>10</v>
      </c>
      <c r="C253" s="11">
        <f>MONTH(Tabla1[[#This Row],[FECHA]])</f>
        <v>9</v>
      </c>
      <c r="D253" s="3">
        <v>1901200</v>
      </c>
      <c r="E253" s="11">
        <v>31</v>
      </c>
      <c r="F253" s="3">
        <v>3207000</v>
      </c>
      <c r="G253" s="11">
        <v>21</v>
      </c>
      <c r="H253" s="3">
        <v>7060000</v>
      </c>
      <c r="I253" s="11">
        <v>14</v>
      </c>
      <c r="J253" s="3">
        <v>8663000</v>
      </c>
      <c r="K253" s="11">
        <v>32</v>
      </c>
      <c r="L253" s="3">
        <v>4823400</v>
      </c>
      <c r="M253" s="11">
        <v>66</v>
      </c>
      <c r="N253" s="3">
        <v>702400</v>
      </c>
      <c r="O253" s="3">
        <f t="shared" si="22"/>
        <v>20831200</v>
      </c>
      <c r="P253" s="8">
        <f t="shared" si="23"/>
        <v>98</v>
      </c>
      <c r="Q253" s="3">
        <f t="shared" si="24"/>
        <v>25654600</v>
      </c>
      <c r="R253" s="8">
        <f t="shared" si="25"/>
        <v>164</v>
      </c>
      <c r="S253" s="9">
        <f t="shared" si="28"/>
        <v>0.67346938775510201</v>
      </c>
      <c r="T253" s="4">
        <f t="shared" si="26"/>
        <v>0.18801306588292158</v>
      </c>
    </row>
    <row r="254" spans="1:20" x14ac:dyDescent="0.3">
      <c r="A254" s="10">
        <v>45911</v>
      </c>
      <c r="B254" s="11">
        <v>11</v>
      </c>
      <c r="C254" s="11">
        <f>MONTH(Tabla1[[#This Row],[FECHA]])</f>
        <v>9</v>
      </c>
      <c r="D254" s="3">
        <v>1252900</v>
      </c>
      <c r="E254" s="11">
        <v>23</v>
      </c>
      <c r="F254" s="3">
        <v>2685600</v>
      </c>
      <c r="G254" s="11">
        <v>16</v>
      </c>
      <c r="H254" s="3">
        <v>8749800</v>
      </c>
      <c r="I254" s="11">
        <v>18</v>
      </c>
      <c r="J254" s="3">
        <v>2019513</v>
      </c>
      <c r="K254" s="11">
        <v>22</v>
      </c>
      <c r="L254" s="3">
        <v>9426200</v>
      </c>
      <c r="M254" s="11">
        <v>73</v>
      </c>
      <c r="N254" s="3">
        <v>2606400</v>
      </c>
      <c r="O254" s="3">
        <f t="shared" si="22"/>
        <v>14707813</v>
      </c>
      <c r="P254" s="8">
        <f t="shared" si="23"/>
        <v>79</v>
      </c>
      <c r="Q254" s="3">
        <f t="shared" si="24"/>
        <v>24134013</v>
      </c>
      <c r="R254" s="8">
        <f t="shared" si="25"/>
        <v>152</v>
      </c>
      <c r="S254" s="9">
        <f t="shared" si="28"/>
        <v>0.92405063291139244</v>
      </c>
      <c r="T254" s="4">
        <f t="shared" si="26"/>
        <v>0.39057739796527002</v>
      </c>
    </row>
    <row r="255" spans="1:20" x14ac:dyDescent="0.3">
      <c r="A255" s="10">
        <v>45912</v>
      </c>
      <c r="B255" s="11">
        <v>12</v>
      </c>
      <c r="C255" s="11">
        <f>MONTH(Tabla1[[#This Row],[FECHA]])</f>
        <v>9</v>
      </c>
      <c r="D255" s="3">
        <v>1306300</v>
      </c>
      <c r="E255" s="11">
        <v>24</v>
      </c>
      <c r="F255" s="3">
        <v>3375700</v>
      </c>
      <c r="G255" s="11">
        <v>19</v>
      </c>
      <c r="H255" s="3">
        <v>10413669</v>
      </c>
      <c r="I255" s="11">
        <v>15</v>
      </c>
      <c r="J255" s="3">
        <v>2930450</v>
      </c>
      <c r="K255" s="11">
        <v>34</v>
      </c>
      <c r="L255" s="3">
        <v>8379700</v>
      </c>
      <c r="M255" s="11">
        <v>69</v>
      </c>
      <c r="N255" s="3">
        <v>2833890</v>
      </c>
      <c r="O255" s="3">
        <f t="shared" si="22"/>
        <v>18026119</v>
      </c>
      <c r="P255" s="8">
        <f t="shared" si="23"/>
        <v>92</v>
      </c>
      <c r="Q255" s="3">
        <f t="shared" si="24"/>
        <v>26405819</v>
      </c>
      <c r="R255" s="8">
        <f t="shared" si="25"/>
        <v>161</v>
      </c>
      <c r="S255" s="9">
        <f t="shared" si="28"/>
        <v>0.75</v>
      </c>
      <c r="T255" s="4">
        <f t="shared" si="26"/>
        <v>0.31734293111681178</v>
      </c>
    </row>
    <row r="256" spans="1:20" x14ac:dyDescent="0.3">
      <c r="A256" s="10">
        <v>45913</v>
      </c>
      <c r="B256" s="11">
        <v>13</v>
      </c>
      <c r="C256" s="11">
        <f>MONTH(Tabla1[[#This Row],[FECHA]])</f>
        <v>9</v>
      </c>
      <c r="D256" s="3">
        <v>848000</v>
      </c>
      <c r="E256" s="11">
        <v>12</v>
      </c>
      <c r="F256" s="3">
        <v>3322700</v>
      </c>
      <c r="G256" s="11">
        <v>16</v>
      </c>
      <c r="H256" s="3">
        <v>9138500</v>
      </c>
      <c r="I256" s="11">
        <v>24</v>
      </c>
      <c r="J256" s="3">
        <v>2700600</v>
      </c>
      <c r="K256" s="11">
        <v>26</v>
      </c>
      <c r="L256" s="3">
        <v>2983800</v>
      </c>
      <c r="M256" s="11">
        <v>62</v>
      </c>
      <c r="N256" s="3">
        <v>4346900</v>
      </c>
      <c r="O256" s="3">
        <f t="shared" si="22"/>
        <v>16009800</v>
      </c>
      <c r="P256" s="8">
        <f t="shared" si="23"/>
        <v>78</v>
      </c>
      <c r="Q256" s="3">
        <f t="shared" si="24"/>
        <v>18993600</v>
      </c>
      <c r="R256" s="8">
        <f t="shared" si="25"/>
        <v>140</v>
      </c>
      <c r="S256" s="9">
        <f t="shared" si="28"/>
        <v>0.79487179487179482</v>
      </c>
      <c r="T256" s="4">
        <f t="shared" si="26"/>
        <v>0.15709502148091989</v>
      </c>
    </row>
    <row r="257" spans="1:20" x14ac:dyDescent="0.3">
      <c r="A257" s="10">
        <v>45914</v>
      </c>
      <c r="B257" s="11">
        <v>14</v>
      </c>
      <c r="C257" s="11">
        <f>MONTH(Tabla1[[#This Row],[FECHA]])</f>
        <v>9</v>
      </c>
      <c r="D257" s="3">
        <v>1133800</v>
      </c>
      <c r="E257" s="11">
        <v>22</v>
      </c>
      <c r="F257" s="3">
        <v>1517600</v>
      </c>
      <c r="G257" s="11">
        <v>11</v>
      </c>
      <c r="H257" s="3">
        <v>1008900</v>
      </c>
      <c r="I257" s="11">
        <v>8</v>
      </c>
      <c r="J257" s="3">
        <v>1533900</v>
      </c>
      <c r="K257" s="11">
        <v>11</v>
      </c>
      <c r="L257" s="3">
        <v>3750300</v>
      </c>
      <c r="M257" s="11">
        <v>38</v>
      </c>
      <c r="N257" s="3">
        <v>3214600</v>
      </c>
      <c r="O257" s="3">
        <f t="shared" ref="O257:O304" si="29">D257+F257+H257+J257</f>
        <v>5194200</v>
      </c>
      <c r="P257" s="8">
        <f t="shared" ref="P257:P304" si="30">E257+G257+I257+K257</f>
        <v>52</v>
      </c>
      <c r="Q257" s="3">
        <f t="shared" ref="Q257:Q320" si="31">O257+L257</f>
        <v>8944500</v>
      </c>
      <c r="R257" s="8">
        <f t="shared" ref="R257:R320" si="32">P257+M257</f>
        <v>90</v>
      </c>
      <c r="S257" s="9">
        <f t="shared" si="28"/>
        <v>0.73076923076923073</v>
      </c>
      <c r="T257" s="4">
        <f t="shared" ref="T257:T304" si="33">IFERROR(L257/Q257,0)</f>
        <v>0.41928559449941305</v>
      </c>
    </row>
    <row r="258" spans="1:20" x14ac:dyDescent="0.3">
      <c r="A258" s="10">
        <v>45915</v>
      </c>
      <c r="B258" s="11">
        <v>15</v>
      </c>
      <c r="C258" s="11">
        <f>MONTH(Tabla1[[#This Row],[FECHA]])</f>
        <v>9</v>
      </c>
      <c r="D258" s="3">
        <v>1203700</v>
      </c>
      <c r="E258" s="11">
        <v>26</v>
      </c>
      <c r="F258" s="3">
        <v>27409120</v>
      </c>
      <c r="G258" s="11">
        <v>19</v>
      </c>
      <c r="H258" s="3">
        <v>8138264</v>
      </c>
      <c r="I258" s="11">
        <v>18</v>
      </c>
      <c r="J258" s="3">
        <v>2617000</v>
      </c>
      <c r="K258" s="11">
        <v>27</v>
      </c>
      <c r="L258" s="3">
        <v>7293300</v>
      </c>
      <c r="M258" s="11">
        <v>61</v>
      </c>
      <c r="N258" s="3">
        <v>2946600</v>
      </c>
      <c r="O258" s="3">
        <f t="shared" si="29"/>
        <v>39368084</v>
      </c>
      <c r="P258" s="8">
        <f t="shared" si="30"/>
        <v>90</v>
      </c>
      <c r="Q258" s="3">
        <f t="shared" si="31"/>
        <v>46661384</v>
      </c>
      <c r="R258" s="8">
        <f t="shared" si="32"/>
        <v>151</v>
      </c>
      <c r="S258" s="9">
        <f t="shared" si="28"/>
        <v>0.67777777777777781</v>
      </c>
      <c r="T258" s="4">
        <f t="shared" si="33"/>
        <v>0.15630269346490022</v>
      </c>
    </row>
    <row r="259" spans="1:20" x14ac:dyDescent="0.3">
      <c r="A259" s="10">
        <v>45916</v>
      </c>
      <c r="B259" s="11">
        <v>16</v>
      </c>
      <c r="C259" s="11">
        <f>MONTH(Tabla1[[#This Row],[FECHA]])</f>
        <v>9</v>
      </c>
      <c r="D259" s="3">
        <v>1546500</v>
      </c>
      <c r="E259" s="11">
        <v>21</v>
      </c>
      <c r="F259" s="3">
        <v>1152400</v>
      </c>
      <c r="G259" s="11">
        <v>9</v>
      </c>
      <c r="H259" s="3">
        <v>12088905</v>
      </c>
      <c r="I259" s="11">
        <v>27</v>
      </c>
      <c r="J259" s="3">
        <v>3768300</v>
      </c>
      <c r="K259" s="11">
        <v>36</v>
      </c>
      <c r="L259" s="3">
        <v>17628600</v>
      </c>
      <c r="M259" s="11">
        <v>72</v>
      </c>
      <c r="N259" s="3">
        <v>14254400</v>
      </c>
      <c r="O259" s="3">
        <f t="shared" si="29"/>
        <v>18556105</v>
      </c>
      <c r="P259" s="8">
        <f t="shared" si="30"/>
        <v>93</v>
      </c>
      <c r="Q259" s="3">
        <f t="shared" si="31"/>
        <v>36184705</v>
      </c>
      <c r="R259" s="8">
        <f t="shared" si="32"/>
        <v>165</v>
      </c>
      <c r="S259" s="9">
        <f t="shared" si="28"/>
        <v>0.77419354838709675</v>
      </c>
      <c r="T259" s="4">
        <f t="shared" si="33"/>
        <v>0.48718374241271278</v>
      </c>
    </row>
    <row r="260" spans="1:20" x14ac:dyDescent="0.3">
      <c r="A260" s="10">
        <v>45917</v>
      </c>
      <c r="B260" s="11">
        <v>17</v>
      </c>
      <c r="C260" s="11">
        <f>MONTH(Tabla1[[#This Row],[FECHA]])</f>
        <v>9</v>
      </c>
      <c r="D260" s="3">
        <v>1136800</v>
      </c>
      <c r="E260" s="11">
        <v>24</v>
      </c>
      <c r="F260" s="3">
        <v>1346500</v>
      </c>
      <c r="G260" s="11">
        <v>10</v>
      </c>
      <c r="H260" s="3">
        <v>7882206</v>
      </c>
      <c r="I260" s="11">
        <v>22</v>
      </c>
      <c r="J260" s="3">
        <v>7772900</v>
      </c>
      <c r="K260" s="11">
        <v>35</v>
      </c>
      <c r="L260" s="3">
        <v>4426900</v>
      </c>
      <c r="M260" s="11">
        <v>55</v>
      </c>
      <c r="N260" s="3">
        <v>3141800</v>
      </c>
      <c r="O260" s="3">
        <f t="shared" si="29"/>
        <v>18138406</v>
      </c>
      <c r="P260" s="8">
        <f t="shared" si="30"/>
        <v>91</v>
      </c>
      <c r="Q260" s="3">
        <f t="shared" si="31"/>
        <v>22565306</v>
      </c>
      <c r="R260" s="8">
        <f t="shared" si="32"/>
        <v>146</v>
      </c>
      <c r="S260" s="9">
        <f t="shared" si="28"/>
        <v>0.60439560439560436</v>
      </c>
      <c r="T260" s="4">
        <f t="shared" si="33"/>
        <v>0.19618169591850426</v>
      </c>
    </row>
    <row r="261" spans="1:20" x14ac:dyDescent="0.3">
      <c r="A261" s="10">
        <v>45918</v>
      </c>
      <c r="B261" s="11">
        <v>18</v>
      </c>
      <c r="C261" s="11">
        <f>MONTH(Tabla1[[#This Row],[FECHA]])</f>
        <v>9</v>
      </c>
      <c r="D261" s="3">
        <v>891300</v>
      </c>
      <c r="E261" s="11">
        <v>16</v>
      </c>
      <c r="F261" s="3">
        <v>5367300</v>
      </c>
      <c r="G261" s="11">
        <v>12</v>
      </c>
      <c r="H261" s="3">
        <v>10634132</v>
      </c>
      <c r="I261" s="11">
        <v>23</v>
      </c>
      <c r="J261" s="3">
        <v>1782600</v>
      </c>
      <c r="K261" s="11">
        <v>17</v>
      </c>
      <c r="L261" s="3">
        <v>1915200</v>
      </c>
      <c r="M261" s="11">
        <v>39</v>
      </c>
      <c r="N261" s="3">
        <v>2972000</v>
      </c>
      <c r="O261" s="3">
        <f t="shared" si="29"/>
        <v>18675332</v>
      </c>
      <c r="P261" s="8">
        <f t="shared" si="30"/>
        <v>68</v>
      </c>
      <c r="Q261" s="3">
        <f t="shared" si="31"/>
        <v>20590532</v>
      </c>
      <c r="R261" s="8">
        <f t="shared" si="32"/>
        <v>107</v>
      </c>
      <c r="S261" s="9">
        <f t="shared" si="28"/>
        <v>0.57352941176470584</v>
      </c>
      <c r="T261" s="4">
        <f t="shared" si="33"/>
        <v>9.3013623931620618E-2</v>
      </c>
    </row>
    <row r="262" spans="1:20" x14ac:dyDescent="0.3">
      <c r="A262" s="10">
        <v>45919</v>
      </c>
      <c r="B262" s="11">
        <v>19</v>
      </c>
      <c r="C262" s="11">
        <f>MONTH(Tabla1[[#This Row],[FECHA]])</f>
        <v>9</v>
      </c>
      <c r="D262" s="3">
        <v>1296500</v>
      </c>
      <c r="E262" s="11">
        <v>23</v>
      </c>
      <c r="F262" s="3">
        <v>3762206</v>
      </c>
      <c r="G262" s="11">
        <v>25</v>
      </c>
      <c r="H262" s="3">
        <v>3705200</v>
      </c>
      <c r="I262" s="11">
        <v>13</v>
      </c>
      <c r="J262" s="3">
        <v>2838300</v>
      </c>
      <c r="K262" s="11">
        <v>22</v>
      </c>
      <c r="L262" s="3">
        <v>2208950</v>
      </c>
      <c r="M262" s="11">
        <v>54</v>
      </c>
      <c r="N262" s="3">
        <v>927950</v>
      </c>
      <c r="O262" s="3">
        <f t="shared" si="29"/>
        <v>11602206</v>
      </c>
      <c r="P262" s="8">
        <f t="shared" si="30"/>
        <v>83</v>
      </c>
      <c r="Q262" s="3">
        <f t="shared" si="31"/>
        <v>13811156</v>
      </c>
      <c r="R262" s="8">
        <f t="shared" si="32"/>
        <v>137</v>
      </c>
      <c r="S262" s="9">
        <f t="shared" si="28"/>
        <v>0.6506024096385542</v>
      </c>
      <c r="T262" s="4">
        <f t="shared" si="33"/>
        <v>0.15993954452473058</v>
      </c>
    </row>
    <row r="263" spans="1:20" x14ac:dyDescent="0.3">
      <c r="A263" s="10">
        <v>45920</v>
      </c>
      <c r="B263" s="11">
        <v>20</v>
      </c>
      <c r="C263" s="11">
        <f>MONTH(Tabla1[[#This Row],[FECHA]])</f>
        <v>9</v>
      </c>
      <c r="D263" s="3">
        <v>1061200</v>
      </c>
      <c r="E263" s="11">
        <v>16</v>
      </c>
      <c r="F263" s="3">
        <v>3870200</v>
      </c>
      <c r="G263" s="11">
        <v>16</v>
      </c>
      <c r="H263" s="3">
        <v>17742500</v>
      </c>
      <c r="I263" s="11">
        <v>16</v>
      </c>
      <c r="J263" s="3">
        <v>2475800</v>
      </c>
      <c r="K263" s="11">
        <v>17</v>
      </c>
      <c r="L263" s="3">
        <v>4153500</v>
      </c>
      <c r="M263" s="11">
        <v>56</v>
      </c>
      <c r="N263" s="3">
        <v>7744000</v>
      </c>
      <c r="O263" s="3">
        <f t="shared" si="29"/>
        <v>25149700</v>
      </c>
      <c r="P263" s="8">
        <f t="shared" si="30"/>
        <v>65</v>
      </c>
      <c r="Q263" s="3">
        <f t="shared" si="31"/>
        <v>29303200</v>
      </c>
      <c r="R263" s="8">
        <f t="shared" si="32"/>
        <v>121</v>
      </c>
      <c r="S263" s="9">
        <f t="shared" ref="S263:S294" si="34">M263/P263</f>
        <v>0.86153846153846159</v>
      </c>
      <c r="T263" s="4">
        <f t="shared" si="33"/>
        <v>0.14174219880422617</v>
      </c>
    </row>
    <row r="264" spans="1:20" x14ac:dyDescent="0.3">
      <c r="A264" s="10">
        <v>45921</v>
      </c>
      <c r="B264" s="11">
        <v>21</v>
      </c>
      <c r="C264" s="11">
        <f>MONTH(Tabla1[[#This Row],[FECHA]])</f>
        <v>9</v>
      </c>
      <c r="D264" s="3">
        <v>729900</v>
      </c>
      <c r="E264" s="11">
        <v>11</v>
      </c>
      <c r="F264" s="3">
        <v>959200</v>
      </c>
      <c r="G264" s="11">
        <v>7</v>
      </c>
      <c r="H264" s="3">
        <v>1350300</v>
      </c>
      <c r="I264" s="11">
        <v>2</v>
      </c>
      <c r="J264" s="3">
        <v>662900</v>
      </c>
      <c r="K264" s="11">
        <v>12</v>
      </c>
      <c r="L264" s="3">
        <v>1529900</v>
      </c>
      <c r="M264" s="11">
        <v>38</v>
      </c>
      <c r="N264" s="3">
        <v>3155000</v>
      </c>
      <c r="O264" s="3">
        <f t="shared" si="29"/>
        <v>3702300</v>
      </c>
      <c r="P264" s="8">
        <f t="shared" si="30"/>
        <v>32</v>
      </c>
      <c r="Q264" s="3">
        <f t="shared" si="31"/>
        <v>5232200</v>
      </c>
      <c r="R264" s="8">
        <f t="shared" si="32"/>
        <v>70</v>
      </c>
      <c r="S264" s="9">
        <f t="shared" si="34"/>
        <v>1.1875</v>
      </c>
      <c r="T264" s="4">
        <f t="shared" si="33"/>
        <v>0.29240090210618858</v>
      </c>
    </row>
    <row r="265" spans="1:20" x14ac:dyDescent="0.3">
      <c r="A265" s="10">
        <v>45922</v>
      </c>
      <c r="B265" s="11">
        <v>22</v>
      </c>
      <c r="C265" s="11">
        <f>MONTH(Tabla1[[#This Row],[FECHA]])</f>
        <v>9</v>
      </c>
      <c r="D265" s="3">
        <v>1058400</v>
      </c>
      <c r="E265" s="11">
        <v>19</v>
      </c>
      <c r="F265" s="3">
        <v>7376000</v>
      </c>
      <c r="G265" s="11">
        <v>25</v>
      </c>
      <c r="H265" s="3">
        <v>5401800</v>
      </c>
      <c r="I265" s="11">
        <v>16</v>
      </c>
      <c r="J265" s="3">
        <v>8887400</v>
      </c>
      <c r="K265" s="11">
        <v>33</v>
      </c>
      <c r="L265" s="3">
        <v>11004100</v>
      </c>
      <c r="M265" s="11">
        <v>61</v>
      </c>
      <c r="N265" s="3">
        <v>10228750</v>
      </c>
      <c r="O265" s="3">
        <f t="shared" si="29"/>
        <v>22723600</v>
      </c>
      <c r="P265" s="8">
        <f t="shared" si="30"/>
        <v>93</v>
      </c>
      <c r="Q265" s="3">
        <f t="shared" si="31"/>
        <v>33727700</v>
      </c>
      <c r="R265" s="8">
        <f t="shared" si="32"/>
        <v>154</v>
      </c>
      <c r="S265" s="9">
        <f t="shared" si="34"/>
        <v>0.65591397849462363</v>
      </c>
      <c r="T265" s="4">
        <f t="shared" si="33"/>
        <v>0.32626298265224135</v>
      </c>
    </row>
    <row r="266" spans="1:20" x14ac:dyDescent="0.3">
      <c r="A266" s="10">
        <v>45923</v>
      </c>
      <c r="B266" s="11">
        <v>23</v>
      </c>
      <c r="C266" s="11">
        <f>MONTH(Tabla1[[#This Row],[FECHA]])</f>
        <v>9</v>
      </c>
      <c r="D266" s="3">
        <v>837300</v>
      </c>
      <c r="E266" s="11">
        <v>21</v>
      </c>
      <c r="F266" s="3">
        <v>4190400</v>
      </c>
      <c r="G266" s="11">
        <v>11</v>
      </c>
      <c r="H266" s="3">
        <v>9186500</v>
      </c>
      <c r="I266" s="11">
        <v>21</v>
      </c>
      <c r="J266" s="3">
        <v>6119100</v>
      </c>
      <c r="K266" s="11">
        <v>36</v>
      </c>
      <c r="L266" s="3">
        <v>3013100</v>
      </c>
      <c r="M266" s="11">
        <v>55</v>
      </c>
      <c r="N266" s="3">
        <v>1752400</v>
      </c>
      <c r="O266" s="3">
        <f t="shared" si="29"/>
        <v>20333300</v>
      </c>
      <c r="P266" s="8">
        <f t="shared" si="30"/>
        <v>89</v>
      </c>
      <c r="Q266" s="3">
        <f t="shared" si="31"/>
        <v>23346400</v>
      </c>
      <c r="R266" s="8">
        <f t="shared" si="32"/>
        <v>144</v>
      </c>
      <c r="S266" s="9">
        <f t="shared" si="34"/>
        <v>0.6179775280898876</v>
      </c>
      <c r="T266" s="4">
        <f t="shared" si="33"/>
        <v>0.12906058321625605</v>
      </c>
    </row>
    <row r="267" spans="1:20" x14ac:dyDescent="0.3">
      <c r="A267" s="10">
        <v>45924</v>
      </c>
      <c r="B267" s="11">
        <v>24</v>
      </c>
      <c r="C267" s="11">
        <f>MONTH(Tabla1[[#This Row],[FECHA]])</f>
        <v>9</v>
      </c>
      <c r="D267" s="3">
        <v>1549400</v>
      </c>
      <c r="E267" s="11">
        <v>22</v>
      </c>
      <c r="F267" s="3">
        <v>2856700</v>
      </c>
      <c r="G267" s="11">
        <v>15</v>
      </c>
      <c r="H267" s="3">
        <v>8722446</v>
      </c>
      <c r="I267" s="11">
        <v>29</v>
      </c>
      <c r="J267" s="3">
        <v>1996500</v>
      </c>
      <c r="K267" s="11">
        <v>30</v>
      </c>
      <c r="L267" s="3">
        <v>2827600</v>
      </c>
      <c r="M267" s="11">
        <v>50</v>
      </c>
      <c r="N267" s="3">
        <v>4429000</v>
      </c>
      <c r="O267" s="3">
        <f t="shared" si="29"/>
        <v>15125046</v>
      </c>
      <c r="P267" s="8">
        <f t="shared" si="30"/>
        <v>96</v>
      </c>
      <c r="Q267" s="3">
        <f t="shared" si="31"/>
        <v>17952646</v>
      </c>
      <c r="R267" s="8">
        <f t="shared" si="32"/>
        <v>146</v>
      </c>
      <c r="S267" s="9">
        <f t="shared" si="34"/>
        <v>0.52083333333333337</v>
      </c>
      <c r="T267" s="4">
        <f t="shared" si="33"/>
        <v>0.15750324492556697</v>
      </c>
    </row>
    <row r="268" spans="1:20" x14ac:dyDescent="0.3">
      <c r="A268" s="10">
        <v>45925</v>
      </c>
      <c r="B268" s="11">
        <v>25</v>
      </c>
      <c r="C268" s="11">
        <f>MONTH(Tabla1[[#This Row],[FECHA]])</f>
        <v>9</v>
      </c>
      <c r="D268" s="3">
        <v>1690880</v>
      </c>
      <c r="E268" s="11">
        <v>19</v>
      </c>
      <c r="F268" s="3">
        <v>1472300</v>
      </c>
      <c r="G268" s="11">
        <v>12</v>
      </c>
      <c r="H268" s="3">
        <v>11730494</v>
      </c>
      <c r="I268" s="11">
        <v>21</v>
      </c>
      <c r="J268" s="3">
        <v>5544300</v>
      </c>
      <c r="K268" s="11">
        <v>26</v>
      </c>
      <c r="L268" s="3">
        <v>5568000</v>
      </c>
      <c r="M268" s="11">
        <v>60</v>
      </c>
      <c r="N268" s="3">
        <v>7192000</v>
      </c>
      <c r="O268" s="3">
        <f t="shared" si="29"/>
        <v>20437974</v>
      </c>
      <c r="P268" s="8">
        <f t="shared" si="30"/>
        <v>78</v>
      </c>
      <c r="Q268" s="3">
        <f t="shared" si="31"/>
        <v>26005974</v>
      </c>
      <c r="R268" s="8">
        <f t="shared" si="32"/>
        <v>138</v>
      </c>
      <c r="S268" s="9">
        <f t="shared" si="34"/>
        <v>0.76923076923076927</v>
      </c>
      <c r="T268" s="4">
        <f t="shared" si="33"/>
        <v>0.21410465149276856</v>
      </c>
    </row>
    <row r="269" spans="1:20" x14ac:dyDescent="0.3">
      <c r="A269" s="10">
        <v>45926</v>
      </c>
      <c r="B269" s="11">
        <v>26</v>
      </c>
      <c r="C269" s="11">
        <f>MONTH(Tabla1[[#This Row],[FECHA]])</f>
        <v>9</v>
      </c>
      <c r="D269" s="3">
        <v>950100</v>
      </c>
      <c r="E269" s="11">
        <v>16</v>
      </c>
      <c r="F269" s="3">
        <v>6594200</v>
      </c>
      <c r="G269" s="11">
        <v>14</v>
      </c>
      <c r="H269" s="3">
        <v>11578700</v>
      </c>
      <c r="I269" s="11">
        <v>28</v>
      </c>
      <c r="J269" s="3">
        <v>3963700</v>
      </c>
      <c r="K269" s="11">
        <v>30</v>
      </c>
      <c r="L269" s="3">
        <v>4456100</v>
      </c>
      <c r="M269" s="11">
        <v>54</v>
      </c>
      <c r="N269" s="3">
        <v>1446500</v>
      </c>
      <c r="O269" s="3">
        <f t="shared" si="29"/>
        <v>23086700</v>
      </c>
      <c r="P269" s="8">
        <f t="shared" si="30"/>
        <v>88</v>
      </c>
      <c r="Q269" s="3">
        <f t="shared" si="31"/>
        <v>27542800</v>
      </c>
      <c r="R269" s="8">
        <f t="shared" si="32"/>
        <v>142</v>
      </c>
      <c r="S269" s="9">
        <f t="shared" si="34"/>
        <v>0.61363636363636365</v>
      </c>
      <c r="T269" s="4">
        <f t="shared" si="33"/>
        <v>0.16178819873070277</v>
      </c>
    </row>
    <row r="270" spans="1:20" x14ac:dyDescent="0.3">
      <c r="A270" s="10">
        <v>45927</v>
      </c>
      <c r="B270" s="11">
        <v>27</v>
      </c>
      <c r="C270" s="11">
        <f>MONTH(Tabla1[[#This Row],[FECHA]])</f>
        <v>9</v>
      </c>
      <c r="D270" s="3">
        <v>2555600</v>
      </c>
      <c r="E270" s="11">
        <v>39</v>
      </c>
      <c r="F270" s="3">
        <v>5274900</v>
      </c>
      <c r="G270" s="11">
        <v>22</v>
      </c>
      <c r="H270" s="3">
        <v>8152100</v>
      </c>
      <c r="I270" s="11">
        <v>21</v>
      </c>
      <c r="J270" s="3">
        <v>3426300</v>
      </c>
      <c r="K270" s="11">
        <v>39</v>
      </c>
      <c r="L270" s="3">
        <v>2471200</v>
      </c>
      <c r="M270" s="11">
        <v>57</v>
      </c>
      <c r="N270" s="3">
        <v>3329000</v>
      </c>
      <c r="O270" s="3">
        <f t="shared" si="29"/>
        <v>19408900</v>
      </c>
      <c r="P270" s="8">
        <f t="shared" si="30"/>
        <v>121</v>
      </c>
      <c r="Q270" s="3">
        <f t="shared" si="31"/>
        <v>21880100</v>
      </c>
      <c r="R270" s="8">
        <f t="shared" si="32"/>
        <v>178</v>
      </c>
      <c r="S270" s="9">
        <f t="shared" si="34"/>
        <v>0.47107438016528924</v>
      </c>
      <c r="T270" s="4">
        <f t="shared" si="33"/>
        <v>0.1129428110474815</v>
      </c>
    </row>
    <row r="271" spans="1:20" x14ac:dyDescent="0.3">
      <c r="A271" s="10">
        <v>45928</v>
      </c>
      <c r="B271" s="11">
        <v>28</v>
      </c>
      <c r="C271" s="11">
        <f>MONTH(Tabla1[[#This Row],[FECHA]])</f>
        <v>9</v>
      </c>
      <c r="D271" s="3">
        <v>1266400</v>
      </c>
      <c r="E271" s="11">
        <v>21</v>
      </c>
      <c r="F271" s="3">
        <v>2526300</v>
      </c>
      <c r="G271" s="11">
        <v>11</v>
      </c>
      <c r="H271" s="3">
        <v>1092400</v>
      </c>
      <c r="I271" s="11">
        <v>4</v>
      </c>
      <c r="J271" s="3">
        <v>2345550</v>
      </c>
      <c r="K271" s="11">
        <v>17</v>
      </c>
      <c r="L271" s="3">
        <v>2600600</v>
      </c>
      <c r="M271" s="11">
        <v>46</v>
      </c>
      <c r="N271" s="3">
        <v>891000</v>
      </c>
      <c r="O271" s="3">
        <f t="shared" si="29"/>
        <v>7230650</v>
      </c>
      <c r="P271" s="8">
        <f t="shared" si="30"/>
        <v>53</v>
      </c>
      <c r="Q271" s="3">
        <f t="shared" si="31"/>
        <v>9831250</v>
      </c>
      <c r="R271" s="8">
        <f t="shared" si="32"/>
        <v>99</v>
      </c>
      <c r="S271" s="9">
        <f t="shared" si="34"/>
        <v>0.86792452830188682</v>
      </c>
      <c r="T271" s="4">
        <f t="shared" si="33"/>
        <v>0.26452383979656707</v>
      </c>
    </row>
    <row r="272" spans="1:20" x14ac:dyDescent="0.3">
      <c r="A272" s="10">
        <v>45929</v>
      </c>
      <c r="B272" s="11">
        <v>29</v>
      </c>
      <c r="C272" s="11">
        <f>MONTH(Tabla1[[#This Row],[FECHA]])</f>
        <v>9</v>
      </c>
      <c r="D272" s="3">
        <v>2024000</v>
      </c>
      <c r="E272" s="11">
        <v>32</v>
      </c>
      <c r="F272" s="3">
        <v>5221340</v>
      </c>
      <c r="G272" s="11">
        <v>13</v>
      </c>
      <c r="H272" s="3">
        <v>7688853</v>
      </c>
      <c r="I272" s="11">
        <v>17</v>
      </c>
      <c r="J272" s="3">
        <v>13889980</v>
      </c>
      <c r="K272" s="11">
        <v>22</v>
      </c>
      <c r="L272" s="3">
        <v>11032100</v>
      </c>
      <c r="M272" s="11">
        <v>49</v>
      </c>
      <c r="N272" s="3">
        <v>2912900</v>
      </c>
      <c r="O272" s="3">
        <f t="shared" si="29"/>
        <v>28824173</v>
      </c>
      <c r="P272" s="8">
        <f t="shared" si="30"/>
        <v>84</v>
      </c>
      <c r="Q272" s="3">
        <f t="shared" si="31"/>
        <v>39856273</v>
      </c>
      <c r="R272" s="8">
        <f t="shared" si="32"/>
        <v>133</v>
      </c>
      <c r="S272" s="9">
        <f t="shared" si="34"/>
        <v>0.58333333333333337</v>
      </c>
      <c r="T272" s="4">
        <f t="shared" si="33"/>
        <v>0.27679708034918366</v>
      </c>
    </row>
    <row r="273" spans="1:20" x14ac:dyDescent="0.3">
      <c r="A273" s="10">
        <v>45930</v>
      </c>
      <c r="B273" s="11">
        <v>30</v>
      </c>
      <c r="C273" s="11">
        <f>MONTH(Tabla1[[#This Row],[FECHA]])</f>
        <v>9</v>
      </c>
      <c r="D273" s="3">
        <v>1456400</v>
      </c>
      <c r="E273" s="11">
        <v>23</v>
      </c>
      <c r="F273" s="3">
        <v>5364900</v>
      </c>
      <c r="G273" s="11">
        <v>23</v>
      </c>
      <c r="H273" s="3">
        <v>19087792</v>
      </c>
      <c r="I273" s="11">
        <v>18</v>
      </c>
      <c r="J273" s="3">
        <v>1951700</v>
      </c>
      <c r="K273" s="11">
        <v>29</v>
      </c>
      <c r="L273" s="3">
        <v>1626500</v>
      </c>
      <c r="M273" s="11">
        <v>62</v>
      </c>
      <c r="N273" s="3">
        <v>2770700</v>
      </c>
      <c r="O273" s="3">
        <f t="shared" si="29"/>
        <v>27860792</v>
      </c>
      <c r="P273" s="8">
        <f t="shared" si="30"/>
        <v>93</v>
      </c>
      <c r="Q273" s="3">
        <f t="shared" si="31"/>
        <v>29487292</v>
      </c>
      <c r="R273" s="8">
        <f t="shared" si="32"/>
        <v>155</v>
      </c>
      <c r="S273" s="9">
        <f t="shared" si="34"/>
        <v>0.66666666666666663</v>
      </c>
      <c r="T273" s="4">
        <f t="shared" si="33"/>
        <v>5.5159354748479446E-2</v>
      </c>
    </row>
    <row r="274" spans="1:20" x14ac:dyDescent="0.3">
      <c r="A274" s="10">
        <v>45931</v>
      </c>
      <c r="B274" s="11">
        <v>1</v>
      </c>
      <c r="C274" s="11">
        <f>MONTH(Tabla1[[#This Row],[FECHA]])</f>
        <v>10</v>
      </c>
      <c r="D274" s="3">
        <v>1940700</v>
      </c>
      <c r="E274" s="11">
        <v>25</v>
      </c>
      <c r="F274" s="3">
        <v>3040800</v>
      </c>
      <c r="G274" s="11">
        <v>18</v>
      </c>
      <c r="H274" s="3">
        <v>10353469</v>
      </c>
      <c r="I274" s="11">
        <v>28</v>
      </c>
      <c r="J274" s="3">
        <v>3387500</v>
      </c>
      <c r="K274" s="11">
        <v>30</v>
      </c>
      <c r="L274" s="3">
        <v>4678800</v>
      </c>
      <c r="M274" s="11">
        <v>64</v>
      </c>
      <c r="N274" s="3">
        <v>1787400</v>
      </c>
      <c r="O274" s="3">
        <f t="shared" si="29"/>
        <v>18722469</v>
      </c>
      <c r="P274" s="8">
        <f t="shared" si="30"/>
        <v>101</v>
      </c>
      <c r="Q274" s="3">
        <f t="shared" si="31"/>
        <v>23401269</v>
      </c>
      <c r="R274" s="8">
        <f t="shared" si="32"/>
        <v>165</v>
      </c>
      <c r="S274" s="9">
        <f t="shared" si="34"/>
        <v>0.63366336633663367</v>
      </c>
      <c r="T274" s="4">
        <f t="shared" si="33"/>
        <v>0.19993787516394945</v>
      </c>
    </row>
    <row r="275" spans="1:20" x14ac:dyDescent="0.3">
      <c r="A275" s="10">
        <v>45932</v>
      </c>
      <c r="B275" s="11">
        <v>2</v>
      </c>
      <c r="C275" s="11">
        <f>MONTH(Tabla1[[#This Row],[FECHA]])</f>
        <v>10</v>
      </c>
      <c r="D275" s="3">
        <v>2631000</v>
      </c>
      <c r="E275" s="11">
        <v>32</v>
      </c>
      <c r="F275" s="3">
        <v>5766000</v>
      </c>
      <c r="G275" s="11">
        <v>17</v>
      </c>
      <c r="H275" s="3">
        <v>6887750</v>
      </c>
      <c r="I275" s="11">
        <v>25</v>
      </c>
      <c r="J275" s="3">
        <v>2186600</v>
      </c>
      <c r="K275" s="11">
        <v>32</v>
      </c>
      <c r="L275" s="3">
        <v>5242500</v>
      </c>
      <c r="M275" s="11">
        <v>77</v>
      </c>
      <c r="N275" s="3">
        <v>5363900</v>
      </c>
      <c r="O275" s="3">
        <f t="shared" si="29"/>
        <v>17471350</v>
      </c>
      <c r="P275" s="8">
        <f t="shared" si="30"/>
        <v>106</v>
      </c>
      <c r="Q275" s="3">
        <f t="shared" si="31"/>
        <v>22713850</v>
      </c>
      <c r="R275" s="8">
        <f t="shared" si="32"/>
        <v>183</v>
      </c>
      <c r="S275" s="9">
        <f t="shared" si="34"/>
        <v>0.72641509433962259</v>
      </c>
      <c r="T275" s="4">
        <f t="shared" si="33"/>
        <v>0.23080631420917194</v>
      </c>
    </row>
    <row r="276" spans="1:20" x14ac:dyDescent="0.3">
      <c r="A276" s="10">
        <v>45933</v>
      </c>
      <c r="B276" s="11">
        <v>3</v>
      </c>
      <c r="C276" s="11">
        <f>MONTH(Tabla1[[#This Row],[FECHA]])</f>
        <v>10</v>
      </c>
      <c r="D276" s="3">
        <v>839400</v>
      </c>
      <c r="E276" s="11">
        <v>18</v>
      </c>
      <c r="F276" s="3">
        <v>1384000</v>
      </c>
      <c r="G276" s="11">
        <v>13</v>
      </c>
      <c r="H276" s="3">
        <v>6720520</v>
      </c>
      <c r="I276" s="11">
        <v>19</v>
      </c>
      <c r="J276" s="3">
        <v>7816400</v>
      </c>
      <c r="K276" s="11">
        <v>31</v>
      </c>
      <c r="L276" s="3">
        <v>3938300</v>
      </c>
      <c r="M276" s="11">
        <v>51</v>
      </c>
      <c r="N276" s="3">
        <v>5848700</v>
      </c>
      <c r="O276" s="3">
        <f t="shared" si="29"/>
        <v>16760320</v>
      </c>
      <c r="P276" s="8">
        <f t="shared" si="30"/>
        <v>81</v>
      </c>
      <c r="Q276" s="3">
        <f t="shared" si="31"/>
        <v>20698620</v>
      </c>
      <c r="R276" s="8">
        <f t="shared" si="32"/>
        <v>132</v>
      </c>
      <c r="S276" s="9">
        <f t="shared" si="34"/>
        <v>0.62962962962962965</v>
      </c>
      <c r="T276" s="4">
        <f t="shared" si="33"/>
        <v>0.1902687232288916</v>
      </c>
    </row>
    <row r="277" spans="1:20" x14ac:dyDescent="0.3">
      <c r="A277" s="10">
        <v>45934</v>
      </c>
      <c r="B277" s="11">
        <v>4</v>
      </c>
      <c r="C277" s="11">
        <f>MONTH(Tabla1[[#This Row],[FECHA]])</f>
        <v>10</v>
      </c>
      <c r="D277" s="3">
        <v>1039700</v>
      </c>
      <c r="E277" s="11">
        <v>18</v>
      </c>
      <c r="F277" s="3">
        <v>1916700</v>
      </c>
      <c r="G277" s="11">
        <v>23</v>
      </c>
      <c r="H277" s="3">
        <v>8660500</v>
      </c>
      <c r="I277" s="11">
        <v>20</v>
      </c>
      <c r="J277" s="3">
        <v>1980900</v>
      </c>
      <c r="K277" s="11">
        <v>33</v>
      </c>
      <c r="L277" s="3">
        <v>3707000</v>
      </c>
      <c r="M277" s="11">
        <v>55</v>
      </c>
      <c r="N277" s="3">
        <v>3448400</v>
      </c>
      <c r="O277" s="3">
        <f t="shared" si="29"/>
        <v>13597800</v>
      </c>
      <c r="P277" s="8">
        <f t="shared" si="30"/>
        <v>94</v>
      </c>
      <c r="Q277" s="3">
        <f t="shared" si="31"/>
        <v>17304800</v>
      </c>
      <c r="R277" s="8">
        <f t="shared" si="32"/>
        <v>149</v>
      </c>
      <c r="S277" s="9">
        <f t="shared" si="34"/>
        <v>0.58510638297872342</v>
      </c>
      <c r="T277" s="4">
        <f t="shared" si="33"/>
        <v>0.21421802043363691</v>
      </c>
    </row>
    <row r="278" spans="1:20" x14ac:dyDescent="0.3">
      <c r="A278" s="10">
        <v>45935</v>
      </c>
      <c r="B278" s="11">
        <v>5</v>
      </c>
      <c r="C278" s="11">
        <f>MONTH(Tabla1[[#This Row],[FECHA]])</f>
        <v>10</v>
      </c>
      <c r="D278" s="3">
        <v>867300</v>
      </c>
      <c r="E278" s="11">
        <v>22</v>
      </c>
      <c r="F278" s="3">
        <v>1250900</v>
      </c>
      <c r="G278" s="11">
        <v>10</v>
      </c>
      <c r="H278" s="3">
        <v>553300</v>
      </c>
      <c r="I278" s="11">
        <v>4</v>
      </c>
      <c r="J278" s="3">
        <v>1717400</v>
      </c>
      <c r="K278" s="11">
        <v>13</v>
      </c>
      <c r="L278" s="3">
        <v>2048750</v>
      </c>
      <c r="M278" s="11">
        <v>56</v>
      </c>
      <c r="N278" s="3">
        <v>4200</v>
      </c>
      <c r="O278" s="3">
        <f t="shared" si="29"/>
        <v>4388900</v>
      </c>
      <c r="P278" s="8">
        <f t="shared" si="30"/>
        <v>49</v>
      </c>
      <c r="Q278" s="3">
        <f t="shared" si="31"/>
        <v>6437650</v>
      </c>
      <c r="R278" s="8">
        <f t="shared" si="32"/>
        <v>105</v>
      </c>
      <c r="S278" s="9">
        <f t="shared" si="34"/>
        <v>1.1428571428571428</v>
      </c>
      <c r="T278" s="4">
        <f t="shared" si="33"/>
        <v>0.3182450117667161</v>
      </c>
    </row>
    <row r="279" spans="1:20" x14ac:dyDescent="0.3">
      <c r="A279" s="10">
        <v>45936</v>
      </c>
      <c r="B279" s="11">
        <v>6</v>
      </c>
      <c r="C279" s="11">
        <f>MONTH(Tabla1[[#This Row],[FECHA]])</f>
        <v>10</v>
      </c>
      <c r="D279" s="3">
        <v>3872495</v>
      </c>
      <c r="E279" s="11">
        <v>38</v>
      </c>
      <c r="F279" s="3">
        <v>8828200</v>
      </c>
      <c r="G279" s="11">
        <v>27</v>
      </c>
      <c r="H279" s="3">
        <v>9842200</v>
      </c>
      <c r="I279" s="11">
        <v>20</v>
      </c>
      <c r="J279" s="3">
        <v>14499519</v>
      </c>
      <c r="K279" s="11">
        <v>41</v>
      </c>
      <c r="L279" s="3">
        <v>3779700</v>
      </c>
      <c r="M279" s="11">
        <v>51</v>
      </c>
      <c r="N279" s="3">
        <v>4979000</v>
      </c>
      <c r="O279" s="3">
        <f t="shared" si="29"/>
        <v>37042414</v>
      </c>
      <c r="P279" s="8">
        <f t="shared" si="30"/>
        <v>126</v>
      </c>
      <c r="Q279" s="3">
        <f t="shared" si="31"/>
        <v>40822114</v>
      </c>
      <c r="R279" s="8">
        <f t="shared" si="32"/>
        <v>177</v>
      </c>
      <c r="S279" s="9">
        <f t="shared" si="34"/>
        <v>0.40476190476190477</v>
      </c>
      <c r="T279" s="4">
        <f t="shared" si="33"/>
        <v>9.2589521453984469E-2</v>
      </c>
    </row>
    <row r="280" spans="1:20" x14ac:dyDescent="0.3">
      <c r="A280" s="10">
        <v>45937</v>
      </c>
      <c r="B280" s="11">
        <v>7</v>
      </c>
      <c r="C280" s="11">
        <f>MONTH(Tabla1[[#This Row],[FECHA]])</f>
        <v>10</v>
      </c>
      <c r="D280" s="3">
        <v>2680000</v>
      </c>
      <c r="E280" s="11">
        <v>28</v>
      </c>
      <c r="F280" s="3">
        <v>4893132</v>
      </c>
      <c r="G280" s="11">
        <v>15</v>
      </c>
      <c r="H280" s="3">
        <v>10539900</v>
      </c>
      <c r="I280" s="11">
        <v>29</v>
      </c>
      <c r="J280" s="3">
        <v>3095100</v>
      </c>
      <c r="K280" s="11">
        <v>49</v>
      </c>
      <c r="L280" s="3">
        <v>8607600</v>
      </c>
      <c r="M280" s="11">
        <v>62</v>
      </c>
      <c r="N280" s="3">
        <v>5502150</v>
      </c>
      <c r="O280" s="3">
        <f t="shared" si="29"/>
        <v>21208132</v>
      </c>
      <c r="P280" s="8">
        <f t="shared" si="30"/>
        <v>121</v>
      </c>
      <c r="Q280" s="3">
        <f t="shared" si="31"/>
        <v>29815732</v>
      </c>
      <c r="R280" s="8">
        <f t="shared" si="32"/>
        <v>183</v>
      </c>
      <c r="S280" s="9">
        <f t="shared" si="34"/>
        <v>0.51239669421487599</v>
      </c>
      <c r="T280" s="4">
        <f t="shared" si="33"/>
        <v>0.2886932308084873</v>
      </c>
    </row>
    <row r="281" spans="1:20" x14ac:dyDescent="0.3">
      <c r="A281" s="10">
        <v>45938</v>
      </c>
      <c r="B281" s="11">
        <v>8</v>
      </c>
      <c r="C281" s="11">
        <f>MONTH(Tabla1[[#This Row],[FECHA]])</f>
        <v>10</v>
      </c>
      <c r="D281" s="3">
        <v>2207300</v>
      </c>
      <c r="E281" s="11">
        <v>34</v>
      </c>
      <c r="F281" s="3">
        <v>3206000</v>
      </c>
      <c r="G281" s="11">
        <v>20</v>
      </c>
      <c r="H281" s="3">
        <v>5644200</v>
      </c>
      <c r="I281" s="11">
        <v>23</v>
      </c>
      <c r="J281" s="3">
        <v>4032300</v>
      </c>
      <c r="K281" s="11">
        <v>46</v>
      </c>
      <c r="L281" s="3">
        <v>11099200</v>
      </c>
      <c r="M281" s="11">
        <v>70</v>
      </c>
      <c r="N281" s="3">
        <v>5835000</v>
      </c>
      <c r="O281" s="3">
        <f t="shared" si="29"/>
        <v>15089800</v>
      </c>
      <c r="P281" s="8">
        <f t="shared" si="30"/>
        <v>123</v>
      </c>
      <c r="Q281" s="3">
        <f t="shared" si="31"/>
        <v>26189000</v>
      </c>
      <c r="R281" s="8">
        <f t="shared" si="32"/>
        <v>193</v>
      </c>
      <c r="S281" s="9">
        <f t="shared" si="34"/>
        <v>0.56910569105691056</v>
      </c>
      <c r="T281" s="4">
        <f t="shared" si="33"/>
        <v>0.42381152392225746</v>
      </c>
    </row>
    <row r="282" spans="1:20" x14ac:dyDescent="0.3">
      <c r="A282" s="10">
        <v>45939</v>
      </c>
      <c r="B282" s="11">
        <v>9</v>
      </c>
      <c r="C282" s="11">
        <f>MONTH(Tabla1[[#This Row],[FECHA]])</f>
        <v>10</v>
      </c>
      <c r="D282" s="3">
        <v>2043600</v>
      </c>
      <c r="E282" s="11">
        <v>23</v>
      </c>
      <c r="F282" s="3">
        <v>2734400</v>
      </c>
      <c r="G282" s="11">
        <v>18</v>
      </c>
      <c r="H282" s="3">
        <v>5306700</v>
      </c>
      <c r="I282" s="11">
        <v>15</v>
      </c>
      <c r="J282" s="3">
        <v>2655540</v>
      </c>
      <c r="K282" s="11">
        <v>42</v>
      </c>
      <c r="L282" s="3">
        <v>3197600</v>
      </c>
      <c r="M282" s="11">
        <v>64</v>
      </c>
      <c r="N282" s="3">
        <v>4299500</v>
      </c>
      <c r="O282" s="3">
        <f t="shared" si="29"/>
        <v>12740240</v>
      </c>
      <c r="P282" s="8">
        <f t="shared" si="30"/>
        <v>98</v>
      </c>
      <c r="Q282" s="3">
        <f t="shared" si="31"/>
        <v>15937840</v>
      </c>
      <c r="R282" s="8">
        <f t="shared" si="32"/>
        <v>162</v>
      </c>
      <c r="S282" s="9">
        <f t="shared" si="34"/>
        <v>0.65306122448979587</v>
      </c>
      <c r="T282" s="4">
        <f t="shared" si="33"/>
        <v>0.20062944539536098</v>
      </c>
    </row>
    <row r="283" spans="1:20" x14ac:dyDescent="0.3">
      <c r="A283" s="10">
        <v>45940</v>
      </c>
      <c r="B283" s="11">
        <v>10</v>
      </c>
      <c r="C283" s="11">
        <f>MONTH(Tabla1[[#This Row],[FECHA]])</f>
        <v>10</v>
      </c>
      <c r="D283" s="3">
        <v>927200</v>
      </c>
      <c r="E283" s="11">
        <v>15</v>
      </c>
      <c r="F283" s="3">
        <v>4461800</v>
      </c>
      <c r="G283" s="11">
        <v>13</v>
      </c>
      <c r="H283" s="3">
        <v>10003466</v>
      </c>
      <c r="I283" s="11">
        <v>18</v>
      </c>
      <c r="J283" s="3">
        <v>4399500</v>
      </c>
      <c r="K283" s="11">
        <v>36</v>
      </c>
      <c r="L283" s="3">
        <v>3098000</v>
      </c>
      <c r="M283" s="11">
        <v>51</v>
      </c>
      <c r="N283" s="3">
        <v>4099200</v>
      </c>
      <c r="O283" s="3">
        <f t="shared" si="29"/>
        <v>19791966</v>
      </c>
      <c r="P283" s="8">
        <f t="shared" si="30"/>
        <v>82</v>
      </c>
      <c r="Q283" s="3">
        <f t="shared" si="31"/>
        <v>22889966</v>
      </c>
      <c r="R283" s="8">
        <f t="shared" si="32"/>
        <v>133</v>
      </c>
      <c r="S283" s="9">
        <f t="shared" si="34"/>
        <v>0.62195121951219512</v>
      </c>
      <c r="T283" s="4">
        <f t="shared" si="33"/>
        <v>0.13534314555119917</v>
      </c>
    </row>
    <row r="284" spans="1:20" x14ac:dyDescent="0.3">
      <c r="A284" s="10">
        <v>45941</v>
      </c>
      <c r="B284" s="11">
        <v>11</v>
      </c>
      <c r="C284" s="11">
        <f>MONTH(Tabla1[[#This Row],[FECHA]])</f>
        <v>10</v>
      </c>
      <c r="D284" s="3">
        <v>1330000</v>
      </c>
      <c r="E284" s="11">
        <v>27</v>
      </c>
      <c r="F284" s="3">
        <v>2176500</v>
      </c>
      <c r="G284" s="11">
        <v>19</v>
      </c>
      <c r="H284" s="3">
        <v>10749400</v>
      </c>
      <c r="I284" s="11">
        <v>20</v>
      </c>
      <c r="J284" s="3">
        <v>3317500</v>
      </c>
      <c r="K284" s="11">
        <v>28</v>
      </c>
      <c r="L284" s="3">
        <v>4668600</v>
      </c>
      <c r="M284" s="11">
        <v>77</v>
      </c>
      <c r="N284" s="3">
        <v>9100000</v>
      </c>
      <c r="O284" s="3">
        <f t="shared" si="29"/>
        <v>17573400</v>
      </c>
      <c r="P284" s="8">
        <f t="shared" si="30"/>
        <v>94</v>
      </c>
      <c r="Q284" s="3">
        <f t="shared" si="31"/>
        <v>22242000</v>
      </c>
      <c r="R284" s="8">
        <f t="shared" si="32"/>
        <v>171</v>
      </c>
      <c r="S284" s="9">
        <f t="shared" si="34"/>
        <v>0.81914893617021278</v>
      </c>
      <c r="T284" s="4">
        <f t="shared" si="33"/>
        <v>0.20990018883193956</v>
      </c>
    </row>
    <row r="285" spans="1:20" x14ac:dyDescent="0.3">
      <c r="A285" s="10">
        <v>45942</v>
      </c>
      <c r="B285" s="11">
        <v>12</v>
      </c>
      <c r="C285" s="11">
        <f>MONTH(Tabla1[[#This Row],[FECHA]])</f>
        <v>10</v>
      </c>
      <c r="D285" s="3">
        <v>825600</v>
      </c>
      <c r="E285" s="11">
        <v>13</v>
      </c>
      <c r="F285" s="3">
        <v>842400</v>
      </c>
      <c r="G285" s="11">
        <v>10</v>
      </c>
      <c r="H285" s="3">
        <v>626100</v>
      </c>
      <c r="I285" s="11">
        <v>4</v>
      </c>
      <c r="J285" s="3">
        <v>712300</v>
      </c>
      <c r="K285" s="11">
        <v>11</v>
      </c>
      <c r="L285" s="3">
        <v>1836600</v>
      </c>
      <c r="M285" s="11">
        <v>36</v>
      </c>
      <c r="N285" s="3">
        <v>620000</v>
      </c>
      <c r="O285" s="3">
        <f t="shared" si="29"/>
        <v>3006400</v>
      </c>
      <c r="P285" s="8">
        <f t="shared" si="30"/>
        <v>38</v>
      </c>
      <c r="Q285" s="3">
        <f t="shared" si="31"/>
        <v>4843000</v>
      </c>
      <c r="R285" s="8">
        <f t="shared" si="32"/>
        <v>74</v>
      </c>
      <c r="S285" s="9">
        <f t="shared" si="34"/>
        <v>0.94736842105263153</v>
      </c>
      <c r="T285" s="4">
        <f t="shared" si="33"/>
        <v>0.37922775139376419</v>
      </c>
    </row>
    <row r="286" spans="1:20" x14ac:dyDescent="0.3">
      <c r="A286" s="10">
        <v>45943</v>
      </c>
      <c r="B286" s="11">
        <v>13</v>
      </c>
      <c r="C286" s="11">
        <f>MONTH(Tabla1[[#This Row],[FECHA]])</f>
        <v>10</v>
      </c>
      <c r="D286" s="3">
        <v>1899500</v>
      </c>
      <c r="E286" s="11">
        <v>19</v>
      </c>
      <c r="F286" s="3">
        <v>866200</v>
      </c>
      <c r="G286" s="11">
        <v>14</v>
      </c>
      <c r="H286" s="3">
        <v>3601837</v>
      </c>
      <c r="I286" s="11">
        <v>19</v>
      </c>
      <c r="J286" s="3">
        <v>1743000</v>
      </c>
      <c r="K286" s="11">
        <v>17</v>
      </c>
      <c r="L286" s="3">
        <v>1074400</v>
      </c>
      <c r="M286" s="11">
        <v>34</v>
      </c>
      <c r="N286" s="3">
        <v>715900</v>
      </c>
      <c r="O286" s="3">
        <f t="shared" si="29"/>
        <v>8110537</v>
      </c>
      <c r="P286" s="8">
        <f t="shared" si="30"/>
        <v>69</v>
      </c>
      <c r="Q286" s="3">
        <f t="shared" si="31"/>
        <v>9184937</v>
      </c>
      <c r="R286" s="8">
        <f t="shared" si="32"/>
        <v>103</v>
      </c>
      <c r="S286" s="9">
        <f t="shared" si="34"/>
        <v>0.49275362318840582</v>
      </c>
      <c r="T286" s="4">
        <f t="shared" si="33"/>
        <v>0.1169741284017517</v>
      </c>
    </row>
    <row r="287" spans="1:20" x14ac:dyDescent="0.3">
      <c r="A287" s="10">
        <v>45944</v>
      </c>
      <c r="B287" s="11">
        <v>14</v>
      </c>
      <c r="C287" s="11">
        <f>MONTH(Tabla1[[#This Row],[FECHA]])</f>
        <v>10</v>
      </c>
      <c r="D287" s="3">
        <v>2393100</v>
      </c>
      <c r="E287" s="11">
        <v>37</v>
      </c>
      <c r="F287" s="3">
        <v>5739411</v>
      </c>
      <c r="G287" s="11">
        <v>22</v>
      </c>
      <c r="H287" s="3">
        <v>9306700</v>
      </c>
      <c r="I287" s="11">
        <v>27</v>
      </c>
      <c r="J287" s="3">
        <v>3742800</v>
      </c>
      <c r="K287" s="11">
        <v>34</v>
      </c>
      <c r="L287" s="3">
        <v>10045700</v>
      </c>
      <c r="M287" s="11">
        <v>80</v>
      </c>
      <c r="N287" s="3">
        <v>7131500</v>
      </c>
      <c r="O287" s="3">
        <f t="shared" si="29"/>
        <v>21182011</v>
      </c>
      <c r="P287" s="8">
        <f t="shared" si="30"/>
        <v>120</v>
      </c>
      <c r="Q287" s="3">
        <f t="shared" si="31"/>
        <v>31227711</v>
      </c>
      <c r="R287" s="8">
        <f t="shared" si="32"/>
        <v>200</v>
      </c>
      <c r="S287" s="9">
        <f t="shared" si="34"/>
        <v>0.66666666666666663</v>
      </c>
      <c r="T287" s="4">
        <f t="shared" si="33"/>
        <v>0.32169184606582274</v>
      </c>
    </row>
    <row r="288" spans="1:20" x14ac:dyDescent="0.3">
      <c r="A288" s="10">
        <v>45945</v>
      </c>
      <c r="B288" s="11">
        <v>15</v>
      </c>
      <c r="C288" s="11">
        <f>MONTH(Tabla1[[#This Row],[FECHA]])</f>
        <v>10</v>
      </c>
      <c r="D288" s="3">
        <v>2229100</v>
      </c>
      <c r="E288" s="11">
        <v>30</v>
      </c>
      <c r="F288" s="3">
        <v>11439101</v>
      </c>
      <c r="G288" s="11">
        <v>20</v>
      </c>
      <c r="H288" s="3">
        <v>14838586</v>
      </c>
      <c r="I288" s="11">
        <v>27</v>
      </c>
      <c r="J288" s="3">
        <v>2217600</v>
      </c>
      <c r="K288" s="11">
        <v>22</v>
      </c>
      <c r="L288" s="3">
        <v>2474700</v>
      </c>
      <c r="M288" s="11">
        <v>59</v>
      </c>
      <c r="N288" s="3">
        <v>302200</v>
      </c>
      <c r="O288" s="3">
        <f t="shared" si="29"/>
        <v>30724387</v>
      </c>
      <c r="P288" s="8">
        <f t="shared" si="30"/>
        <v>99</v>
      </c>
      <c r="Q288" s="3">
        <f t="shared" si="31"/>
        <v>33199087</v>
      </c>
      <c r="R288" s="8">
        <f t="shared" si="32"/>
        <v>158</v>
      </c>
      <c r="S288" s="9">
        <f t="shared" si="34"/>
        <v>0.59595959595959591</v>
      </c>
      <c r="T288" s="4">
        <f t="shared" si="33"/>
        <v>7.4541206509685043E-2</v>
      </c>
    </row>
    <row r="289" spans="1:20" x14ac:dyDescent="0.3">
      <c r="A289" s="10">
        <v>45946</v>
      </c>
      <c r="B289" s="11">
        <v>16</v>
      </c>
      <c r="C289" s="11">
        <f>MONTH(Tabla1[[#This Row],[FECHA]])</f>
        <v>10</v>
      </c>
      <c r="D289" s="3">
        <v>1562900</v>
      </c>
      <c r="E289" s="11">
        <v>24</v>
      </c>
      <c r="F289" s="3">
        <v>4394300</v>
      </c>
      <c r="G289" s="11">
        <v>15</v>
      </c>
      <c r="H289" s="3">
        <v>5683204</v>
      </c>
      <c r="I289" s="11">
        <v>26</v>
      </c>
      <c r="J289" s="3">
        <v>3184800</v>
      </c>
      <c r="K289" s="11">
        <v>43</v>
      </c>
      <c r="L289" s="3">
        <v>5001100</v>
      </c>
      <c r="M289" s="11">
        <v>59</v>
      </c>
      <c r="N289" s="3">
        <v>8238800</v>
      </c>
      <c r="O289" s="3">
        <f t="shared" si="29"/>
        <v>14825204</v>
      </c>
      <c r="P289" s="8">
        <f t="shared" si="30"/>
        <v>108</v>
      </c>
      <c r="Q289" s="3">
        <f t="shared" si="31"/>
        <v>19826304</v>
      </c>
      <c r="R289" s="8">
        <f t="shared" si="32"/>
        <v>167</v>
      </c>
      <c r="S289" s="9">
        <f t="shared" si="34"/>
        <v>0.54629629629629628</v>
      </c>
      <c r="T289" s="4">
        <f t="shared" si="33"/>
        <v>0.25224570348563202</v>
      </c>
    </row>
    <row r="290" spans="1:20" x14ac:dyDescent="0.3">
      <c r="A290" s="10">
        <v>45947</v>
      </c>
      <c r="B290" s="11">
        <v>17</v>
      </c>
      <c r="C290" s="11">
        <f>MONTH(Tabla1[[#This Row],[FECHA]])</f>
        <v>10</v>
      </c>
      <c r="D290" s="3">
        <v>1074300</v>
      </c>
      <c r="E290" s="11">
        <v>20</v>
      </c>
      <c r="F290" s="3">
        <v>1698600</v>
      </c>
      <c r="G290" s="11">
        <v>10</v>
      </c>
      <c r="H290" s="3">
        <v>14841500</v>
      </c>
      <c r="I290" s="11">
        <v>26</v>
      </c>
      <c r="J290" s="3">
        <v>2574150</v>
      </c>
      <c r="K290" s="11">
        <v>37</v>
      </c>
      <c r="L290" s="3">
        <v>7315950</v>
      </c>
      <c r="M290" s="11">
        <v>71</v>
      </c>
      <c r="N290" s="3">
        <v>4047500</v>
      </c>
      <c r="O290" s="3">
        <f t="shared" si="29"/>
        <v>20188550</v>
      </c>
      <c r="P290" s="8">
        <f t="shared" si="30"/>
        <v>93</v>
      </c>
      <c r="Q290" s="3">
        <f t="shared" si="31"/>
        <v>27504500</v>
      </c>
      <c r="R290" s="8">
        <f t="shared" si="32"/>
        <v>164</v>
      </c>
      <c r="S290" s="9">
        <f t="shared" si="34"/>
        <v>0.76344086021505375</v>
      </c>
      <c r="T290" s="4">
        <f t="shared" si="33"/>
        <v>0.26599101965132976</v>
      </c>
    </row>
    <row r="291" spans="1:20" x14ac:dyDescent="0.3">
      <c r="A291" s="10">
        <v>45948</v>
      </c>
      <c r="B291" s="11">
        <v>18</v>
      </c>
      <c r="C291" s="11">
        <f>MONTH(Tabla1[[#This Row],[FECHA]])</f>
        <v>10</v>
      </c>
      <c r="D291" s="3">
        <v>1264100</v>
      </c>
      <c r="E291" s="11">
        <v>20</v>
      </c>
      <c r="F291" s="3">
        <v>3647900</v>
      </c>
      <c r="G291" s="11">
        <v>31</v>
      </c>
      <c r="H291" s="3">
        <v>8873900</v>
      </c>
      <c r="I291" s="11">
        <v>21</v>
      </c>
      <c r="J291" s="3">
        <v>2232200</v>
      </c>
      <c r="K291" s="11">
        <v>29</v>
      </c>
      <c r="L291" s="3">
        <v>8110700</v>
      </c>
      <c r="M291" s="11">
        <v>67</v>
      </c>
      <c r="N291" s="3">
        <v>5514100</v>
      </c>
      <c r="O291" s="3">
        <f t="shared" si="29"/>
        <v>16018100</v>
      </c>
      <c r="P291" s="8">
        <f t="shared" si="30"/>
        <v>101</v>
      </c>
      <c r="Q291" s="3">
        <f t="shared" si="31"/>
        <v>24128800</v>
      </c>
      <c r="R291" s="8">
        <f t="shared" si="32"/>
        <v>168</v>
      </c>
      <c r="S291" s="9">
        <f t="shared" si="34"/>
        <v>0.6633663366336634</v>
      </c>
      <c r="T291" s="4">
        <f t="shared" si="33"/>
        <v>0.3361418719538477</v>
      </c>
    </row>
    <row r="292" spans="1:20" x14ac:dyDescent="0.3">
      <c r="A292" s="10">
        <v>45949</v>
      </c>
      <c r="B292" s="11">
        <v>19</v>
      </c>
      <c r="C292" s="11">
        <f>MONTH(Tabla1[[#This Row],[FECHA]])</f>
        <v>10</v>
      </c>
      <c r="D292" s="3">
        <v>1303200</v>
      </c>
      <c r="E292" s="11">
        <v>23</v>
      </c>
      <c r="F292" s="3">
        <v>1121800</v>
      </c>
      <c r="G292" s="11">
        <v>8</v>
      </c>
      <c r="H292" s="3">
        <v>3948300</v>
      </c>
      <c r="I292" s="11">
        <v>10</v>
      </c>
      <c r="J292" s="3">
        <v>1634100</v>
      </c>
      <c r="K292" s="11">
        <v>20</v>
      </c>
      <c r="L292" s="3">
        <v>1647900</v>
      </c>
      <c r="M292" s="11">
        <v>39</v>
      </c>
      <c r="N292" s="3">
        <v>1267300</v>
      </c>
      <c r="O292" s="3">
        <f t="shared" si="29"/>
        <v>8007400</v>
      </c>
      <c r="P292" s="8">
        <f t="shared" si="30"/>
        <v>61</v>
      </c>
      <c r="Q292" s="3">
        <f t="shared" si="31"/>
        <v>9655300</v>
      </c>
      <c r="R292" s="8">
        <f t="shared" si="32"/>
        <v>100</v>
      </c>
      <c r="S292" s="9">
        <f t="shared" si="34"/>
        <v>0.63934426229508201</v>
      </c>
      <c r="T292" s="4">
        <f t="shared" si="33"/>
        <v>0.17067310181972595</v>
      </c>
    </row>
    <row r="293" spans="1:20" x14ac:dyDescent="0.3">
      <c r="A293" s="10">
        <v>45950</v>
      </c>
      <c r="B293" s="11">
        <v>20</v>
      </c>
      <c r="C293" s="11">
        <f>MONTH(Tabla1[[#This Row],[FECHA]])</f>
        <v>10</v>
      </c>
      <c r="D293" s="3">
        <v>1901700</v>
      </c>
      <c r="E293" s="11">
        <v>29</v>
      </c>
      <c r="F293" s="3">
        <v>3680234</v>
      </c>
      <c r="G293" s="11">
        <v>20</v>
      </c>
      <c r="H293" s="3">
        <v>8898700</v>
      </c>
      <c r="I293" s="11">
        <v>8</v>
      </c>
      <c r="J293" s="3">
        <v>3231920</v>
      </c>
      <c r="K293" s="11">
        <v>37</v>
      </c>
      <c r="L293" s="3">
        <v>8112400</v>
      </c>
      <c r="M293" s="11">
        <v>64</v>
      </c>
      <c r="N293" s="3">
        <v>3769500</v>
      </c>
      <c r="O293" s="3">
        <f t="shared" si="29"/>
        <v>17712554</v>
      </c>
      <c r="P293" s="8">
        <f t="shared" si="30"/>
        <v>94</v>
      </c>
      <c r="Q293" s="3">
        <f t="shared" si="31"/>
        <v>25824954</v>
      </c>
      <c r="R293" s="8">
        <f t="shared" si="32"/>
        <v>158</v>
      </c>
      <c r="S293" s="9">
        <f t="shared" si="34"/>
        <v>0.68085106382978722</v>
      </c>
      <c r="T293" s="4">
        <f t="shared" si="33"/>
        <v>0.31413027879933492</v>
      </c>
    </row>
    <row r="294" spans="1:20" x14ac:dyDescent="0.3">
      <c r="A294" s="10">
        <v>45951</v>
      </c>
      <c r="B294" s="11">
        <v>21</v>
      </c>
      <c r="C294" s="11">
        <f>MONTH(Tabla1[[#This Row],[FECHA]])</f>
        <v>10</v>
      </c>
      <c r="D294" s="3">
        <v>1847400</v>
      </c>
      <c r="E294" s="11">
        <v>27</v>
      </c>
      <c r="F294" s="3">
        <v>3897400</v>
      </c>
      <c r="G294" s="11">
        <v>19</v>
      </c>
      <c r="H294" s="3">
        <v>16324000</v>
      </c>
      <c r="I294" s="11">
        <v>22</v>
      </c>
      <c r="J294" s="3">
        <v>3266300</v>
      </c>
      <c r="K294" s="11">
        <v>33</v>
      </c>
      <c r="L294" s="3">
        <v>5481800</v>
      </c>
      <c r="M294" s="11">
        <v>61</v>
      </c>
      <c r="N294" s="3">
        <v>4047300</v>
      </c>
      <c r="O294" s="3">
        <f t="shared" si="29"/>
        <v>25335100</v>
      </c>
      <c r="P294" s="8">
        <f t="shared" si="30"/>
        <v>101</v>
      </c>
      <c r="Q294" s="3">
        <f t="shared" si="31"/>
        <v>30816900</v>
      </c>
      <c r="R294" s="8">
        <f t="shared" si="32"/>
        <v>162</v>
      </c>
      <c r="S294" s="9">
        <f t="shared" si="34"/>
        <v>0.60396039603960394</v>
      </c>
      <c r="T294" s="4">
        <f t="shared" si="33"/>
        <v>0.17788291489410032</v>
      </c>
    </row>
    <row r="295" spans="1:20" x14ac:dyDescent="0.3">
      <c r="A295" s="10">
        <v>45952</v>
      </c>
      <c r="B295" s="11">
        <v>22</v>
      </c>
      <c r="C295" s="11">
        <f>MONTH(Tabla1[[#This Row],[FECHA]])</f>
        <v>10</v>
      </c>
      <c r="D295" s="3">
        <v>2242100</v>
      </c>
      <c r="E295" s="11">
        <v>32</v>
      </c>
      <c r="F295" s="3">
        <v>3162200</v>
      </c>
      <c r="G295" s="11">
        <v>11</v>
      </c>
      <c r="H295" s="3">
        <v>9055575</v>
      </c>
      <c r="I295" s="11">
        <v>25</v>
      </c>
      <c r="J295" s="3">
        <v>2655150</v>
      </c>
      <c r="K295" s="11">
        <v>30</v>
      </c>
      <c r="L295" s="3">
        <v>3405600</v>
      </c>
      <c r="M295" s="11">
        <v>57</v>
      </c>
      <c r="N295" s="3">
        <v>1903000</v>
      </c>
      <c r="O295" s="3">
        <f t="shared" si="29"/>
        <v>17115025</v>
      </c>
      <c r="P295" s="8">
        <f t="shared" si="30"/>
        <v>98</v>
      </c>
      <c r="Q295" s="3">
        <f t="shared" si="31"/>
        <v>20520625</v>
      </c>
      <c r="R295" s="8">
        <f t="shared" si="32"/>
        <v>155</v>
      </c>
      <c r="S295" s="9">
        <f t="shared" ref="S295:S326" si="35">M295/P295</f>
        <v>0.58163265306122447</v>
      </c>
      <c r="T295" s="4">
        <f t="shared" si="33"/>
        <v>0.16595985746048184</v>
      </c>
    </row>
    <row r="296" spans="1:20" x14ac:dyDescent="0.3">
      <c r="A296" s="10">
        <v>45953</v>
      </c>
      <c r="B296" s="11">
        <v>23</v>
      </c>
      <c r="C296" s="11">
        <f>MONTH(Tabla1[[#This Row],[FECHA]])</f>
        <v>10</v>
      </c>
      <c r="D296" s="3">
        <v>1070200</v>
      </c>
      <c r="E296" s="11">
        <v>19</v>
      </c>
      <c r="F296" s="3">
        <v>1923000</v>
      </c>
      <c r="G296" s="11">
        <v>14</v>
      </c>
      <c r="H296" s="3">
        <v>4884000</v>
      </c>
      <c r="I296" s="11">
        <v>19</v>
      </c>
      <c r="J296" s="3">
        <v>1922300</v>
      </c>
      <c r="K296" s="11">
        <v>23</v>
      </c>
      <c r="L296" s="3">
        <v>4218600</v>
      </c>
      <c r="M296" s="11">
        <v>58</v>
      </c>
      <c r="N296" s="3">
        <v>1150600</v>
      </c>
      <c r="O296" s="3">
        <f t="shared" si="29"/>
        <v>9799500</v>
      </c>
      <c r="P296" s="8">
        <f t="shared" si="30"/>
        <v>75</v>
      </c>
      <c r="Q296" s="3">
        <f t="shared" si="31"/>
        <v>14018100</v>
      </c>
      <c r="R296" s="8">
        <f t="shared" si="32"/>
        <v>133</v>
      </c>
      <c r="S296" s="9">
        <f t="shared" si="35"/>
        <v>0.77333333333333332</v>
      </c>
      <c r="T296" s="4">
        <f t="shared" si="33"/>
        <v>0.3009394996468851</v>
      </c>
    </row>
    <row r="297" spans="1:20" x14ac:dyDescent="0.3">
      <c r="A297" s="10">
        <v>45954</v>
      </c>
      <c r="B297" s="11">
        <v>24</v>
      </c>
      <c r="C297" s="11">
        <f>MONTH(Tabla1[[#This Row],[FECHA]])</f>
        <v>10</v>
      </c>
      <c r="D297" s="3">
        <v>482100</v>
      </c>
      <c r="E297" s="11">
        <v>7</v>
      </c>
      <c r="F297" s="3">
        <v>2361004</v>
      </c>
      <c r="G297" s="11">
        <v>17</v>
      </c>
      <c r="H297" s="3">
        <v>2799660</v>
      </c>
      <c r="I297" s="11">
        <v>9</v>
      </c>
      <c r="J297" s="3">
        <v>3583800</v>
      </c>
      <c r="K297" s="11">
        <v>28</v>
      </c>
      <c r="L297" s="3">
        <v>7151400</v>
      </c>
      <c r="M297" s="11">
        <v>68</v>
      </c>
      <c r="N297" s="3">
        <v>2603700</v>
      </c>
      <c r="O297" s="3">
        <f t="shared" si="29"/>
        <v>9226564</v>
      </c>
      <c r="P297" s="8">
        <f t="shared" si="30"/>
        <v>61</v>
      </c>
      <c r="Q297" s="3">
        <f t="shared" si="31"/>
        <v>16377964</v>
      </c>
      <c r="R297" s="8">
        <f t="shared" si="32"/>
        <v>129</v>
      </c>
      <c r="S297" s="9">
        <f t="shared" si="35"/>
        <v>1.1147540983606556</v>
      </c>
      <c r="T297" s="4">
        <f t="shared" si="33"/>
        <v>0.43664768099380363</v>
      </c>
    </row>
    <row r="298" spans="1:20" x14ac:dyDescent="0.3">
      <c r="A298" s="10">
        <v>45955</v>
      </c>
      <c r="B298" s="11">
        <v>25</v>
      </c>
      <c r="C298" s="11">
        <f>MONTH(Tabla1[[#This Row],[FECHA]])</f>
        <v>10</v>
      </c>
      <c r="D298" s="3">
        <v>1630300</v>
      </c>
      <c r="E298" s="11">
        <v>17</v>
      </c>
      <c r="F298" s="3">
        <v>10345700</v>
      </c>
      <c r="G298" s="11">
        <v>22</v>
      </c>
      <c r="H298" s="3">
        <v>8687400</v>
      </c>
      <c r="I298" s="11">
        <v>24</v>
      </c>
      <c r="J298" s="3">
        <v>9443800</v>
      </c>
      <c r="K298" s="11">
        <v>16</v>
      </c>
      <c r="L298" s="3">
        <v>6097900</v>
      </c>
      <c r="M298" s="11">
        <v>80</v>
      </c>
      <c r="N298" s="3">
        <v>9083000</v>
      </c>
      <c r="O298" s="3">
        <f t="shared" si="29"/>
        <v>30107200</v>
      </c>
      <c r="P298" s="8">
        <f t="shared" si="30"/>
        <v>79</v>
      </c>
      <c r="Q298" s="3">
        <f t="shared" si="31"/>
        <v>36205100</v>
      </c>
      <c r="R298" s="8">
        <f t="shared" si="32"/>
        <v>159</v>
      </c>
      <c r="S298" s="9">
        <f t="shared" si="35"/>
        <v>1.0126582278481013</v>
      </c>
      <c r="T298" s="4">
        <f t="shared" si="33"/>
        <v>0.1684265476410782</v>
      </c>
    </row>
    <row r="299" spans="1:20" x14ac:dyDescent="0.3">
      <c r="A299" s="10">
        <v>45956</v>
      </c>
      <c r="B299" s="11">
        <v>26</v>
      </c>
      <c r="C299" s="11">
        <f>MONTH(Tabla1[[#This Row],[FECHA]])</f>
        <v>10</v>
      </c>
      <c r="D299" s="3">
        <v>1506200</v>
      </c>
      <c r="E299" s="11">
        <v>20</v>
      </c>
      <c r="F299" s="3">
        <v>3358300</v>
      </c>
      <c r="G299" s="11">
        <v>10</v>
      </c>
      <c r="H299" s="3">
        <v>1435500</v>
      </c>
      <c r="I299" s="11">
        <v>4</v>
      </c>
      <c r="J299" s="3">
        <v>3479300</v>
      </c>
      <c r="K299" s="11">
        <v>12</v>
      </c>
      <c r="L299" s="3">
        <v>1960900</v>
      </c>
      <c r="M299" s="11">
        <v>53</v>
      </c>
      <c r="N299" s="3">
        <v>1194500</v>
      </c>
      <c r="O299" s="3">
        <f t="shared" si="29"/>
        <v>9779300</v>
      </c>
      <c r="P299" s="8">
        <f t="shared" si="30"/>
        <v>46</v>
      </c>
      <c r="Q299" s="3">
        <f t="shared" si="31"/>
        <v>11740200</v>
      </c>
      <c r="R299" s="8">
        <f t="shared" si="32"/>
        <v>99</v>
      </c>
      <c r="S299" s="9">
        <f t="shared" si="35"/>
        <v>1.1521739130434783</v>
      </c>
      <c r="T299" s="4">
        <f t="shared" si="33"/>
        <v>0.16702441184988331</v>
      </c>
    </row>
    <row r="300" spans="1:20" x14ac:dyDescent="0.3">
      <c r="A300" s="10">
        <v>45957</v>
      </c>
      <c r="B300" s="11">
        <v>27</v>
      </c>
      <c r="C300" s="11">
        <f>MONTH(Tabla1[[#This Row],[FECHA]])</f>
        <v>10</v>
      </c>
      <c r="D300" s="3">
        <v>1217800</v>
      </c>
      <c r="E300" s="11">
        <v>23</v>
      </c>
      <c r="F300" s="3">
        <v>4112100</v>
      </c>
      <c r="G300" s="11">
        <v>14</v>
      </c>
      <c r="H300" s="3">
        <v>8277300</v>
      </c>
      <c r="I300" s="11">
        <v>20</v>
      </c>
      <c r="J300" s="3">
        <v>2396100</v>
      </c>
      <c r="K300" s="11">
        <v>25</v>
      </c>
      <c r="L300" s="3">
        <v>11773900</v>
      </c>
      <c r="M300" s="11">
        <v>77</v>
      </c>
      <c r="N300" s="3">
        <v>2640200</v>
      </c>
      <c r="O300" s="3">
        <f t="shared" si="29"/>
        <v>16003300</v>
      </c>
      <c r="P300" s="8">
        <f t="shared" si="30"/>
        <v>82</v>
      </c>
      <c r="Q300" s="3">
        <f t="shared" si="31"/>
        <v>27777200</v>
      </c>
      <c r="R300" s="8">
        <f t="shared" si="32"/>
        <v>159</v>
      </c>
      <c r="S300" s="9">
        <f t="shared" si="35"/>
        <v>0.93902439024390238</v>
      </c>
      <c r="T300" s="4">
        <f t="shared" si="33"/>
        <v>0.42386921647970277</v>
      </c>
    </row>
    <row r="301" spans="1:20" x14ac:dyDescent="0.3">
      <c r="A301" s="10">
        <v>45958</v>
      </c>
      <c r="B301" s="11">
        <v>28</v>
      </c>
      <c r="C301" s="11">
        <f>MONTH(Tabla1[[#This Row],[FECHA]])</f>
        <v>10</v>
      </c>
      <c r="D301" s="3">
        <v>1535300</v>
      </c>
      <c r="E301" s="11">
        <v>22</v>
      </c>
      <c r="F301" s="3">
        <v>5341700</v>
      </c>
      <c r="G301" s="11">
        <v>23</v>
      </c>
      <c r="H301" s="3">
        <v>11015500</v>
      </c>
      <c r="I301" s="11">
        <v>20</v>
      </c>
      <c r="J301" s="3">
        <v>8180750</v>
      </c>
      <c r="K301" s="11">
        <v>31</v>
      </c>
      <c r="L301" s="3">
        <v>6192500</v>
      </c>
      <c r="M301" s="11">
        <v>73</v>
      </c>
      <c r="N301" s="3">
        <v>6918300</v>
      </c>
      <c r="O301" s="3">
        <f t="shared" si="29"/>
        <v>26073250</v>
      </c>
      <c r="P301" s="8">
        <f t="shared" si="30"/>
        <v>96</v>
      </c>
      <c r="Q301" s="3">
        <f t="shared" si="31"/>
        <v>32265750</v>
      </c>
      <c r="R301" s="8">
        <f t="shared" si="32"/>
        <v>169</v>
      </c>
      <c r="S301" s="9">
        <f t="shared" si="35"/>
        <v>0.76041666666666663</v>
      </c>
      <c r="T301" s="4">
        <f t="shared" si="33"/>
        <v>0.19192177463719268</v>
      </c>
    </row>
    <row r="302" spans="1:20" x14ac:dyDescent="0.3">
      <c r="A302" s="10">
        <v>45959</v>
      </c>
      <c r="B302" s="11">
        <v>29</v>
      </c>
      <c r="C302" s="11">
        <f>MONTH(Tabla1[[#This Row],[FECHA]])</f>
        <v>10</v>
      </c>
      <c r="D302" s="3">
        <v>1651700</v>
      </c>
      <c r="E302" s="11">
        <v>30</v>
      </c>
      <c r="F302" s="3">
        <v>3231900</v>
      </c>
      <c r="G302" s="11">
        <v>18</v>
      </c>
      <c r="H302" s="3">
        <v>2458300</v>
      </c>
      <c r="I302" s="11">
        <v>19</v>
      </c>
      <c r="J302" s="3">
        <v>6266100</v>
      </c>
      <c r="K302" s="11">
        <v>19</v>
      </c>
      <c r="L302" s="3">
        <v>5212600</v>
      </c>
      <c r="M302" s="11">
        <v>74</v>
      </c>
      <c r="N302" s="3">
        <v>8511700</v>
      </c>
      <c r="O302" s="3">
        <f t="shared" si="29"/>
        <v>13608000</v>
      </c>
      <c r="P302" s="8">
        <f t="shared" si="30"/>
        <v>86</v>
      </c>
      <c r="Q302" s="3">
        <f t="shared" si="31"/>
        <v>18820600</v>
      </c>
      <c r="R302" s="8">
        <f t="shared" si="32"/>
        <v>160</v>
      </c>
      <c r="S302" s="9">
        <f t="shared" si="35"/>
        <v>0.86046511627906974</v>
      </c>
      <c r="T302" s="4">
        <f t="shared" si="33"/>
        <v>0.27696247728552759</v>
      </c>
    </row>
    <row r="303" spans="1:20" x14ac:dyDescent="0.3">
      <c r="A303" s="10">
        <v>45960</v>
      </c>
      <c r="B303" s="11">
        <v>30</v>
      </c>
      <c r="C303" s="11">
        <f>MONTH(Tabla1[[#This Row],[FECHA]])</f>
        <v>10</v>
      </c>
      <c r="D303" s="3">
        <v>1787300</v>
      </c>
      <c r="E303" s="11">
        <v>21</v>
      </c>
      <c r="F303" s="3">
        <v>1012000</v>
      </c>
      <c r="G303" s="11">
        <v>11</v>
      </c>
      <c r="H303" s="3">
        <v>16483199</v>
      </c>
      <c r="I303" s="11">
        <v>24</v>
      </c>
      <c r="J303" s="3">
        <v>2940950</v>
      </c>
      <c r="K303" s="11">
        <v>37</v>
      </c>
      <c r="L303" s="3">
        <v>3079350</v>
      </c>
      <c r="M303" s="11">
        <v>72</v>
      </c>
      <c r="N303" s="3">
        <v>2323800</v>
      </c>
      <c r="O303" s="3">
        <f t="shared" si="29"/>
        <v>22223449</v>
      </c>
      <c r="P303" s="8">
        <f t="shared" si="30"/>
        <v>93</v>
      </c>
      <c r="Q303" s="3">
        <f t="shared" si="31"/>
        <v>25302799</v>
      </c>
      <c r="R303" s="8">
        <f t="shared" si="32"/>
        <v>165</v>
      </c>
      <c r="S303" s="9">
        <f t="shared" si="35"/>
        <v>0.77419354838709675</v>
      </c>
      <c r="T303" s="4">
        <f t="shared" si="33"/>
        <v>0.12169997477354186</v>
      </c>
    </row>
    <row r="304" spans="1:20" x14ac:dyDescent="0.3">
      <c r="A304" s="10">
        <v>45961</v>
      </c>
      <c r="B304" s="11">
        <v>31</v>
      </c>
      <c r="C304" s="11">
        <f>MONTH(Tabla1[[#This Row],[FECHA]])</f>
        <v>10</v>
      </c>
      <c r="D304" s="3">
        <v>505100</v>
      </c>
      <c r="E304" s="11">
        <v>15</v>
      </c>
      <c r="F304" s="3">
        <v>4244200</v>
      </c>
      <c r="G304" s="11">
        <v>23</v>
      </c>
      <c r="H304" s="3">
        <v>9975324</v>
      </c>
      <c r="I304" s="11">
        <v>21</v>
      </c>
      <c r="J304" s="3">
        <v>3726800</v>
      </c>
      <c r="K304" s="11">
        <v>19</v>
      </c>
      <c r="L304" s="3">
        <v>5635400</v>
      </c>
      <c r="M304" s="11">
        <v>71</v>
      </c>
      <c r="N304" s="3">
        <v>2745900</v>
      </c>
      <c r="O304" s="3">
        <f t="shared" si="29"/>
        <v>18451424</v>
      </c>
      <c r="P304" s="8">
        <f t="shared" si="30"/>
        <v>78</v>
      </c>
      <c r="Q304" s="3">
        <f t="shared" si="31"/>
        <v>24086824</v>
      </c>
      <c r="R304" s="8">
        <f t="shared" si="32"/>
        <v>149</v>
      </c>
      <c r="S304" s="9">
        <f t="shared" si="35"/>
        <v>0.91025641025641024</v>
      </c>
      <c r="T304" s="4">
        <f t="shared" si="33"/>
        <v>0.23396193703246224</v>
      </c>
    </row>
    <row r="305" spans="1:20" x14ac:dyDescent="0.3">
      <c r="A305" s="12">
        <v>45962</v>
      </c>
      <c r="B305" s="13">
        <v>1</v>
      </c>
      <c r="C305" s="13">
        <f>MONTH(Tabla1[[#This Row],[FECHA]])</f>
        <v>11</v>
      </c>
      <c r="D305" s="14">
        <v>1772800</v>
      </c>
      <c r="E305" s="15">
        <v>17</v>
      </c>
      <c r="F305" s="14">
        <v>4419063</v>
      </c>
      <c r="G305" s="16">
        <v>30</v>
      </c>
      <c r="H305" s="14">
        <v>17956600</v>
      </c>
      <c r="I305" s="17">
        <v>30</v>
      </c>
      <c r="J305" s="14">
        <v>12595100</v>
      </c>
      <c r="K305" s="17">
        <v>29</v>
      </c>
      <c r="L305" s="14">
        <v>4384900</v>
      </c>
      <c r="M305" s="17">
        <v>82</v>
      </c>
      <c r="N305" s="14">
        <f>'[1]NOVIEMBRE 1'!$D$111</f>
        <v>7617800</v>
      </c>
      <c r="O305" s="14">
        <f t="shared" ref="O305:O334" si="36">SUM(D305,F305,H305,J305)</f>
        <v>36743563</v>
      </c>
      <c r="P305" s="8">
        <f t="shared" ref="P305:P336" si="37">E305+G305+I305+K305</f>
        <v>106</v>
      </c>
      <c r="Q305" s="14">
        <f t="shared" si="31"/>
        <v>41128463</v>
      </c>
      <c r="R305" s="8">
        <f t="shared" si="32"/>
        <v>188</v>
      </c>
      <c r="S305" s="9">
        <f t="shared" si="35"/>
        <v>0.77358490566037741</v>
      </c>
      <c r="T305" s="18">
        <f t="shared" ref="T305:T334" si="38">(L305/Q305)</f>
        <v>0.10661473053345076</v>
      </c>
    </row>
    <row r="306" spans="1:20" x14ac:dyDescent="0.3">
      <c r="A306" s="12">
        <v>45963</v>
      </c>
      <c r="B306" s="13">
        <v>2</v>
      </c>
      <c r="C306" s="13">
        <f>MONTH(Tabla1[[#This Row],[FECHA]])</f>
        <v>11</v>
      </c>
      <c r="D306" s="14">
        <v>1400100</v>
      </c>
      <c r="E306" s="15">
        <v>11</v>
      </c>
      <c r="F306" s="14">
        <v>4952200</v>
      </c>
      <c r="G306" s="16">
        <v>30</v>
      </c>
      <c r="H306" s="14">
        <v>488200</v>
      </c>
      <c r="I306" s="17">
        <v>4</v>
      </c>
      <c r="J306" s="14">
        <v>4235200</v>
      </c>
      <c r="K306" s="17">
        <v>17</v>
      </c>
      <c r="L306" s="14">
        <v>2197400</v>
      </c>
      <c r="M306" s="17">
        <v>61</v>
      </c>
      <c r="N306" s="14">
        <v>7217000</v>
      </c>
      <c r="O306" s="14">
        <f t="shared" si="36"/>
        <v>11075700</v>
      </c>
      <c r="P306" s="8">
        <f t="shared" si="37"/>
        <v>62</v>
      </c>
      <c r="Q306" s="14">
        <f t="shared" si="31"/>
        <v>13273100</v>
      </c>
      <c r="R306" s="8">
        <f t="shared" si="32"/>
        <v>123</v>
      </c>
      <c r="S306" s="9">
        <f t="shared" si="35"/>
        <v>0.9838709677419355</v>
      </c>
      <c r="T306" s="18">
        <f t="shared" si="38"/>
        <v>0.16555288515870445</v>
      </c>
    </row>
    <row r="307" spans="1:20" x14ac:dyDescent="0.3">
      <c r="A307" s="12">
        <v>45964</v>
      </c>
      <c r="B307" s="19">
        <v>3</v>
      </c>
      <c r="C307" s="19">
        <f>MONTH(Tabla1[[#This Row],[FECHA]])</f>
        <v>11</v>
      </c>
      <c r="D307" s="14">
        <v>2211300</v>
      </c>
      <c r="E307" s="15">
        <v>18</v>
      </c>
      <c r="F307" s="14">
        <v>1817700</v>
      </c>
      <c r="G307" s="16">
        <v>15</v>
      </c>
      <c r="H307" s="14">
        <v>1586720</v>
      </c>
      <c r="I307" s="17">
        <v>10</v>
      </c>
      <c r="J307" s="14">
        <v>1237700</v>
      </c>
      <c r="K307" s="17">
        <v>18</v>
      </c>
      <c r="L307" s="14">
        <v>1653800</v>
      </c>
      <c r="M307" s="17">
        <v>41</v>
      </c>
      <c r="N307" s="14">
        <v>190200</v>
      </c>
      <c r="O307" s="14">
        <f t="shared" si="36"/>
        <v>6853420</v>
      </c>
      <c r="P307" s="8">
        <f t="shared" si="37"/>
        <v>61</v>
      </c>
      <c r="Q307" s="14">
        <f t="shared" si="31"/>
        <v>8507220</v>
      </c>
      <c r="R307" s="8">
        <f t="shared" si="32"/>
        <v>102</v>
      </c>
      <c r="S307" s="9">
        <f t="shared" si="35"/>
        <v>0.67213114754098358</v>
      </c>
      <c r="T307" s="18">
        <f t="shared" si="38"/>
        <v>0.19439958059154461</v>
      </c>
    </row>
    <row r="308" spans="1:20" x14ac:dyDescent="0.3">
      <c r="A308" s="12">
        <v>45965</v>
      </c>
      <c r="B308" s="13">
        <v>4</v>
      </c>
      <c r="C308" s="13">
        <f>MONTH(Tabla1[[#This Row],[FECHA]])</f>
        <v>11</v>
      </c>
      <c r="D308" s="14">
        <v>1788800</v>
      </c>
      <c r="E308" s="15">
        <v>25</v>
      </c>
      <c r="F308" s="14">
        <v>3907100</v>
      </c>
      <c r="G308" s="16">
        <v>19</v>
      </c>
      <c r="H308" s="14">
        <v>8101199</v>
      </c>
      <c r="I308" s="17">
        <v>37</v>
      </c>
      <c r="J308" s="14">
        <v>2858650</v>
      </c>
      <c r="K308" s="17">
        <v>41</v>
      </c>
      <c r="L308" s="14">
        <v>2994500</v>
      </c>
      <c r="M308" s="17">
        <v>71</v>
      </c>
      <c r="N308" s="14">
        <v>3660800</v>
      </c>
      <c r="O308" s="14">
        <f t="shared" si="36"/>
        <v>16655749</v>
      </c>
      <c r="P308" s="8">
        <f t="shared" si="37"/>
        <v>122</v>
      </c>
      <c r="Q308" s="14">
        <f t="shared" si="31"/>
        <v>19650249</v>
      </c>
      <c r="R308" s="8">
        <f t="shared" si="32"/>
        <v>193</v>
      </c>
      <c r="S308" s="9">
        <f t="shared" si="35"/>
        <v>0.58196721311475408</v>
      </c>
      <c r="T308" s="18">
        <f t="shared" si="38"/>
        <v>0.15238992645843827</v>
      </c>
    </row>
    <row r="309" spans="1:20" x14ac:dyDescent="0.3">
      <c r="A309" s="12">
        <v>45966</v>
      </c>
      <c r="B309" s="13">
        <v>5</v>
      </c>
      <c r="C309" s="13">
        <f>MONTH(Tabla1[[#This Row],[FECHA]])</f>
        <v>11</v>
      </c>
      <c r="D309" s="14">
        <v>763200</v>
      </c>
      <c r="E309" s="15">
        <v>13</v>
      </c>
      <c r="F309" s="14">
        <v>3786200</v>
      </c>
      <c r="G309" s="16">
        <v>23</v>
      </c>
      <c r="H309" s="14">
        <v>3174900</v>
      </c>
      <c r="I309" s="17">
        <v>17</v>
      </c>
      <c r="J309" s="14">
        <v>5052600</v>
      </c>
      <c r="K309" s="17">
        <v>40</v>
      </c>
      <c r="L309" s="14">
        <v>3941200</v>
      </c>
      <c r="M309" s="17">
        <v>87</v>
      </c>
      <c r="N309" s="14">
        <v>3288300</v>
      </c>
      <c r="O309" s="14">
        <f t="shared" si="36"/>
        <v>12776900</v>
      </c>
      <c r="P309" s="8">
        <f t="shared" si="37"/>
        <v>93</v>
      </c>
      <c r="Q309" s="14">
        <f t="shared" si="31"/>
        <v>16718100</v>
      </c>
      <c r="R309" s="8">
        <f t="shared" si="32"/>
        <v>180</v>
      </c>
      <c r="S309" s="9">
        <f t="shared" si="35"/>
        <v>0.93548387096774188</v>
      </c>
      <c r="T309" s="18">
        <f t="shared" si="38"/>
        <v>0.23574449249615687</v>
      </c>
    </row>
    <row r="310" spans="1:20" x14ac:dyDescent="0.3">
      <c r="A310" s="12">
        <v>45967</v>
      </c>
      <c r="B310" s="13">
        <v>6</v>
      </c>
      <c r="C310" s="13">
        <f>MONTH(Tabla1[[#This Row],[FECHA]])</f>
        <v>11</v>
      </c>
      <c r="D310" s="14">
        <v>1755400</v>
      </c>
      <c r="E310" s="15">
        <v>23</v>
      </c>
      <c r="F310" s="14">
        <v>3859500</v>
      </c>
      <c r="G310" s="16">
        <v>20</v>
      </c>
      <c r="H310" s="14">
        <v>7723026</v>
      </c>
      <c r="I310" s="17">
        <v>22</v>
      </c>
      <c r="J310" s="14">
        <v>3375250</v>
      </c>
      <c r="K310" s="17">
        <v>43</v>
      </c>
      <c r="L310" s="14">
        <v>5330800</v>
      </c>
      <c r="M310" s="17">
        <v>68</v>
      </c>
      <c r="N310" s="14">
        <v>1643950</v>
      </c>
      <c r="O310" s="14">
        <f t="shared" si="36"/>
        <v>16713176</v>
      </c>
      <c r="P310" s="8">
        <f t="shared" si="37"/>
        <v>108</v>
      </c>
      <c r="Q310" s="14">
        <f t="shared" si="31"/>
        <v>22043976</v>
      </c>
      <c r="R310" s="8">
        <f t="shared" si="32"/>
        <v>176</v>
      </c>
      <c r="S310" s="9">
        <f t="shared" si="35"/>
        <v>0.62962962962962965</v>
      </c>
      <c r="T310" s="18">
        <f t="shared" si="38"/>
        <v>0.24182570331232442</v>
      </c>
    </row>
    <row r="311" spans="1:20" x14ac:dyDescent="0.3">
      <c r="A311" s="12">
        <v>45968</v>
      </c>
      <c r="B311" s="13">
        <v>7</v>
      </c>
      <c r="C311" s="13">
        <f>MONTH(Tabla1[[#This Row],[FECHA]])</f>
        <v>11</v>
      </c>
      <c r="D311" s="14">
        <v>1734300</v>
      </c>
      <c r="E311" s="15">
        <v>28</v>
      </c>
      <c r="F311" s="14">
        <v>3393620</v>
      </c>
      <c r="G311" s="16">
        <v>18</v>
      </c>
      <c r="H311" s="14">
        <v>7395750</v>
      </c>
      <c r="I311" s="17">
        <v>24</v>
      </c>
      <c r="J311" s="14">
        <v>2392701</v>
      </c>
      <c r="K311" s="17">
        <v>21</v>
      </c>
      <c r="L311" s="14">
        <v>4116200</v>
      </c>
      <c r="M311" s="17">
        <v>60</v>
      </c>
      <c r="N311" s="14">
        <v>1952500</v>
      </c>
      <c r="O311" s="14">
        <f t="shared" si="36"/>
        <v>14916371</v>
      </c>
      <c r="P311" s="8">
        <f t="shared" si="37"/>
        <v>91</v>
      </c>
      <c r="Q311" s="14">
        <f t="shared" si="31"/>
        <v>19032571</v>
      </c>
      <c r="R311" s="8">
        <f t="shared" si="32"/>
        <v>151</v>
      </c>
      <c r="S311" s="9">
        <f t="shared" si="35"/>
        <v>0.65934065934065933</v>
      </c>
      <c r="T311" s="18">
        <f t="shared" si="38"/>
        <v>0.21627135923990512</v>
      </c>
    </row>
    <row r="312" spans="1:20" x14ac:dyDescent="0.3">
      <c r="A312" s="12">
        <v>45969</v>
      </c>
      <c r="B312" s="13">
        <v>8</v>
      </c>
      <c r="C312" s="13">
        <f>MONTH(Tabla1[[#This Row],[FECHA]])</f>
        <v>11</v>
      </c>
      <c r="D312" s="14">
        <v>959100</v>
      </c>
      <c r="E312" s="15">
        <v>21</v>
      </c>
      <c r="F312" s="14">
        <v>5275127</v>
      </c>
      <c r="G312" s="16">
        <v>25</v>
      </c>
      <c r="H312" s="14">
        <v>2117600</v>
      </c>
      <c r="I312" s="17">
        <v>11</v>
      </c>
      <c r="J312" s="14">
        <v>5833500</v>
      </c>
      <c r="K312" s="17">
        <v>36</v>
      </c>
      <c r="L312" s="14">
        <v>2901800</v>
      </c>
      <c r="M312" s="17">
        <v>83</v>
      </c>
      <c r="N312" s="14">
        <v>6189800</v>
      </c>
      <c r="O312" s="14">
        <f t="shared" si="36"/>
        <v>14185327</v>
      </c>
      <c r="P312" s="8">
        <f t="shared" si="37"/>
        <v>93</v>
      </c>
      <c r="Q312" s="14">
        <f t="shared" si="31"/>
        <v>17087127</v>
      </c>
      <c r="R312" s="8">
        <f t="shared" si="32"/>
        <v>176</v>
      </c>
      <c r="S312" s="9">
        <f t="shared" si="35"/>
        <v>0.89247311827956988</v>
      </c>
      <c r="T312" s="18">
        <f t="shared" si="38"/>
        <v>0.16982375094420496</v>
      </c>
    </row>
    <row r="313" spans="1:20" x14ac:dyDescent="0.3">
      <c r="A313" s="12">
        <v>45970</v>
      </c>
      <c r="B313" s="13">
        <v>9</v>
      </c>
      <c r="C313" s="13">
        <f>MONTH(Tabla1[[#This Row],[FECHA]])</f>
        <v>11</v>
      </c>
      <c r="D313" s="14">
        <v>351000</v>
      </c>
      <c r="E313" s="15">
        <v>9</v>
      </c>
      <c r="F313" s="14">
        <v>2195750</v>
      </c>
      <c r="G313" s="16">
        <v>15</v>
      </c>
      <c r="H313" s="14">
        <v>649500</v>
      </c>
      <c r="I313" s="17">
        <v>6</v>
      </c>
      <c r="J313" s="14">
        <v>1935900</v>
      </c>
      <c r="K313" s="17">
        <v>15</v>
      </c>
      <c r="L313" s="14">
        <v>1194900</v>
      </c>
      <c r="M313" s="17">
        <v>47</v>
      </c>
      <c r="N313" s="14">
        <v>314400</v>
      </c>
      <c r="O313" s="14">
        <f t="shared" si="36"/>
        <v>5132150</v>
      </c>
      <c r="P313" s="8">
        <f t="shared" si="37"/>
        <v>45</v>
      </c>
      <c r="Q313" s="14">
        <f t="shared" si="31"/>
        <v>6327050</v>
      </c>
      <c r="R313" s="8">
        <f t="shared" si="32"/>
        <v>92</v>
      </c>
      <c r="S313" s="9">
        <f t="shared" si="35"/>
        <v>1.0444444444444445</v>
      </c>
      <c r="T313" s="18">
        <f t="shared" si="38"/>
        <v>0.18885578587177279</v>
      </c>
    </row>
    <row r="314" spans="1:20" x14ac:dyDescent="0.3">
      <c r="A314" s="12">
        <v>45971</v>
      </c>
      <c r="B314" s="13">
        <v>10</v>
      </c>
      <c r="C314" s="13">
        <f>MONTH(Tabla1[[#This Row],[FECHA]])</f>
        <v>11</v>
      </c>
      <c r="D314" s="14">
        <v>1646200</v>
      </c>
      <c r="E314" s="15">
        <v>30</v>
      </c>
      <c r="F314" s="14">
        <v>1863100</v>
      </c>
      <c r="G314" s="16">
        <v>11</v>
      </c>
      <c r="H314" s="14">
        <v>6940000</v>
      </c>
      <c r="I314" s="17">
        <v>31</v>
      </c>
      <c r="J314" s="14">
        <v>3759700</v>
      </c>
      <c r="K314" s="17">
        <v>34</v>
      </c>
      <c r="L314" s="14">
        <v>5428500</v>
      </c>
      <c r="M314" s="17">
        <v>66</v>
      </c>
      <c r="N314" s="14">
        <v>6735150</v>
      </c>
      <c r="O314" s="14">
        <f t="shared" si="36"/>
        <v>14209000</v>
      </c>
      <c r="P314" s="8">
        <f t="shared" si="37"/>
        <v>106</v>
      </c>
      <c r="Q314" s="14">
        <f t="shared" si="31"/>
        <v>19637500</v>
      </c>
      <c r="R314" s="8">
        <f t="shared" si="32"/>
        <v>172</v>
      </c>
      <c r="S314" s="9">
        <f t="shared" si="35"/>
        <v>0.62264150943396224</v>
      </c>
      <c r="T314" s="18">
        <f t="shared" si="38"/>
        <v>0.27643539147040103</v>
      </c>
    </row>
    <row r="315" spans="1:20" x14ac:dyDescent="0.3">
      <c r="A315" s="12">
        <v>45972</v>
      </c>
      <c r="B315" s="13">
        <v>11</v>
      </c>
      <c r="C315" s="13">
        <f>MONTH(Tabla1[[#This Row],[FECHA]])</f>
        <v>11</v>
      </c>
      <c r="D315" s="14">
        <v>1535600</v>
      </c>
      <c r="E315" s="15">
        <v>20</v>
      </c>
      <c r="F315" s="14">
        <v>2511300</v>
      </c>
      <c r="G315" s="16">
        <v>25</v>
      </c>
      <c r="H315" s="14">
        <v>9397700</v>
      </c>
      <c r="I315" s="17">
        <v>23</v>
      </c>
      <c r="J315" s="14">
        <v>3295400</v>
      </c>
      <c r="K315" s="17">
        <v>33</v>
      </c>
      <c r="L315" s="14">
        <v>3207700</v>
      </c>
      <c r="M315" s="17">
        <v>84</v>
      </c>
      <c r="N315" s="14">
        <v>6391700</v>
      </c>
      <c r="O315" s="14">
        <f t="shared" si="36"/>
        <v>16740000</v>
      </c>
      <c r="P315" s="8">
        <f t="shared" si="37"/>
        <v>101</v>
      </c>
      <c r="Q315" s="14">
        <f t="shared" si="31"/>
        <v>19947700</v>
      </c>
      <c r="R315" s="8">
        <f t="shared" si="32"/>
        <v>185</v>
      </c>
      <c r="S315" s="9">
        <f t="shared" si="35"/>
        <v>0.83168316831683164</v>
      </c>
      <c r="T315" s="18">
        <f t="shared" si="38"/>
        <v>0.16080550639923399</v>
      </c>
    </row>
    <row r="316" spans="1:20" x14ac:dyDescent="0.3">
      <c r="A316" s="12">
        <v>45973</v>
      </c>
      <c r="B316" s="13">
        <v>12</v>
      </c>
      <c r="C316" s="13">
        <f>MONTH(Tabla1[[#This Row],[FECHA]])</f>
        <v>11</v>
      </c>
      <c r="D316" s="14">
        <v>732900</v>
      </c>
      <c r="E316" s="15">
        <v>11</v>
      </c>
      <c r="F316" s="14">
        <v>4147800</v>
      </c>
      <c r="G316" s="16">
        <v>22</v>
      </c>
      <c r="H316" s="14">
        <v>15659000</v>
      </c>
      <c r="I316" s="17">
        <v>23</v>
      </c>
      <c r="J316" s="14">
        <v>3176200</v>
      </c>
      <c r="K316" s="17">
        <v>32</v>
      </c>
      <c r="L316" s="14">
        <v>9456500</v>
      </c>
      <c r="M316" s="17">
        <v>89</v>
      </c>
      <c r="N316" s="14">
        <v>4677800</v>
      </c>
      <c r="O316" s="14">
        <f t="shared" si="36"/>
        <v>23715900</v>
      </c>
      <c r="P316" s="8">
        <f t="shared" si="37"/>
        <v>88</v>
      </c>
      <c r="Q316" s="14">
        <f t="shared" si="31"/>
        <v>33172400</v>
      </c>
      <c r="R316" s="8">
        <f t="shared" si="32"/>
        <v>177</v>
      </c>
      <c r="S316" s="9">
        <f t="shared" si="35"/>
        <v>1.0113636363636365</v>
      </c>
      <c r="T316" s="18">
        <f t="shared" si="38"/>
        <v>0.28507132435398103</v>
      </c>
    </row>
    <row r="317" spans="1:20" x14ac:dyDescent="0.3">
      <c r="A317" s="12">
        <v>45974</v>
      </c>
      <c r="B317" s="13">
        <v>13</v>
      </c>
      <c r="C317" s="13">
        <f>MONTH(Tabla1[[#This Row],[FECHA]])</f>
        <v>11</v>
      </c>
      <c r="D317" s="14">
        <v>1564300</v>
      </c>
      <c r="E317" s="15">
        <v>23</v>
      </c>
      <c r="F317" s="14">
        <v>2990600</v>
      </c>
      <c r="G317" s="16">
        <v>19</v>
      </c>
      <c r="H317" s="14">
        <v>13186386</v>
      </c>
      <c r="I317" s="17">
        <v>28</v>
      </c>
      <c r="J317" s="14">
        <v>3740300</v>
      </c>
      <c r="K317" s="17">
        <v>40</v>
      </c>
      <c r="L317" s="14">
        <v>4859400</v>
      </c>
      <c r="M317" s="17">
        <v>72</v>
      </c>
      <c r="N317" s="14">
        <v>4848600</v>
      </c>
      <c r="O317" s="14">
        <f t="shared" si="36"/>
        <v>21481586</v>
      </c>
      <c r="P317" s="8">
        <f t="shared" si="37"/>
        <v>110</v>
      </c>
      <c r="Q317" s="14">
        <f t="shared" si="31"/>
        <v>26340986</v>
      </c>
      <c r="R317" s="8">
        <f t="shared" si="32"/>
        <v>182</v>
      </c>
      <c r="S317" s="9">
        <f t="shared" si="35"/>
        <v>0.65454545454545454</v>
      </c>
      <c r="T317" s="18">
        <f t="shared" si="38"/>
        <v>0.1844805657616613</v>
      </c>
    </row>
    <row r="318" spans="1:20" x14ac:dyDescent="0.3">
      <c r="A318" s="12">
        <v>45975</v>
      </c>
      <c r="B318" s="13">
        <v>14</v>
      </c>
      <c r="C318" s="13">
        <f>MONTH(Tabla1[[#This Row],[FECHA]])</f>
        <v>11</v>
      </c>
      <c r="D318" s="14">
        <v>784600</v>
      </c>
      <c r="E318" s="15">
        <v>11</v>
      </c>
      <c r="F318" s="14">
        <v>1113700</v>
      </c>
      <c r="G318" s="16">
        <v>10</v>
      </c>
      <c r="H318" s="14">
        <v>13369785</v>
      </c>
      <c r="I318" s="17">
        <v>29</v>
      </c>
      <c r="J318" s="14">
        <v>1976250</v>
      </c>
      <c r="K318" s="17">
        <v>29</v>
      </c>
      <c r="L318" s="14">
        <v>2971600</v>
      </c>
      <c r="M318" s="17">
        <v>74</v>
      </c>
      <c r="N318" s="14">
        <v>2311300</v>
      </c>
      <c r="O318" s="14">
        <f t="shared" si="36"/>
        <v>17244335</v>
      </c>
      <c r="P318" s="8">
        <f t="shared" si="37"/>
        <v>79</v>
      </c>
      <c r="Q318" s="14">
        <f t="shared" si="31"/>
        <v>20215935</v>
      </c>
      <c r="R318" s="8">
        <f t="shared" si="32"/>
        <v>153</v>
      </c>
      <c r="S318" s="9">
        <f t="shared" si="35"/>
        <v>0.93670886075949367</v>
      </c>
      <c r="T318" s="18">
        <f t="shared" si="38"/>
        <v>0.14699295382578148</v>
      </c>
    </row>
    <row r="319" spans="1:20" x14ac:dyDescent="0.3">
      <c r="A319" s="12">
        <v>45976</v>
      </c>
      <c r="B319" s="13">
        <v>15</v>
      </c>
      <c r="C319" s="13">
        <f>MONTH(Tabla1[[#This Row],[FECHA]])</f>
        <v>11</v>
      </c>
      <c r="D319" s="14">
        <v>894500</v>
      </c>
      <c r="E319" s="15">
        <v>22</v>
      </c>
      <c r="F319" s="14">
        <v>3775700</v>
      </c>
      <c r="G319" s="16">
        <v>19</v>
      </c>
      <c r="H319" s="14">
        <v>3548460</v>
      </c>
      <c r="I319" s="17">
        <v>15</v>
      </c>
      <c r="J319" s="14">
        <v>6241200</v>
      </c>
      <c r="K319" s="17">
        <v>28</v>
      </c>
      <c r="L319" s="14">
        <v>3284500</v>
      </c>
      <c r="M319" s="17">
        <v>72</v>
      </c>
      <c r="N319" s="14">
        <v>10074100</v>
      </c>
      <c r="O319" s="14">
        <f t="shared" si="36"/>
        <v>14459860</v>
      </c>
      <c r="P319" s="8">
        <f t="shared" si="37"/>
        <v>84</v>
      </c>
      <c r="Q319" s="14">
        <f t="shared" si="31"/>
        <v>17744360</v>
      </c>
      <c r="R319" s="8">
        <f t="shared" si="32"/>
        <v>156</v>
      </c>
      <c r="S319" s="9">
        <f t="shared" si="35"/>
        <v>0.8571428571428571</v>
      </c>
      <c r="T319" s="18">
        <f t="shared" si="38"/>
        <v>0.18510106873395266</v>
      </c>
    </row>
    <row r="320" spans="1:20" x14ac:dyDescent="0.3">
      <c r="A320" s="12">
        <v>45977</v>
      </c>
      <c r="B320" s="13">
        <v>16</v>
      </c>
      <c r="C320" s="13">
        <f>MONTH(Tabla1[[#This Row],[FECHA]])</f>
        <v>11</v>
      </c>
      <c r="D320" s="14">
        <v>1019000</v>
      </c>
      <c r="E320" s="15">
        <v>18</v>
      </c>
      <c r="F320" s="14">
        <v>2468000</v>
      </c>
      <c r="G320" s="16">
        <v>18</v>
      </c>
      <c r="H320" s="14">
        <v>1827500</v>
      </c>
      <c r="I320" s="17">
        <v>7</v>
      </c>
      <c r="J320" s="14">
        <v>597800</v>
      </c>
      <c r="K320" s="17">
        <v>14</v>
      </c>
      <c r="L320" s="14">
        <v>1883300</v>
      </c>
      <c r="M320" s="17">
        <v>55</v>
      </c>
      <c r="N320" s="14">
        <v>2063900</v>
      </c>
      <c r="O320" s="14">
        <f t="shared" si="36"/>
        <v>5912300</v>
      </c>
      <c r="P320" s="8">
        <f t="shared" si="37"/>
        <v>57</v>
      </c>
      <c r="Q320" s="14">
        <f t="shared" si="31"/>
        <v>7795600</v>
      </c>
      <c r="R320" s="8">
        <f t="shared" si="32"/>
        <v>112</v>
      </c>
      <c r="S320" s="9">
        <f t="shared" si="35"/>
        <v>0.96491228070175439</v>
      </c>
      <c r="T320" s="18">
        <f t="shared" si="38"/>
        <v>0.24158499666478525</v>
      </c>
    </row>
    <row r="321" spans="1:20" x14ac:dyDescent="0.3">
      <c r="A321" s="12">
        <v>45978</v>
      </c>
      <c r="B321" s="13">
        <v>17</v>
      </c>
      <c r="C321" s="13">
        <f>MONTH(Tabla1[[#This Row],[FECHA]])</f>
        <v>11</v>
      </c>
      <c r="D321" s="14">
        <v>1409100</v>
      </c>
      <c r="E321" s="15">
        <v>14</v>
      </c>
      <c r="F321" s="14">
        <v>1278100</v>
      </c>
      <c r="G321" s="16">
        <v>9</v>
      </c>
      <c r="H321" s="14">
        <v>1284500</v>
      </c>
      <c r="I321" s="17">
        <v>5</v>
      </c>
      <c r="J321" s="14">
        <v>863100</v>
      </c>
      <c r="K321" s="17">
        <v>17</v>
      </c>
      <c r="L321" s="14">
        <v>1812800</v>
      </c>
      <c r="M321" s="17">
        <v>36</v>
      </c>
      <c r="N321" s="14">
        <v>0</v>
      </c>
      <c r="O321" s="14">
        <f t="shared" si="36"/>
        <v>4834800</v>
      </c>
      <c r="P321" s="8">
        <f t="shared" si="37"/>
        <v>45</v>
      </c>
      <c r="Q321" s="14">
        <f t="shared" ref="Q321:Q350" si="39">O321+L321</f>
        <v>6647600</v>
      </c>
      <c r="R321" s="8">
        <f t="shared" ref="R321:R350" si="40">P321+M321</f>
        <v>81</v>
      </c>
      <c r="S321" s="9">
        <f t="shared" si="35"/>
        <v>0.8</v>
      </c>
      <c r="T321" s="18">
        <f t="shared" si="38"/>
        <v>0.27269992177628016</v>
      </c>
    </row>
    <row r="322" spans="1:20" x14ac:dyDescent="0.3">
      <c r="A322" s="12">
        <v>45979</v>
      </c>
      <c r="B322" s="13">
        <v>18</v>
      </c>
      <c r="C322" s="13">
        <f>MONTH(Tabla1[[#This Row],[FECHA]])</f>
        <v>11</v>
      </c>
      <c r="D322" s="14">
        <v>2377500</v>
      </c>
      <c r="E322" s="15">
        <v>34</v>
      </c>
      <c r="F322" s="14">
        <v>5636100</v>
      </c>
      <c r="G322" s="16">
        <v>16</v>
      </c>
      <c r="H322" s="14">
        <v>18507588</v>
      </c>
      <c r="I322" s="17">
        <v>28</v>
      </c>
      <c r="J322" s="14">
        <v>11268950</v>
      </c>
      <c r="K322" s="17">
        <v>31</v>
      </c>
      <c r="L322" s="14">
        <v>7540000</v>
      </c>
      <c r="M322" s="17">
        <v>82</v>
      </c>
      <c r="N322" s="14">
        <v>10162000</v>
      </c>
      <c r="O322" s="14">
        <f t="shared" si="36"/>
        <v>37790138</v>
      </c>
      <c r="P322" s="8">
        <f t="shared" si="37"/>
        <v>109</v>
      </c>
      <c r="Q322" s="14">
        <f t="shared" si="39"/>
        <v>45330138</v>
      </c>
      <c r="R322" s="8">
        <f t="shared" si="40"/>
        <v>191</v>
      </c>
      <c r="S322" s="9">
        <f t="shared" si="35"/>
        <v>0.75229357798165142</v>
      </c>
      <c r="T322" s="18">
        <f t="shared" si="38"/>
        <v>0.1663352536010369</v>
      </c>
    </row>
    <row r="323" spans="1:20" x14ac:dyDescent="0.3">
      <c r="A323" s="12">
        <v>45980</v>
      </c>
      <c r="B323" s="13">
        <v>19</v>
      </c>
      <c r="C323" s="13">
        <f>MONTH(Tabla1[[#This Row],[FECHA]])</f>
        <v>11</v>
      </c>
      <c r="D323" s="14">
        <v>3052900</v>
      </c>
      <c r="E323" s="15">
        <v>29</v>
      </c>
      <c r="F323" s="14">
        <v>3610800</v>
      </c>
      <c r="G323" s="16">
        <v>20</v>
      </c>
      <c r="H323" s="14">
        <v>7380590</v>
      </c>
      <c r="I323" s="17">
        <v>25</v>
      </c>
      <c r="J323" s="14">
        <v>5238900</v>
      </c>
      <c r="K323" s="17">
        <v>34</v>
      </c>
      <c r="L323" s="14">
        <v>10237450</v>
      </c>
      <c r="M323" s="17">
        <v>71</v>
      </c>
      <c r="N323" s="14">
        <v>17968000</v>
      </c>
      <c r="O323" s="14">
        <f t="shared" si="36"/>
        <v>19283190</v>
      </c>
      <c r="P323" s="8">
        <f t="shared" si="37"/>
        <v>108</v>
      </c>
      <c r="Q323" s="14">
        <f t="shared" si="39"/>
        <v>29520640</v>
      </c>
      <c r="R323" s="8">
        <f t="shared" si="40"/>
        <v>179</v>
      </c>
      <c r="S323" s="9">
        <f t="shared" si="35"/>
        <v>0.65740740740740744</v>
      </c>
      <c r="T323" s="18">
        <f t="shared" si="38"/>
        <v>0.34678956824784285</v>
      </c>
    </row>
    <row r="324" spans="1:20" x14ac:dyDescent="0.3">
      <c r="A324" s="12">
        <v>45981</v>
      </c>
      <c r="B324" s="13">
        <v>20</v>
      </c>
      <c r="C324" s="13">
        <f>MONTH(Tabla1[[#This Row],[FECHA]])</f>
        <v>11</v>
      </c>
      <c r="D324" s="14">
        <v>1298200</v>
      </c>
      <c r="E324" s="15">
        <v>30</v>
      </c>
      <c r="F324" s="14">
        <v>3888200</v>
      </c>
      <c r="G324" s="16">
        <v>19</v>
      </c>
      <c r="H324" s="14">
        <v>13025800</v>
      </c>
      <c r="I324" s="17">
        <v>31</v>
      </c>
      <c r="J324" s="14">
        <v>3634303</v>
      </c>
      <c r="K324" s="17">
        <v>23</v>
      </c>
      <c r="L324" s="14">
        <v>7126800</v>
      </c>
      <c r="M324" s="17">
        <v>87</v>
      </c>
      <c r="N324" s="14">
        <v>5156600</v>
      </c>
      <c r="O324" s="14">
        <f t="shared" si="36"/>
        <v>21846503</v>
      </c>
      <c r="P324" s="8">
        <f t="shared" si="37"/>
        <v>103</v>
      </c>
      <c r="Q324" s="14">
        <f t="shared" si="39"/>
        <v>28973303</v>
      </c>
      <c r="R324" s="8">
        <f t="shared" si="40"/>
        <v>190</v>
      </c>
      <c r="S324" s="9">
        <f t="shared" si="35"/>
        <v>0.84466019417475724</v>
      </c>
      <c r="T324" s="18">
        <f t="shared" si="38"/>
        <v>0.24597816824681673</v>
      </c>
    </row>
    <row r="325" spans="1:20" x14ac:dyDescent="0.3">
      <c r="A325" s="12">
        <v>45982</v>
      </c>
      <c r="B325" s="13">
        <v>21</v>
      </c>
      <c r="C325" s="13">
        <f>MONTH(Tabla1[[#This Row],[FECHA]])</f>
        <v>11</v>
      </c>
      <c r="D325" s="14">
        <v>599500</v>
      </c>
      <c r="E325" s="15">
        <v>12</v>
      </c>
      <c r="F325" s="14">
        <v>1513650</v>
      </c>
      <c r="G325" s="16">
        <v>16</v>
      </c>
      <c r="H325" s="14">
        <v>11880000</v>
      </c>
      <c r="I325" s="17">
        <v>25</v>
      </c>
      <c r="J325" s="14">
        <v>2553000</v>
      </c>
      <c r="K325" s="17">
        <v>29</v>
      </c>
      <c r="L325" s="14">
        <v>3555000</v>
      </c>
      <c r="M325" s="17">
        <v>76</v>
      </c>
      <c r="N325" s="14">
        <v>2220700</v>
      </c>
      <c r="O325" s="14">
        <f t="shared" si="36"/>
        <v>16546150</v>
      </c>
      <c r="P325" s="8">
        <f t="shared" si="37"/>
        <v>82</v>
      </c>
      <c r="Q325" s="14">
        <f t="shared" si="39"/>
        <v>20101150</v>
      </c>
      <c r="R325" s="8">
        <f t="shared" si="40"/>
        <v>158</v>
      </c>
      <c r="S325" s="9">
        <f t="shared" si="35"/>
        <v>0.92682926829268297</v>
      </c>
      <c r="T325" s="18">
        <f t="shared" si="38"/>
        <v>0.17685555304049769</v>
      </c>
    </row>
    <row r="326" spans="1:20" x14ac:dyDescent="0.3">
      <c r="A326" s="12">
        <v>45983</v>
      </c>
      <c r="B326" s="13">
        <v>22</v>
      </c>
      <c r="C326" s="13">
        <f>MONTH(Tabla1[[#This Row],[FECHA]])</f>
        <v>11</v>
      </c>
      <c r="D326" s="14">
        <v>1039800</v>
      </c>
      <c r="E326" s="15">
        <v>14</v>
      </c>
      <c r="F326" s="14">
        <v>8644600</v>
      </c>
      <c r="G326" s="16">
        <v>26</v>
      </c>
      <c r="H326" s="14">
        <v>8323462</v>
      </c>
      <c r="I326" s="17">
        <v>24</v>
      </c>
      <c r="J326" s="14">
        <v>6560500</v>
      </c>
      <c r="K326" s="17">
        <v>29</v>
      </c>
      <c r="L326" s="14">
        <v>3985200</v>
      </c>
      <c r="M326" s="17">
        <v>87</v>
      </c>
      <c r="N326" s="14">
        <v>3777850</v>
      </c>
      <c r="O326" s="14">
        <f t="shared" si="36"/>
        <v>24568362</v>
      </c>
      <c r="P326" s="8">
        <f t="shared" si="37"/>
        <v>93</v>
      </c>
      <c r="Q326" s="14">
        <f t="shared" si="39"/>
        <v>28553562</v>
      </c>
      <c r="R326" s="8">
        <f t="shared" si="40"/>
        <v>180</v>
      </c>
      <c r="S326" s="9">
        <f t="shared" si="35"/>
        <v>0.93548387096774188</v>
      </c>
      <c r="T326" s="18">
        <f t="shared" si="38"/>
        <v>0.13956927685589629</v>
      </c>
    </row>
    <row r="327" spans="1:20" x14ac:dyDescent="0.3">
      <c r="A327" s="12">
        <v>45984</v>
      </c>
      <c r="B327" s="13">
        <v>23</v>
      </c>
      <c r="C327" s="13">
        <f>MONTH(Tabla1[[#This Row],[FECHA]])</f>
        <v>11</v>
      </c>
      <c r="D327" s="14">
        <v>2787600</v>
      </c>
      <c r="E327" s="15">
        <v>21</v>
      </c>
      <c r="F327" s="14">
        <v>2092500</v>
      </c>
      <c r="G327" s="16">
        <v>10</v>
      </c>
      <c r="H327" s="14">
        <v>727000</v>
      </c>
      <c r="I327" s="17">
        <v>5</v>
      </c>
      <c r="J327" s="14">
        <v>3602300</v>
      </c>
      <c r="K327" s="17">
        <v>18</v>
      </c>
      <c r="L327" s="14">
        <v>2758100</v>
      </c>
      <c r="M327" s="17">
        <v>55</v>
      </c>
      <c r="N327" s="14">
        <v>2746000</v>
      </c>
      <c r="O327" s="14">
        <f t="shared" si="36"/>
        <v>9209400</v>
      </c>
      <c r="P327" s="8">
        <f t="shared" si="37"/>
        <v>54</v>
      </c>
      <c r="Q327" s="14">
        <f t="shared" si="39"/>
        <v>11967500</v>
      </c>
      <c r="R327" s="8">
        <f t="shared" si="40"/>
        <v>109</v>
      </c>
      <c r="S327" s="9">
        <f t="shared" ref="S327:S350" si="41">M327/P327</f>
        <v>1.0185185185185186</v>
      </c>
      <c r="T327" s="18">
        <f t="shared" si="38"/>
        <v>0.23046584499686651</v>
      </c>
    </row>
    <row r="328" spans="1:20" x14ac:dyDescent="0.3">
      <c r="A328" s="12">
        <v>45985</v>
      </c>
      <c r="B328" s="13">
        <v>24</v>
      </c>
      <c r="C328" s="13">
        <f>MONTH(Tabla1[[#This Row],[FECHA]])</f>
        <v>11</v>
      </c>
      <c r="D328" s="14">
        <v>1002700</v>
      </c>
      <c r="E328" s="15">
        <v>26</v>
      </c>
      <c r="F328" s="14">
        <v>4967370</v>
      </c>
      <c r="G328" s="16">
        <v>23</v>
      </c>
      <c r="H328" s="14">
        <v>12458294</v>
      </c>
      <c r="I328" s="17">
        <v>22</v>
      </c>
      <c r="J328" s="14">
        <v>2900900</v>
      </c>
      <c r="K328" s="17">
        <v>20</v>
      </c>
      <c r="L328" s="14">
        <v>7223000</v>
      </c>
      <c r="M328" s="17">
        <v>84</v>
      </c>
      <c r="N328" s="14">
        <v>10771300</v>
      </c>
      <c r="O328" s="14">
        <f t="shared" si="36"/>
        <v>21329264</v>
      </c>
      <c r="P328" s="8">
        <f t="shared" si="37"/>
        <v>91</v>
      </c>
      <c r="Q328" s="14">
        <f t="shared" si="39"/>
        <v>28552264</v>
      </c>
      <c r="R328" s="8">
        <f t="shared" si="40"/>
        <v>175</v>
      </c>
      <c r="S328" s="9">
        <f t="shared" si="41"/>
        <v>0.92307692307692313</v>
      </c>
      <c r="T328" s="18">
        <f t="shared" si="38"/>
        <v>0.25297468529991179</v>
      </c>
    </row>
    <row r="329" spans="1:20" x14ac:dyDescent="0.3">
      <c r="A329" s="12">
        <v>45986</v>
      </c>
      <c r="B329" s="13">
        <v>25</v>
      </c>
      <c r="C329" s="13">
        <f>MONTH(Tabla1[[#This Row],[FECHA]])</f>
        <v>11</v>
      </c>
      <c r="D329" s="14">
        <v>2135700</v>
      </c>
      <c r="E329" s="15">
        <v>29</v>
      </c>
      <c r="F329" s="14">
        <v>1977700</v>
      </c>
      <c r="G329" s="16">
        <v>12</v>
      </c>
      <c r="H329" s="14">
        <v>16749498</v>
      </c>
      <c r="I329" s="17">
        <v>31</v>
      </c>
      <c r="J329" s="14">
        <v>2995500</v>
      </c>
      <c r="K329" s="17">
        <v>12</v>
      </c>
      <c r="L329" s="14">
        <v>10238850</v>
      </c>
      <c r="M329" s="17">
        <v>86</v>
      </c>
      <c r="N329" s="14">
        <v>6880600</v>
      </c>
      <c r="O329" s="14">
        <f t="shared" si="36"/>
        <v>23858398</v>
      </c>
      <c r="P329" s="8">
        <f t="shared" si="37"/>
        <v>84</v>
      </c>
      <c r="Q329" s="14">
        <f t="shared" si="39"/>
        <v>34097248</v>
      </c>
      <c r="R329" s="8">
        <f t="shared" si="40"/>
        <v>170</v>
      </c>
      <c r="S329" s="9">
        <f t="shared" si="41"/>
        <v>1.0238095238095237</v>
      </c>
      <c r="T329" s="18">
        <f t="shared" si="38"/>
        <v>0.30028376483638797</v>
      </c>
    </row>
    <row r="330" spans="1:20" x14ac:dyDescent="0.3">
      <c r="A330" s="12">
        <v>45987</v>
      </c>
      <c r="B330" s="13">
        <v>26</v>
      </c>
      <c r="C330" s="13">
        <f>MONTH(Tabla1[[#This Row],[FECHA]])</f>
        <v>11</v>
      </c>
      <c r="D330" s="14">
        <v>1247200</v>
      </c>
      <c r="E330" s="15">
        <v>20</v>
      </c>
      <c r="F330" s="14">
        <v>5827600</v>
      </c>
      <c r="G330" s="16">
        <v>19</v>
      </c>
      <c r="H330" s="14">
        <v>5726700</v>
      </c>
      <c r="I330" s="17">
        <v>28</v>
      </c>
      <c r="J330" s="14">
        <v>3402080</v>
      </c>
      <c r="K330" s="17">
        <v>23</v>
      </c>
      <c r="L330" s="14">
        <v>5121400</v>
      </c>
      <c r="M330" s="17">
        <v>83</v>
      </c>
      <c r="N330" s="14">
        <v>7482900</v>
      </c>
      <c r="O330" s="14">
        <f t="shared" si="36"/>
        <v>16203580</v>
      </c>
      <c r="P330" s="8">
        <f t="shared" si="37"/>
        <v>90</v>
      </c>
      <c r="Q330" s="14">
        <f t="shared" si="39"/>
        <v>21324980</v>
      </c>
      <c r="R330" s="8">
        <f t="shared" si="40"/>
        <v>173</v>
      </c>
      <c r="S330" s="9">
        <f t="shared" si="41"/>
        <v>0.92222222222222228</v>
      </c>
      <c r="T330" s="18">
        <f t="shared" si="38"/>
        <v>0.24015966251785464</v>
      </c>
    </row>
    <row r="331" spans="1:20" x14ac:dyDescent="0.3">
      <c r="A331" s="12">
        <v>45988</v>
      </c>
      <c r="B331" s="13">
        <v>27</v>
      </c>
      <c r="C331" s="13">
        <f>MONTH(Tabla1[[#This Row],[FECHA]])</f>
        <v>11</v>
      </c>
      <c r="D331" s="14">
        <v>1137100</v>
      </c>
      <c r="E331" s="15">
        <v>16</v>
      </c>
      <c r="F331" s="14">
        <v>2648900</v>
      </c>
      <c r="G331" s="16">
        <v>13</v>
      </c>
      <c r="H331" s="14">
        <v>13286568</v>
      </c>
      <c r="I331" s="17">
        <v>26</v>
      </c>
      <c r="J331" s="14">
        <v>2001900</v>
      </c>
      <c r="K331" s="17">
        <v>36</v>
      </c>
      <c r="L331" s="14">
        <v>4165200</v>
      </c>
      <c r="M331" s="17">
        <v>48</v>
      </c>
      <c r="N331" s="14">
        <v>3419400</v>
      </c>
      <c r="O331" s="14">
        <f t="shared" si="36"/>
        <v>19074468</v>
      </c>
      <c r="P331" s="8">
        <f t="shared" si="37"/>
        <v>91</v>
      </c>
      <c r="Q331" s="14">
        <f t="shared" si="39"/>
        <v>23239668</v>
      </c>
      <c r="R331" s="8">
        <f t="shared" si="40"/>
        <v>139</v>
      </c>
      <c r="S331" s="9">
        <f t="shared" si="41"/>
        <v>0.52747252747252749</v>
      </c>
      <c r="T331" s="18">
        <f t="shared" si="38"/>
        <v>0.17922803372234061</v>
      </c>
    </row>
    <row r="332" spans="1:20" x14ac:dyDescent="0.3">
      <c r="A332" s="12">
        <v>45989</v>
      </c>
      <c r="B332" s="13">
        <v>28</v>
      </c>
      <c r="C332" s="13">
        <f>MONTH(Tabla1[[#This Row],[FECHA]])</f>
        <v>11</v>
      </c>
      <c r="D332" s="14">
        <v>596800</v>
      </c>
      <c r="E332" s="15">
        <v>10</v>
      </c>
      <c r="F332" s="14">
        <v>901000</v>
      </c>
      <c r="G332" s="16">
        <v>10</v>
      </c>
      <c r="H332" s="14">
        <v>11987200</v>
      </c>
      <c r="I332" s="17">
        <v>17</v>
      </c>
      <c r="J332" s="14">
        <v>2691400</v>
      </c>
      <c r="K332" s="17">
        <v>18</v>
      </c>
      <c r="L332" s="14">
        <v>5147400</v>
      </c>
      <c r="M332" s="17">
        <v>55</v>
      </c>
      <c r="N332" s="14">
        <v>3385000</v>
      </c>
      <c r="O332" s="14">
        <f t="shared" si="36"/>
        <v>16176400</v>
      </c>
      <c r="P332" s="8">
        <f t="shared" si="37"/>
        <v>55</v>
      </c>
      <c r="Q332" s="14">
        <f t="shared" si="39"/>
        <v>21323800</v>
      </c>
      <c r="R332" s="8">
        <f t="shared" si="40"/>
        <v>110</v>
      </c>
      <c r="S332" s="9">
        <f t="shared" si="41"/>
        <v>1</v>
      </c>
      <c r="T332" s="18">
        <f t="shared" si="38"/>
        <v>0.24139224716044982</v>
      </c>
    </row>
    <row r="333" spans="1:20" x14ac:dyDescent="0.3">
      <c r="A333" s="12">
        <v>45990</v>
      </c>
      <c r="B333" s="13">
        <v>29</v>
      </c>
      <c r="C333" s="13">
        <f>MONTH(Tabla1[[#This Row],[FECHA]])</f>
        <v>11</v>
      </c>
      <c r="D333" s="14">
        <v>578000</v>
      </c>
      <c r="E333" s="15">
        <v>13</v>
      </c>
      <c r="F333" s="14">
        <v>7519400</v>
      </c>
      <c r="G333" s="16">
        <v>31</v>
      </c>
      <c r="H333" s="14">
        <v>9950500</v>
      </c>
      <c r="I333" s="17">
        <v>22</v>
      </c>
      <c r="J333" s="14">
        <v>1609530</v>
      </c>
      <c r="K333" s="17">
        <v>19</v>
      </c>
      <c r="L333" s="14">
        <v>8329400</v>
      </c>
      <c r="M333" s="17">
        <v>78</v>
      </c>
      <c r="N333" s="14">
        <v>4184000</v>
      </c>
      <c r="O333" s="14">
        <f t="shared" si="36"/>
        <v>19657430</v>
      </c>
      <c r="P333" s="8">
        <f t="shared" si="37"/>
        <v>85</v>
      </c>
      <c r="Q333" s="14">
        <f t="shared" si="39"/>
        <v>27986830</v>
      </c>
      <c r="R333" s="8">
        <f t="shared" si="40"/>
        <v>163</v>
      </c>
      <c r="S333" s="9">
        <f t="shared" si="41"/>
        <v>0.91764705882352937</v>
      </c>
      <c r="T333" s="18">
        <f t="shared" si="38"/>
        <v>0.29761855844338214</v>
      </c>
    </row>
    <row r="334" spans="1:20" x14ac:dyDescent="0.3">
      <c r="A334" s="12">
        <v>45991</v>
      </c>
      <c r="B334" s="13">
        <v>30</v>
      </c>
      <c r="C334" s="13">
        <f>MONTH(Tabla1[[#This Row],[FECHA]])</f>
        <v>11</v>
      </c>
      <c r="D334" s="14">
        <v>592200</v>
      </c>
      <c r="E334" s="15">
        <v>9</v>
      </c>
      <c r="F334" s="14">
        <v>2372650</v>
      </c>
      <c r="G334" s="16">
        <v>11</v>
      </c>
      <c r="H334" s="14">
        <v>2664013</v>
      </c>
      <c r="I334" s="17">
        <v>7</v>
      </c>
      <c r="J334" s="14">
        <v>5954300</v>
      </c>
      <c r="K334" s="17">
        <v>13</v>
      </c>
      <c r="L334" s="14">
        <v>2133100</v>
      </c>
      <c r="M334" s="17">
        <v>48</v>
      </c>
      <c r="N334" s="14">
        <v>3710500</v>
      </c>
      <c r="O334" s="14">
        <f t="shared" si="36"/>
        <v>11583163</v>
      </c>
      <c r="P334" s="8">
        <f t="shared" si="37"/>
        <v>40</v>
      </c>
      <c r="Q334" s="14">
        <f t="shared" si="39"/>
        <v>13716263</v>
      </c>
      <c r="R334" s="8">
        <f t="shared" si="40"/>
        <v>88</v>
      </c>
      <c r="S334" s="9">
        <f t="shared" si="41"/>
        <v>1.2</v>
      </c>
      <c r="T334" s="18">
        <f t="shared" si="38"/>
        <v>0.15551611980610169</v>
      </c>
    </row>
    <row r="335" spans="1:20" x14ac:dyDescent="0.3">
      <c r="A335" s="10">
        <v>45992</v>
      </c>
      <c r="B335" s="11">
        <v>1</v>
      </c>
      <c r="C335" s="11">
        <f>MONTH(Tabla1[[#This Row],[FECHA]])</f>
        <v>12</v>
      </c>
      <c r="D335" s="3">
        <v>1161900</v>
      </c>
      <c r="E335" s="11">
        <v>24</v>
      </c>
      <c r="F335" s="3">
        <v>4115600</v>
      </c>
      <c r="G335" s="11">
        <v>19</v>
      </c>
      <c r="H335" s="3">
        <v>15046593</v>
      </c>
      <c r="I335" s="11">
        <v>17</v>
      </c>
      <c r="J335" s="3">
        <v>8248900</v>
      </c>
      <c r="K335" s="11">
        <v>28</v>
      </c>
      <c r="L335" s="3">
        <v>12399500</v>
      </c>
      <c r="M335" s="11">
        <v>89</v>
      </c>
      <c r="N335" s="3">
        <v>9298800</v>
      </c>
      <c r="O335" s="3">
        <f t="shared" ref="O335:O350" si="42">D335+F335+H335+J335</f>
        <v>28572993</v>
      </c>
      <c r="P335" s="8">
        <f t="shared" si="37"/>
        <v>88</v>
      </c>
      <c r="Q335" s="3">
        <f t="shared" si="39"/>
        <v>40972493</v>
      </c>
      <c r="R335" s="8">
        <f t="shared" si="40"/>
        <v>177</v>
      </c>
      <c r="S335" s="9">
        <f t="shared" si="41"/>
        <v>1.0113636363636365</v>
      </c>
      <c r="T335" s="4">
        <f t="shared" ref="T335:T350" si="43">IFERROR(L335/Q335,0)</f>
        <v>0.30262986438242845</v>
      </c>
    </row>
    <row r="336" spans="1:20" x14ac:dyDescent="0.3">
      <c r="A336" s="10">
        <v>45993</v>
      </c>
      <c r="B336" s="11">
        <v>2</v>
      </c>
      <c r="C336" s="11">
        <f>MONTH(Tabla1[[#This Row],[FECHA]])</f>
        <v>12</v>
      </c>
      <c r="D336" s="3">
        <v>2337500</v>
      </c>
      <c r="E336" s="11">
        <v>24</v>
      </c>
      <c r="F336" s="3">
        <v>2361900</v>
      </c>
      <c r="G336" s="11">
        <v>18</v>
      </c>
      <c r="H336" s="3">
        <v>10294800</v>
      </c>
      <c r="I336" s="11">
        <v>29</v>
      </c>
      <c r="J336" s="3">
        <v>4514800</v>
      </c>
      <c r="K336" s="11">
        <v>17</v>
      </c>
      <c r="L336" s="3">
        <v>6198900</v>
      </c>
      <c r="M336" s="11">
        <v>86</v>
      </c>
      <c r="N336" s="3">
        <v>5978400</v>
      </c>
      <c r="O336" s="3">
        <f t="shared" si="42"/>
        <v>19509000</v>
      </c>
      <c r="P336" s="8">
        <f t="shared" si="37"/>
        <v>88</v>
      </c>
      <c r="Q336" s="3">
        <f t="shared" si="39"/>
        <v>25707900</v>
      </c>
      <c r="R336" s="8">
        <f t="shared" si="40"/>
        <v>174</v>
      </c>
      <c r="S336" s="9">
        <f t="shared" si="41"/>
        <v>0.97727272727272729</v>
      </c>
      <c r="T336" s="4">
        <f t="shared" si="43"/>
        <v>0.24112821350635408</v>
      </c>
    </row>
    <row r="337" spans="1:20" x14ac:dyDescent="0.3">
      <c r="A337" s="10">
        <v>45994</v>
      </c>
      <c r="B337" s="11">
        <v>3</v>
      </c>
      <c r="C337" s="11">
        <f>MONTH(Tabla1[[#This Row],[FECHA]])</f>
        <v>12</v>
      </c>
      <c r="D337" s="3">
        <v>2927300</v>
      </c>
      <c r="E337" s="11">
        <v>23</v>
      </c>
      <c r="F337" s="3">
        <v>4694300</v>
      </c>
      <c r="G337" s="11">
        <v>23</v>
      </c>
      <c r="H337" s="3">
        <v>19235400</v>
      </c>
      <c r="I337" s="11">
        <v>34</v>
      </c>
      <c r="J337" s="3">
        <v>2965700</v>
      </c>
      <c r="K337" s="11">
        <v>19</v>
      </c>
      <c r="L337" s="3">
        <v>15724600</v>
      </c>
      <c r="M337" s="11">
        <v>87</v>
      </c>
      <c r="N337" s="3">
        <v>16683200</v>
      </c>
      <c r="O337" s="3">
        <f t="shared" si="42"/>
        <v>29822700</v>
      </c>
      <c r="P337" s="8">
        <f t="shared" ref="P337:P365" si="44">E337+G337+I337+K337</f>
        <v>99</v>
      </c>
      <c r="Q337" s="3">
        <f t="shared" si="39"/>
        <v>45547300</v>
      </c>
      <c r="R337" s="8">
        <f t="shared" si="40"/>
        <v>186</v>
      </c>
      <c r="S337" s="9">
        <f t="shared" si="41"/>
        <v>0.87878787878787878</v>
      </c>
      <c r="T337" s="4">
        <f t="shared" si="43"/>
        <v>0.34523670996963596</v>
      </c>
    </row>
    <row r="338" spans="1:20" x14ac:dyDescent="0.3">
      <c r="A338" s="10">
        <v>45995</v>
      </c>
      <c r="B338" s="11">
        <v>4</v>
      </c>
      <c r="C338" s="11">
        <f>MONTH(Tabla1[[#This Row],[FECHA]])</f>
        <v>12</v>
      </c>
      <c r="D338" s="3">
        <v>2230300</v>
      </c>
      <c r="E338" s="11">
        <v>24</v>
      </c>
      <c r="F338" s="3">
        <v>4733892</v>
      </c>
      <c r="G338" s="11">
        <v>17</v>
      </c>
      <c r="H338" s="3">
        <v>12848700</v>
      </c>
      <c r="I338" s="11">
        <v>32</v>
      </c>
      <c r="J338" s="3">
        <v>5053440</v>
      </c>
      <c r="K338" s="11">
        <v>26</v>
      </c>
      <c r="L338" s="3">
        <v>8406800</v>
      </c>
      <c r="M338" s="11">
        <v>84</v>
      </c>
      <c r="N338" s="3">
        <v>9049000</v>
      </c>
      <c r="O338" s="3">
        <f t="shared" si="42"/>
        <v>24866332</v>
      </c>
      <c r="P338" s="8">
        <f t="shared" si="44"/>
        <v>99</v>
      </c>
      <c r="Q338" s="3">
        <f t="shared" si="39"/>
        <v>33273132</v>
      </c>
      <c r="R338" s="8">
        <f t="shared" si="40"/>
        <v>183</v>
      </c>
      <c r="S338" s="9">
        <f t="shared" si="41"/>
        <v>0.84848484848484851</v>
      </c>
      <c r="T338" s="4">
        <f t="shared" si="43"/>
        <v>0.25266031463464272</v>
      </c>
    </row>
    <row r="339" spans="1:20" x14ac:dyDescent="0.3">
      <c r="A339" s="10">
        <v>45996</v>
      </c>
      <c r="B339" s="11">
        <v>5</v>
      </c>
      <c r="C339" s="11">
        <f>MONTH(Tabla1[[#This Row],[FECHA]])</f>
        <v>12</v>
      </c>
      <c r="D339" s="3">
        <v>1947100</v>
      </c>
      <c r="E339" s="11">
        <v>20</v>
      </c>
      <c r="F339" s="3">
        <v>2776500</v>
      </c>
      <c r="G339" s="11">
        <v>11</v>
      </c>
      <c r="H339" s="3">
        <v>7092024</v>
      </c>
      <c r="I339" s="11">
        <v>22</v>
      </c>
      <c r="J339" s="3">
        <v>1080700</v>
      </c>
      <c r="K339" s="11">
        <v>22</v>
      </c>
      <c r="L339" s="3">
        <v>6961800</v>
      </c>
      <c r="M339" s="11">
        <v>72</v>
      </c>
      <c r="N339" s="3">
        <v>3474200</v>
      </c>
      <c r="O339" s="3">
        <f t="shared" si="42"/>
        <v>12896324</v>
      </c>
      <c r="P339" s="8">
        <f t="shared" si="44"/>
        <v>75</v>
      </c>
      <c r="Q339" s="3">
        <f t="shared" si="39"/>
        <v>19858124</v>
      </c>
      <c r="R339" s="8">
        <f t="shared" si="40"/>
        <v>147</v>
      </c>
      <c r="S339" s="9">
        <f t="shared" si="41"/>
        <v>0.96</v>
      </c>
      <c r="T339" s="4">
        <f t="shared" si="43"/>
        <v>0.35057692257335082</v>
      </c>
    </row>
    <row r="340" spans="1:20" x14ac:dyDescent="0.3">
      <c r="A340" s="10">
        <v>45997</v>
      </c>
      <c r="B340" s="11">
        <v>6</v>
      </c>
      <c r="C340" s="11">
        <f>MONTH(Tabla1[[#This Row],[FECHA]])</f>
        <v>12</v>
      </c>
      <c r="D340" s="3">
        <v>1101100</v>
      </c>
      <c r="E340" s="11">
        <v>21</v>
      </c>
      <c r="F340" s="3">
        <v>8477600</v>
      </c>
      <c r="G340" s="11">
        <v>27</v>
      </c>
      <c r="H340" s="3">
        <v>3919900</v>
      </c>
      <c r="I340" s="11">
        <v>8</v>
      </c>
      <c r="J340" s="3">
        <v>7815300</v>
      </c>
      <c r="K340" s="11">
        <v>18</v>
      </c>
      <c r="L340" s="3">
        <v>6242200</v>
      </c>
      <c r="M340" s="11">
        <v>87</v>
      </c>
      <c r="N340" s="3">
        <v>14207000</v>
      </c>
      <c r="O340" s="3">
        <f t="shared" si="42"/>
        <v>21313900</v>
      </c>
      <c r="P340" s="8">
        <f t="shared" si="44"/>
        <v>74</v>
      </c>
      <c r="Q340" s="3">
        <f t="shared" si="39"/>
        <v>27556100</v>
      </c>
      <c r="R340" s="8">
        <f t="shared" si="40"/>
        <v>161</v>
      </c>
      <c r="S340" s="9">
        <f t="shared" si="41"/>
        <v>1.1756756756756757</v>
      </c>
      <c r="T340" s="4">
        <f t="shared" si="43"/>
        <v>0.22652697587829917</v>
      </c>
    </row>
    <row r="341" spans="1:20" x14ac:dyDescent="0.3">
      <c r="A341" s="10">
        <v>45998</v>
      </c>
      <c r="B341" s="11">
        <v>7</v>
      </c>
      <c r="C341" s="11">
        <f>MONTH(Tabla1[[#This Row],[FECHA]])</f>
        <v>12</v>
      </c>
      <c r="D341" s="3">
        <v>1218000</v>
      </c>
      <c r="E341" s="11">
        <v>15</v>
      </c>
      <c r="F341" s="3">
        <v>2110000</v>
      </c>
      <c r="G341" s="11">
        <v>17</v>
      </c>
      <c r="H341" s="3">
        <v>139400</v>
      </c>
      <c r="I341" s="11">
        <v>3</v>
      </c>
      <c r="J341" s="3">
        <v>2555750</v>
      </c>
      <c r="K341" s="11">
        <v>18</v>
      </c>
      <c r="L341" s="3">
        <v>1762800</v>
      </c>
      <c r="M341" s="11">
        <v>51</v>
      </c>
      <c r="N341" s="3">
        <v>37200</v>
      </c>
      <c r="O341" s="3">
        <f t="shared" si="42"/>
        <v>6023150</v>
      </c>
      <c r="P341" s="8">
        <f t="shared" si="44"/>
        <v>53</v>
      </c>
      <c r="Q341" s="3">
        <f t="shared" si="39"/>
        <v>7785950</v>
      </c>
      <c r="R341" s="8">
        <f t="shared" si="40"/>
        <v>104</v>
      </c>
      <c r="S341" s="9">
        <f t="shared" si="41"/>
        <v>0.96226415094339623</v>
      </c>
      <c r="T341" s="4">
        <f t="shared" si="43"/>
        <v>0.22640782435027196</v>
      </c>
    </row>
    <row r="342" spans="1:20" x14ac:dyDescent="0.3">
      <c r="A342" s="10">
        <v>45999</v>
      </c>
      <c r="B342" s="11">
        <v>8</v>
      </c>
      <c r="C342" s="11">
        <f>MONTH(Tabla1[[#This Row],[FECHA]])</f>
        <v>12</v>
      </c>
      <c r="D342" s="3">
        <v>876300</v>
      </c>
      <c r="E342" s="11">
        <v>16</v>
      </c>
      <c r="F342" s="3">
        <v>1910000</v>
      </c>
      <c r="G342" s="11">
        <v>8</v>
      </c>
      <c r="H342" s="3">
        <v>783900</v>
      </c>
      <c r="I342" s="11">
        <v>3</v>
      </c>
      <c r="J342" s="3">
        <v>1320900</v>
      </c>
      <c r="K342" s="11">
        <v>12</v>
      </c>
      <c r="L342" s="3">
        <v>1351200</v>
      </c>
      <c r="M342" s="11">
        <v>30</v>
      </c>
      <c r="N342" s="3">
        <v>0</v>
      </c>
      <c r="O342" s="3">
        <f t="shared" si="42"/>
        <v>4891100</v>
      </c>
      <c r="P342" s="8">
        <f t="shared" si="44"/>
        <v>39</v>
      </c>
      <c r="Q342" s="3">
        <f t="shared" si="39"/>
        <v>6242300</v>
      </c>
      <c r="R342" s="8">
        <f t="shared" si="40"/>
        <v>69</v>
      </c>
      <c r="S342" s="9">
        <f t="shared" si="41"/>
        <v>0.76923076923076927</v>
      </c>
      <c r="T342" s="4">
        <f t="shared" si="43"/>
        <v>0.21645867709017511</v>
      </c>
    </row>
    <row r="343" spans="1:20" x14ac:dyDescent="0.3">
      <c r="A343" s="10">
        <v>46000</v>
      </c>
      <c r="B343" s="11">
        <v>9</v>
      </c>
      <c r="C343" s="11">
        <f>MONTH(Tabla1[[#This Row],[FECHA]])</f>
        <v>12</v>
      </c>
      <c r="D343" s="3">
        <v>893200</v>
      </c>
      <c r="E343" s="11">
        <v>21</v>
      </c>
      <c r="F343" s="3">
        <v>2379100</v>
      </c>
      <c r="G343" s="11">
        <v>15</v>
      </c>
      <c r="H343" s="3">
        <v>7735976</v>
      </c>
      <c r="I343" s="11">
        <v>20</v>
      </c>
      <c r="J343" s="3">
        <v>1361024</v>
      </c>
      <c r="K343" s="11">
        <v>12</v>
      </c>
      <c r="L343" s="3">
        <v>5423000</v>
      </c>
      <c r="M343" s="11">
        <v>67</v>
      </c>
      <c r="N343" s="3">
        <v>6120200</v>
      </c>
      <c r="O343" s="3">
        <f t="shared" si="42"/>
        <v>12369300</v>
      </c>
      <c r="P343" s="8">
        <f t="shared" si="44"/>
        <v>68</v>
      </c>
      <c r="Q343" s="3">
        <f t="shared" si="39"/>
        <v>17792300</v>
      </c>
      <c r="R343" s="8">
        <f t="shared" si="40"/>
        <v>135</v>
      </c>
      <c r="S343" s="9">
        <f t="shared" si="41"/>
        <v>0.98529411764705888</v>
      </c>
      <c r="T343" s="4">
        <f t="shared" si="43"/>
        <v>0.30479477077162592</v>
      </c>
    </row>
    <row r="344" spans="1:20" x14ac:dyDescent="0.3">
      <c r="A344" s="10">
        <v>46001</v>
      </c>
      <c r="B344" s="11">
        <v>10</v>
      </c>
      <c r="C344" s="11">
        <f>MONTH(Tabla1[[#This Row],[FECHA]])</f>
        <v>12</v>
      </c>
      <c r="D344" s="3">
        <v>1962000</v>
      </c>
      <c r="E344" s="11">
        <v>21</v>
      </c>
      <c r="F344" s="3">
        <v>3619330</v>
      </c>
      <c r="G344" s="11">
        <v>30</v>
      </c>
      <c r="H344" s="3">
        <v>11557973</v>
      </c>
      <c r="I344" s="11">
        <v>19</v>
      </c>
      <c r="J344" s="3">
        <v>1414800</v>
      </c>
      <c r="K344" s="11">
        <v>24</v>
      </c>
      <c r="L344" s="3">
        <v>7846900</v>
      </c>
      <c r="M344" s="11">
        <v>84</v>
      </c>
      <c r="N344" s="3">
        <v>2028300</v>
      </c>
      <c r="O344" s="3">
        <f t="shared" si="42"/>
        <v>18554103</v>
      </c>
      <c r="P344" s="8">
        <f t="shared" si="44"/>
        <v>94</v>
      </c>
      <c r="Q344" s="3">
        <f t="shared" si="39"/>
        <v>26401003</v>
      </c>
      <c r="R344" s="8">
        <f t="shared" si="40"/>
        <v>178</v>
      </c>
      <c r="S344" s="9">
        <f t="shared" si="41"/>
        <v>0.8936170212765957</v>
      </c>
      <c r="T344" s="4">
        <f t="shared" si="43"/>
        <v>0.29721976850652226</v>
      </c>
    </row>
    <row r="345" spans="1:20" x14ac:dyDescent="0.3">
      <c r="A345" s="10">
        <v>46002</v>
      </c>
      <c r="B345" s="11">
        <v>11</v>
      </c>
      <c r="C345" s="11">
        <f>MONTH(Tabla1[[#This Row],[FECHA]])</f>
        <v>12</v>
      </c>
      <c r="D345" s="3">
        <v>1756500</v>
      </c>
      <c r="E345" s="11">
        <v>24</v>
      </c>
      <c r="F345" s="3">
        <v>7732000</v>
      </c>
      <c r="G345" s="11">
        <v>24</v>
      </c>
      <c r="H345" s="3">
        <v>4935000</v>
      </c>
      <c r="I345" s="11">
        <v>14</v>
      </c>
      <c r="J345" s="3">
        <v>6684400</v>
      </c>
      <c r="K345" s="11">
        <v>31</v>
      </c>
      <c r="L345" s="3">
        <v>4308700</v>
      </c>
      <c r="M345" s="11">
        <v>68</v>
      </c>
      <c r="N345" s="3">
        <v>6423600</v>
      </c>
      <c r="O345" s="3">
        <f t="shared" si="42"/>
        <v>21107900</v>
      </c>
      <c r="P345" s="8">
        <f t="shared" si="44"/>
        <v>93</v>
      </c>
      <c r="Q345" s="3">
        <f t="shared" si="39"/>
        <v>25416600</v>
      </c>
      <c r="R345" s="8">
        <f t="shared" si="40"/>
        <v>161</v>
      </c>
      <c r="S345" s="9">
        <f t="shared" si="41"/>
        <v>0.73118279569892475</v>
      </c>
      <c r="T345" s="4">
        <f t="shared" si="43"/>
        <v>0.1695230676014888</v>
      </c>
    </row>
    <row r="346" spans="1:20" x14ac:dyDescent="0.3">
      <c r="A346" s="10">
        <v>46003</v>
      </c>
      <c r="B346" s="11">
        <v>12</v>
      </c>
      <c r="C346" s="11">
        <f>MONTH(Tabla1[[#This Row],[FECHA]])</f>
        <v>12</v>
      </c>
      <c r="D346" s="3">
        <v>706400</v>
      </c>
      <c r="E346" s="11">
        <v>12</v>
      </c>
      <c r="F346" s="3">
        <v>1972000</v>
      </c>
      <c r="G346" s="11">
        <v>11</v>
      </c>
      <c r="H346" s="3">
        <v>3312700</v>
      </c>
      <c r="I346" s="11">
        <v>8</v>
      </c>
      <c r="J346" s="3">
        <v>1258400</v>
      </c>
      <c r="K346" s="11">
        <v>20</v>
      </c>
      <c r="L346" s="3">
        <v>8071400</v>
      </c>
      <c r="M346" s="11">
        <v>57</v>
      </c>
      <c r="N346" s="3">
        <v>542400</v>
      </c>
      <c r="O346" s="3">
        <f t="shared" si="42"/>
        <v>7249500</v>
      </c>
      <c r="P346" s="8">
        <f t="shared" si="44"/>
        <v>51</v>
      </c>
      <c r="Q346" s="3">
        <f t="shared" si="39"/>
        <v>15320900</v>
      </c>
      <c r="R346" s="8">
        <f t="shared" si="40"/>
        <v>108</v>
      </c>
      <c r="S346" s="9">
        <f t="shared" si="41"/>
        <v>1.1176470588235294</v>
      </c>
      <c r="T346" s="4">
        <f t="shared" si="43"/>
        <v>0.52682283677851827</v>
      </c>
    </row>
    <row r="347" spans="1:20" x14ac:dyDescent="0.3">
      <c r="A347" s="10">
        <v>46004</v>
      </c>
      <c r="B347" s="11">
        <v>13</v>
      </c>
      <c r="C347" s="11">
        <f>MONTH(Tabla1[[#This Row],[FECHA]])</f>
        <v>12</v>
      </c>
      <c r="D347" s="3">
        <v>1185900</v>
      </c>
      <c r="E347" s="11">
        <v>17</v>
      </c>
      <c r="F347" s="3">
        <v>6167700</v>
      </c>
      <c r="G347" s="11">
        <v>23</v>
      </c>
      <c r="H347" s="3">
        <v>7644700</v>
      </c>
      <c r="I347" s="11">
        <v>18</v>
      </c>
      <c r="J347" s="3">
        <v>2140400</v>
      </c>
      <c r="K347" s="11">
        <v>25</v>
      </c>
      <c r="L347" s="3">
        <v>3700900</v>
      </c>
      <c r="M347" s="11">
        <v>72</v>
      </c>
      <c r="N347" s="3">
        <v>5067000</v>
      </c>
      <c r="O347" s="3">
        <f t="shared" si="42"/>
        <v>17138700</v>
      </c>
      <c r="P347" s="8">
        <f t="shared" si="44"/>
        <v>83</v>
      </c>
      <c r="Q347" s="3">
        <f t="shared" si="39"/>
        <v>20839600</v>
      </c>
      <c r="R347" s="8">
        <f t="shared" si="40"/>
        <v>155</v>
      </c>
      <c r="S347" s="9">
        <f t="shared" si="41"/>
        <v>0.86746987951807231</v>
      </c>
      <c r="T347" s="4">
        <f t="shared" si="43"/>
        <v>0.17758978099387704</v>
      </c>
    </row>
    <row r="348" spans="1:20" x14ac:dyDescent="0.3">
      <c r="A348" s="10">
        <v>46005</v>
      </c>
      <c r="B348" s="11">
        <v>14</v>
      </c>
      <c r="C348" s="11">
        <f>MONTH(Tabla1[[#This Row],[FECHA]])</f>
        <v>12</v>
      </c>
      <c r="D348" s="3">
        <v>1340800</v>
      </c>
      <c r="E348" s="11">
        <v>22</v>
      </c>
      <c r="F348" s="3">
        <v>1799700</v>
      </c>
      <c r="G348" s="11">
        <v>19</v>
      </c>
      <c r="H348" s="3">
        <v>398600</v>
      </c>
      <c r="I348" s="11">
        <v>6</v>
      </c>
      <c r="J348" s="3">
        <v>3806700</v>
      </c>
      <c r="K348" s="11">
        <v>18</v>
      </c>
      <c r="L348" s="3">
        <v>1846600</v>
      </c>
      <c r="M348" s="11">
        <v>27</v>
      </c>
      <c r="N348" s="3">
        <v>580700</v>
      </c>
      <c r="O348" s="3">
        <f t="shared" si="42"/>
        <v>7345800</v>
      </c>
      <c r="P348" s="8">
        <f t="shared" si="44"/>
        <v>65</v>
      </c>
      <c r="Q348" s="3">
        <f t="shared" si="39"/>
        <v>9192400</v>
      </c>
      <c r="R348" s="8">
        <f t="shared" si="40"/>
        <v>92</v>
      </c>
      <c r="S348" s="9">
        <f t="shared" si="41"/>
        <v>0.41538461538461541</v>
      </c>
      <c r="T348" s="4">
        <f t="shared" si="43"/>
        <v>0.20088333840999087</v>
      </c>
    </row>
    <row r="349" spans="1:20" x14ac:dyDescent="0.3">
      <c r="A349" s="10">
        <v>46006</v>
      </c>
      <c r="B349" s="11">
        <v>15</v>
      </c>
      <c r="C349" s="11">
        <f>MONTH(Tabla1[[#This Row],[FECHA]])</f>
        <v>12</v>
      </c>
      <c r="D349" s="3">
        <v>1706440</v>
      </c>
      <c r="E349" s="11">
        <v>29</v>
      </c>
      <c r="F349" s="3">
        <v>3435100</v>
      </c>
      <c r="G349" s="11">
        <v>16</v>
      </c>
      <c r="H349" s="3">
        <v>5238300</v>
      </c>
      <c r="I349" s="11">
        <v>14</v>
      </c>
      <c r="J349" s="3">
        <v>3839950</v>
      </c>
      <c r="K349" s="11">
        <v>28</v>
      </c>
      <c r="L349" s="3">
        <v>5416400</v>
      </c>
      <c r="M349" s="11">
        <v>69</v>
      </c>
      <c r="N349" s="3">
        <v>11029400</v>
      </c>
      <c r="O349" s="3">
        <f t="shared" si="42"/>
        <v>14219790</v>
      </c>
      <c r="P349" s="8">
        <f t="shared" si="44"/>
        <v>87</v>
      </c>
      <c r="Q349" s="3">
        <f t="shared" si="39"/>
        <v>19636190</v>
      </c>
      <c r="R349" s="8">
        <f t="shared" si="40"/>
        <v>156</v>
      </c>
      <c r="S349" s="9">
        <f t="shared" si="41"/>
        <v>0.7931034482758621</v>
      </c>
      <c r="T349" s="4">
        <f t="shared" si="43"/>
        <v>0.27583762430491865</v>
      </c>
    </row>
    <row r="350" spans="1:20" x14ac:dyDescent="0.3">
      <c r="A350" s="10">
        <v>46007</v>
      </c>
      <c r="B350" s="11">
        <v>16</v>
      </c>
      <c r="C350" s="11">
        <f>MONTH(Tabla1[[#This Row],[FECHA]])</f>
        <v>12</v>
      </c>
      <c r="D350" s="3">
        <v>2086600</v>
      </c>
      <c r="E350" s="11">
        <v>22</v>
      </c>
      <c r="F350" s="3">
        <v>2436300</v>
      </c>
      <c r="G350" s="11">
        <v>19</v>
      </c>
      <c r="H350" s="3">
        <v>20124380</v>
      </c>
      <c r="I350" s="11">
        <v>34</v>
      </c>
      <c r="J350" s="3">
        <v>7361200</v>
      </c>
      <c r="K350" s="11">
        <v>23</v>
      </c>
      <c r="L350" s="3">
        <v>2222800</v>
      </c>
      <c r="M350" s="11">
        <v>53</v>
      </c>
      <c r="N350" s="3">
        <v>3903850</v>
      </c>
      <c r="O350" s="3">
        <f t="shared" si="42"/>
        <v>32008480</v>
      </c>
      <c r="P350" s="8">
        <f t="shared" si="44"/>
        <v>98</v>
      </c>
      <c r="Q350" s="3">
        <f t="shared" si="39"/>
        <v>34231280</v>
      </c>
      <c r="R350" s="8">
        <f t="shared" si="40"/>
        <v>151</v>
      </c>
      <c r="S350" s="9">
        <f t="shared" si="41"/>
        <v>0.54081632653061229</v>
      </c>
      <c r="T350" s="4">
        <f t="shared" si="43"/>
        <v>6.4934761422885734E-2</v>
      </c>
    </row>
    <row r="351" spans="1:20" x14ac:dyDescent="0.3">
      <c r="A351" s="10">
        <v>46008</v>
      </c>
      <c r="B351" s="11">
        <v>17</v>
      </c>
      <c r="C351" s="11">
        <f>MONTH(Tabla1[[#This Row],[FECHA]])</f>
        <v>12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8">
        <f t="shared" si="44"/>
        <v>0</v>
      </c>
      <c r="Q351" s="3">
        <v>0</v>
      </c>
      <c r="R351" s="8">
        <f t="shared" ref="R351:R364" si="45">P351+M351</f>
        <v>0</v>
      </c>
      <c r="S351" s="9">
        <v>0</v>
      </c>
      <c r="T351" s="5">
        <v>0</v>
      </c>
    </row>
    <row r="352" spans="1:20" x14ac:dyDescent="0.3">
      <c r="A352" s="10">
        <v>46009</v>
      </c>
      <c r="B352" s="11">
        <v>18</v>
      </c>
      <c r="C352" s="11">
        <f>MONTH(Tabla1[[#This Row],[FECHA]])</f>
        <v>12</v>
      </c>
      <c r="D352" s="3">
        <v>1386900</v>
      </c>
      <c r="E352" s="11">
        <v>20</v>
      </c>
      <c r="F352" s="3">
        <v>9871164</v>
      </c>
      <c r="G352" s="11">
        <v>17</v>
      </c>
      <c r="H352" s="3">
        <v>16221900</v>
      </c>
      <c r="I352" s="11">
        <v>26</v>
      </c>
      <c r="J352" s="3">
        <v>3784925</v>
      </c>
      <c r="K352" s="11">
        <v>24</v>
      </c>
      <c r="L352" s="3">
        <v>6742600</v>
      </c>
      <c r="M352" s="11">
        <v>77</v>
      </c>
      <c r="N352" s="3">
        <v>3090900</v>
      </c>
      <c r="O352" s="3">
        <f t="shared" ref="O352:O365" si="46">D352+F352+H352+J352</f>
        <v>31264889</v>
      </c>
      <c r="P352" s="8">
        <f t="shared" si="44"/>
        <v>87</v>
      </c>
      <c r="Q352" s="3">
        <f t="shared" ref="Q352:Q365" si="47">O352+L352</f>
        <v>38007489</v>
      </c>
      <c r="R352" s="8">
        <f t="shared" si="45"/>
        <v>164</v>
      </c>
      <c r="S352" s="9">
        <f t="shared" ref="S352:S358" si="48">M352/P352</f>
        <v>0.88505747126436785</v>
      </c>
      <c r="T352" s="4">
        <f t="shared" ref="T352:T365" si="49">IFERROR(L352/Q352,0)</f>
        <v>0.17740187992950548</v>
      </c>
    </row>
    <row r="353" spans="1:20" x14ac:dyDescent="0.3">
      <c r="A353" s="10">
        <v>46010</v>
      </c>
      <c r="B353" s="11">
        <v>19</v>
      </c>
      <c r="C353" s="11">
        <f>MONTH(Tabla1[[#This Row],[FECHA]])</f>
        <v>12</v>
      </c>
      <c r="D353" s="3">
        <v>1013560</v>
      </c>
      <c r="E353" s="11">
        <v>22</v>
      </c>
      <c r="F353" s="3">
        <v>13708011</v>
      </c>
      <c r="G353" s="11">
        <v>11</v>
      </c>
      <c r="H353" s="3">
        <v>3451900</v>
      </c>
      <c r="I353" s="11">
        <v>13</v>
      </c>
      <c r="J353" s="3">
        <v>1209300</v>
      </c>
      <c r="K353" s="11">
        <v>16</v>
      </c>
      <c r="L353" s="3">
        <v>4292100</v>
      </c>
      <c r="M353" s="11">
        <v>61</v>
      </c>
      <c r="N353" s="3">
        <v>4608600</v>
      </c>
      <c r="O353" s="3">
        <f t="shared" si="46"/>
        <v>19382771</v>
      </c>
      <c r="P353" s="8">
        <f t="shared" si="44"/>
        <v>62</v>
      </c>
      <c r="Q353" s="3">
        <f t="shared" si="47"/>
        <v>23674871</v>
      </c>
      <c r="R353" s="8">
        <f t="shared" si="45"/>
        <v>123</v>
      </c>
      <c r="S353" s="9">
        <f t="shared" si="48"/>
        <v>0.9838709677419355</v>
      </c>
      <c r="T353" s="4">
        <f t="shared" si="49"/>
        <v>0.18129349046928281</v>
      </c>
    </row>
    <row r="354" spans="1:20" x14ac:dyDescent="0.3">
      <c r="A354" s="10">
        <v>46011</v>
      </c>
      <c r="B354" s="11">
        <v>20</v>
      </c>
      <c r="C354" s="11">
        <f>MONTH(Tabla1[[#This Row],[FECHA]])</f>
        <v>12</v>
      </c>
      <c r="D354" s="3">
        <v>1699300</v>
      </c>
      <c r="E354" s="11">
        <v>12</v>
      </c>
      <c r="F354" s="3">
        <v>3760100</v>
      </c>
      <c r="G354" s="11">
        <v>17</v>
      </c>
      <c r="H354" s="3">
        <v>3213500</v>
      </c>
      <c r="I354" s="11">
        <v>8</v>
      </c>
      <c r="J354" s="3">
        <v>6246000</v>
      </c>
      <c r="K354" s="11">
        <v>25</v>
      </c>
      <c r="L354" s="3">
        <v>9070200</v>
      </c>
      <c r="M354" s="11">
        <v>63</v>
      </c>
      <c r="N354" s="3">
        <v>11626000</v>
      </c>
      <c r="O354" s="3">
        <f t="shared" si="46"/>
        <v>14918900</v>
      </c>
      <c r="P354" s="8">
        <f t="shared" si="44"/>
        <v>62</v>
      </c>
      <c r="Q354" s="3">
        <f t="shared" si="47"/>
        <v>23989100</v>
      </c>
      <c r="R354" s="8">
        <f t="shared" si="45"/>
        <v>125</v>
      </c>
      <c r="S354" s="9">
        <f t="shared" si="48"/>
        <v>1.0161290322580645</v>
      </c>
      <c r="T354" s="4">
        <f t="shared" si="49"/>
        <v>0.37809671892651248</v>
      </c>
    </row>
    <row r="355" spans="1:20" x14ac:dyDescent="0.3">
      <c r="A355" s="10">
        <v>46012</v>
      </c>
      <c r="B355" s="11">
        <v>21</v>
      </c>
      <c r="C355" s="11">
        <f>MONTH(Tabla1[[#This Row],[FECHA]])</f>
        <v>12</v>
      </c>
      <c r="D355" s="3">
        <v>681900</v>
      </c>
      <c r="E355" s="11">
        <v>7</v>
      </c>
      <c r="F355" s="3">
        <v>1472200</v>
      </c>
      <c r="G355" s="11">
        <v>12</v>
      </c>
      <c r="H355" s="3">
        <v>6104900</v>
      </c>
      <c r="I355" s="11">
        <v>13</v>
      </c>
      <c r="J355" s="3">
        <v>675300</v>
      </c>
      <c r="K355" s="11">
        <v>6</v>
      </c>
      <c r="L355" s="3">
        <v>1593300</v>
      </c>
      <c r="M355" s="11">
        <v>43</v>
      </c>
      <c r="N355" s="3">
        <v>69500</v>
      </c>
      <c r="O355" s="3">
        <f t="shared" si="46"/>
        <v>8934300</v>
      </c>
      <c r="P355" s="8">
        <f t="shared" si="44"/>
        <v>38</v>
      </c>
      <c r="Q355" s="3">
        <f t="shared" si="47"/>
        <v>10527600</v>
      </c>
      <c r="R355" s="8">
        <f t="shared" si="45"/>
        <v>81</v>
      </c>
      <c r="S355" s="9">
        <f t="shared" si="48"/>
        <v>1.131578947368421</v>
      </c>
      <c r="T355" s="4">
        <f t="shared" si="49"/>
        <v>0.15134503590561951</v>
      </c>
    </row>
    <row r="356" spans="1:20" x14ac:dyDescent="0.3">
      <c r="A356" s="10">
        <v>46013</v>
      </c>
      <c r="B356" s="11">
        <v>22</v>
      </c>
      <c r="C356" s="11">
        <f>MONTH(Tabla1[[#This Row],[FECHA]])</f>
        <v>12</v>
      </c>
      <c r="D356" s="3">
        <v>1623000</v>
      </c>
      <c r="E356" s="11">
        <v>28</v>
      </c>
      <c r="F356" s="3">
        <v>2393600</v>
      </c>
      <c r="G356" s="11">
        <v>16</v>
      </c>
      <c r="H356" s="3">
        <v>2115800</v>
      </c>
      <c r="I356" s="11">
        <v>12</v>
      </c>
      <c r="J356" s="3">
        <v>3852370</v>
      </c>
      <c r="K356" s="11">
        <v>26</v>
      </c>
      <c r="L356" s="3">
        <v>6822040</v>
      </c>
      <c r="M356" s="11">
        <v>76</v>
      </c>
      <c r="N356" s="3">
        <v>2749100</v>
      </c>
      <c r="O356" s="3">
        <f t="shared" si="46"/>
        <v>9984770</v>
      </c>
      <c r="P356" s="8">
        <f t="shared" si="44"/>
        <v>82</v>
      </c>
      <c r="Q356" s="3">
        <f t="shared" si="47"/>
        <v>16806810</v>
      </c>
      <c r="R356" s="8">
        <f t="shared" si="45"/>
        <v>158</v>
      </c>
      <c r="S356" s="9">
        <f t="shared" si="48"/>
        <v>0.92682926829268297</v>
      </c>
      <c r="T356" s="4">
        <f t="shared" si="49"/>
        <v>0.40590927130133558</v>
      </c>
    </row>
    <row r="357" spans="1:20" x14ac:dyDescent="0.3">
      <c r="A357" s="10">
        <v>46014</v>
      </c>
      <c r="B357" s="11">
        <v>23</v>
      </c>
      <c r="C357" s="11">
        <f>MONTH(Tabla1[[#This Row],[FECHA]])</f>
        <v>12</v>
      </c>
      <c r="D357" s="3">
        <v>1280100</v>
      </c>
      <c r="E357" s="11">
        <v>15</v>
      </c>
      <c r="F357" s="3">
        <v>5421300</v>
      </c>
      <c r="G357" s="11">
        <v>16</v>
      </c>
      <c r="H357" s="3">
        <v>14551500</v>
      </c>
      <c r="I357" s="11">
        <v>22</v>
      </c>
      <c r="J357" s="3">
        <v>2050900</v>
      </c>
      <c r="K357" s="11">
        <v>18</v>
      </c>
      <c r="L357" s="3">
        <v>4675700</v>
      </c>
      <c r="M357" s="11">
        <v>71</v>
      </c>
      <c r="N357" s="3">
        <v>7765200</v>
      </c>
      <c r="O357" s="3">
        <f t="shared" si="46"/>
        <v>23303800</v>
      </c>
      <c r="P357" s="8">
        <f t="shared" si="44"/>
        <v>71</v>
      </c>
      <c r="Q357" s="3">
        <f t="shared" si="47"/>
        <v>27979500</v>
      </c>
      <c r="R357" s="8">
        <f t="shared" si="45"/>
        <v>142</v>
      </c>
      <c r="S357" s="9">
        <f t="shared" si="48"/>
        <v>1</v>
      </c>
      <c r="T357" s="4">
        <f t="shared" si="49"/>
        <v>0.1671116353044193</v>
      </c>
    </row>
    <row r="358" spans="1:20" x14ac:dyDescent="0.3">
      <c r="A358" s="10">
        <v>46015</v>
      </c>
      <c r="B358" s="11">
        <v>24</v>
      </c>
      <c r="C358" s="11">
        <f>MONTH(Tabla1[[#This Row],[FECHA]])</f>
        <v>12</v>
      </c>
      <c r="D358" s="3">
        <v>1843000</v>
      </c>
      <c r="E358" s="11">
        <v>22</v>
      </c>
      <c r="F358" s="3">
        <v>1269600</v>
      </c>
      <c r="G358" s="11">
        <v>7</v>
      </c>
      <c r="H358" s="3">
        <v>4924873</v>
      </c>
      <c r="I358" s="11">
        <v>13</v>
      </c>
      <c r="J358" s="3">
        <v>1767400</v>
      </c>
      <c r="K358" s="11">
        <v>11</v>
      </c>
      <c r="L358" s="3">
        <v>5274600</v>
      </c>
      <c r="M358" s="11">
        <v>60</v>
      </c>
      <c r="N358" s="3">
        <v>5627200</v>
      </c>
      <c r="O358" s="3">
        <f t="shared" si="46"/>
        <v>9804873</v>
      </c>
      <c r="P358" s="8">
        <f t="shared" si="44"/>
        <v>53</v>
      </c>
      <c r="Q358" s="3">
        <f t="shared" si="47"/>
        <v>15079473</v>
      </c>
      <c r="R358" s="8">
        <f t="shared" si="45"/>
        <v>113</v>
      </c>
      <c r="S358" s="9">
        <f t="shared" si="48"/>
        <v>1.1320754716981132</v>
      </c>
      <c r="T358" s="4">
        <f t="shared" si="49"/>
        <v>0.34978675978928442</v>
      </c>
    </row>
    <row r="359" spans="1:20" x14ac:dyDescent="0.3">
      <c r="A359" s="10">
        <v>46016</v>
      </c>
      <c r="B359" s="11">
        <v>25</v>
      </c>
      <c r="C359" s="11">
        <f>MONTH(Tabla1[[#This Row],[FECHA]])</f>
        <v>12</v>
      </c>
      <c r="D359" s="3">
        <v>0</v>
      </c>
      <c r="E359" s="11">
        <v>0</v>
      </c>
      <c r="F359" s="3">
        <v>0</v>
      </c>
      <c r="G359" s="11">
        <v>0</v>
      </c>
      <c r="H359" s="3">
        <v>0</v>
      </c>
      <c r="I359" s="11">
        <v>0</v>
      </c>
      <c r="J359" s="3">
        <v>0</v>
      </c>
      <c r="K359" s="11">
        <v>0</v>
      </c>
      <c r="L359" s="3">
        <v>0</v>
      </c>
      <c r="M359" s="11">
        <v>0</v>
      </c>
      <c r="N359" s="3">
        <v>0</v>
      </c>
      <c r="O359" s="3">
        <f t="shared" si="46"/>
        <v>0</v>
      </c>
      <c r="P359" s="8">
        <f t="shared" si="44"/>
        <v>0</v>
      </c>
      <c r="Q359" s="3">
        <f t="shared" si="47"/>
        <v>0</v>
      </c>
      <c r="R359" s="8">
        <f t="shared" si="45"/>
        <v>0</v>
      </c>
      <c r="S359" s="9">
        <v>0</v>
      </c>
      <c r="T359" s="4">
        <f t="shared" si="49"/>
        <v>0</v>
      </c>
    </row>
    <row r="360" spans="1:20" x14ac:dyDescent="0.3">
      <c r="A360" s="10">
        <v>46017</v>
      </c>
      <c r="B360" s="11">
        <v>26</v>
      </c>
      <c r="C360" s="11">
        <f>MONTH(Tabla1[[#This Row],[FECHA]])</f>
        <v>12</v>
      </c>
      <c r="D360" s="3">
        <v>1918700</v>
      </c>
      <c r="E360" s="11">
        <v>22</v>
      </c>
      <c r="F360" s="3">
        <v>3600900</v>
      </c>
      <c r="G360" s="11">
        <v>16</v>
      </c>
      <c r="H360" s="3">
        <v>14329950</v>
      </c>
      <c r="I360" s="11">
        <v>21</v>
      </c>
      <c r="J360" s="3">
        <v>8802400</v>
      </c>
      <c r="K360" s="11">
        <v>28</v>
      </c>
      <c r="L360" s="3">
        <v>3551300</v>
      </c>
      <c r="M360" s="11">
        <v>51</v>
      </c>
      <c r="N360" s="3">
        <v>11913200</v>
      </c>
      <c r="O360" s="3">
        <f t="shared" si="46"/>
        <v>28651950</v>
      </c>
      <c r="P360" s="8">
        <f t="shared" si="44"/>
        <v>87</v>
      </c>
      <c r="Q360" s="3">
        <f t="shared" si="47"/>
        <v>32203250</v>
      </c>
      <c r="R360" s="8">
        <f t="shared" si="45"/>
        <v>138</v>
      </c>
      <c r="S360" s="9">
        <f t="shared" ref="S360:S364" si="50">M360/P360</f>
        <v>0.58620689655172409</v>
      </c>
      <c r="T360" s="4">
        <f t="shared" si="49"/>
        <v>0.11027768936365119</v>
      </c>
    </row>
    <row r="361" spans="1:20" x14ac:dyDescent="0.3">
      <c r="A361" s="10">
        <v>46018</v>
      </c>
      <c r="B361" s="11">
        <v>27</v>
      </c>
      <c r="C361" s="11">
        <f>MONTH(Tabla1[[#This Row],[FECHA]])</f>
        <v>12</v>
      </c>
      <c r="D361" s="3">
        <v>899500</v>
      </c>
      <c r="E361" s="11">
        <v>10</v>
      </c>
      <c r="F361" s="3">
        <v>6754800</v>
      </c>
      <c r="G361" s="11">
        <v>27</v>
      </c>
      <c r="H361" s="3">
        <v>11888304</v>
      </c>
      <c r="I361" s="11">
        <v>24</v>
      </c>
      <c r="J361" s="3">
        <v>1514600</v>
      </c>
      <c r="K361" s="11">
        <v>15</v>
      </c>
      <c r="L361" s="3">
        <v>4859000</v>
      </c>
      <c r="M361" s="11">
        <v>86</v>
      </c>
      <c r="N361" s="3">
        <v>5459600</v>
      </c>
      <c r="O361" s="3">
        <f t="shared" si="46"/>
        <v>21057204</v>
      </c>
      <c r="P361" s="8">
        <f t="shared" si="44"/>
        <v>76</v>
      </c>
      <c r="Q361" s="3">
        <f t="shared" si="47"/>
        <v>25916204</v>
      </c>
      <c r="R361" s="8">
        <f t="shared" si="45"/>
        <v>162</v>
      </c>
      <c r="S361" s="9">
        <f t="shared" si="50"/>
        <v>1.131578947368421</v>
      </c>
      <c r="T361" s="4">
        <f t="shared" si="49"/>
        <v>0.18748887761494701</v>
      </c>
    </row>
    <row r="362" spans="1:20" x14ac:dyDescent="0.3">
      <c r="A362" s="10">
        <v>46019</v>
      </c>
      <c r="B362" s="11">
        <v>28</v>
      </c>
      <c r="C362" s="11">
        <f>MONTH(Tabla1[[#This Row],[FECHA]])</f>
        <v>12</v>
      </c>
      <c r="D362" s="3">
        <v>1573100</v>
      </c>
      <c r="E362" s="11">
        <v>16</v>
      </c>
      <c r="F362" s="3">
        <v>1562000</v>
      </c>
      <c r="G362" s="11">
        <v>10</v>
      </c>
      <c r="H362" s="3">
        <v>1707008</v>
      </c>
      <c r="I362" s="11">
        <v>5</v>
      </c>
      <c r="J362" s="3">
        <v>4503435</v>
      </c>
      <c r="K362" s="11">
        <v>9</v>
      </c>
      <c r="L362" s="3">
        <v>1692200</v>
      </c>
      <c r="M362" s="11">
        <v>30</v>
      </c>
      <c r="N362" s="3">
        <v>70000</v>
      </c>
      <c r="O362" s="3">
        <f t="shared" si="46"/>
        <v>9345543</v>
      </c>
      <c r="P362" s="8">
        <f t="shared" si="44"/>
        <v>40</v>
      </c>
      <c r="Q362" s="3">
        <f t="shared" si="47"/>
        <v>11037743</v>
      </c>
      <c r="R362" s="8">
        <f t="shared" si="45"/>
        <v>70</v>
      </c>
      <c r="S362" s="9">
        <f t="shared" si="50"/>
        <v>0.75</v>
      </c>
      <c r="T362" s="4">
        <f t="shared" si="49"/>
        <v>0.15331032802630029</v>
      </c>
    </row>
    <row r="363" spans="1:20" x14ac:dyDescent="0.3">
      <c r="A363" s="10">
        <v>46020</v>
      </c>
      <c r="B363" s="11">
        <v>29</v>
      </c>
      <c r="C363" s="11">
        <f>MONTH(Tabla1[[#This Row],[FECHA]])</f>
        <v>12</v>
      </c>
      <c r="D363" s="3">
        <v>918600</v>
      </c>
      <c r="E363" s="11">
        <v>25</v>
      </c>
      <c r="F363" s="3">
        <v>4000020</v>
      </c>
      <c r="G363" s="11">
        <v>18</v>
      </c>
      <c r="H363" s="3">
        <v>7966850</v>
      </c>
      <c r="I363" s="11">
        <v>22</v>
      </c>
      <c r="J363" s="3">
        <v>1420000</v>
      </c>
      <c r="K363" s="11">
        <v>23</v>
      </c>
      <c r="L363" s="3">
        <v>9196300</v>
      </c>
      <c r="M363" s="11">
        <v>80</v>
      </c>
      <c r="N363" s="3">
        <v>2897000</v>
      </c>
      <c r="O363" s="3">
        <f t="shared" si="46"/>
        <v>14305470</v>
      </c>
      <c r="P363" s="8">
        <f t="shared" si="44"/>
        <v>88</v>
      </c>
      <c r="Q363" s="3">
        <f t="shared" si="47"/>
        <v>23501770</v>
      </c>
      <c r="R363" s="8">
        <f t="shared" si="45"/>
        <v>168</v>
      </c>
      <c r="S363" s="9">
        <f t="shared" si="50"/>
        <v>0.90909090909090906</v>
      </c>
      <c r="T363" s="4">
        <f t="shared" si="49"/>
        <v>0.39130244232668432</v>
      </c>
    </row>
    <row r="364" spans="1:20" x14ac:dyDescent="0.3">
      <c r="A364" s="10">
        <v>46021</v>
      </c>
      <c r="B364" s="11">
        <v>30</v>
      </c>
      <c r="C364" s="11">
        <f>MONTH(Tabla1[[#This Row],[FECHA]])</f>
        <v>12</v>
      </c>
      <c r="D364" s="3">
        <v>1922700</v>
      </c>
      <c r="E364" s="11">
        <v>23</v>
      </c>
      <c r="F364" s="3">
        <v>5680824</v>
      </c>
      <c r="G364" s="11">
        <v>17</v>
      </c>
      <c r="H364" s="3">
        <v>18308000</v>
      </c>
      <c r="I364" s="11">
        <v>18</v>
      </c>
      <c r="J364" s="3">
        <v>5345320</v>
      </c>
      <c r="K364" s="11">
        <v>29</v>
      </c>
      <c r="L364" s="3">
        <v>2575700</v>
      </c>
      <c r="M364" s="11">
        <v>55</v>
      </c>
      <c r="N364" s="3">
        <v>5053700</v>
      </c>
      <c r="O364" s="3">
        <f t="shared" si="46"/>
        <v>31256844</v>
      </c>
      <c r="P364" s="8">
        <f t="shared" si="44"/>
        <v>87</v>
      </c>
      <c r="Q364" s="3">
        <f t="shared" si="47"/>
        <v>33832544</v>
      </c>
      <c r="R364" s="8">
        <f t="shared" si="45"/>
        <v>142</v>
      </c>
      <c r="S364" s="9">
        <f t="shared" si="50"/>
        <v>0.63218390804597702</v>
      </c>
      <c r="T364" s="4">
        <f t="shared" si="49"/>
        <v>7.613084017566045E-2</v>
      </c>
    </row>
    <row r="365" spans="1:20" x14ac:dyDescent="0.3">
      <c r="A365" s="10">
        <v>46022</v>
      </c>
      <c r="B365" s="11">
        <v>31</v>
      </c>
      <c r="C365" s="11">
        <f>MONTH(Tabla1[[#This Row],[FECHA]])</f>
        <v>12</v>
      </c>
      <c r="D365" s="3">
        <v>512700</v>
      </c>
      <c r="E365" s="11">
        <v>8</v>
      </c>
      <c r="F365" s="3">
        <v>3314250</v>
      </c>
      <c r="G365" s="11">
        <v>13</v>
      </c>
      <c r="H365" s="3">
        <v>4457300</v>
      </c>
      <c r="I365" s="11">
        <v>11</v>
      </c>
      <c r="J365" s="3">
        <v>491800</v>
      </c>
      <c r="K365" s="11">
        <v>5</v>
      </c>
      <c r="L365" s="3">
        <v>4927800</v>
      </c>
      <c r="M365" s="11">
        <v>73</v>
      </c>
      <c r="N365" s="3">
        <v>1454300</v>
      </c>
      <c r="O365" s="3">
        <f t="shared" si="46"/>
        <v>8776050</v>
      </c>
      <c r="P365" s="8">
        <f t="shared" si="44"/>
        <v>37</v>
      </c>
      <c r="Q365" s="3">
        <f t="shared" si="47"/>
        <v>13703850</v>
      </c>
      <c r="R365" s="8">
        <f>P365+M365</f>
        <v>110</v>
      </c>
      <c r="S365" s="9">
        <f>M365/P365</f>
        <v>1.972972972972973</v>
      </c>
      <c r="T365" s="4">
        <f t="shared" si="49"/>
        <v>0.35959237732462046</v>
      </c>
    </row>
    <row r="366" spans="1:20" x14ac:dyDescent="0.3">
      <c r="A366" s="24"/>
      <c r="B366" s="25">
        <f>SUM(Tabla1[DÍA])</f>
        <v>5737</v>
      </c>
      <c r="C366" s="25"/>
      <c r="D366" s="26"/>
      <c r="E366" s="25">
        <f>SUBTOTAL(109,Tabla1[NÚMERO
DE FACTURAS])</f>
        <v>9285</v>
      </c>
      <c r="F366" s="26"/>
      <c r="G366" s="25">
        <f>SUBTOTAL(109,Tabla1[NÚMERO
DE FACTURAS2])</f>
        <v>5957</v>
      </c>
      <c r="H366" s="26"/>
      <c r="I366" s="25">
        <f>SUBTOTAL(109,Tabla1[NÚMERO
DE FACTURAS3])</f>
        <v>5991</v>
      </c>
      <c r="J366" s="26"/>
      <c r="K366" s="25">
        <f>SUBTOTAL(109,Tabla1[NÚMERO
DE FACTURAS4])</f>
        <v>9631</v>
      </c>
      <c r="L366" s="26"/>
      <c r="M366" s="25">
        <f>SUBTOTAL(109,Tabla1[NÚMERO
DE FACTURAS5])</f>
        <v>20850</v>
      </c>
      <c r="N366" s="26"/>
      <c r="O366" s="26"/>
      <c r="P366" s="27">
        <f>SUBTOTAL(109,Tabla1[NÚMERO
DE FACTURAS TOTALES SAI])</f>
        <v>30864</v>
      </c>
      <c r="Q366" s="26"/>
      <c r="R366" s="27">
        <f>SUBTOTAL(109,Tabla1[NÚMERO
DE FACTURAS6])</f>
        <v>51714</v>
      </c>
      <c r="S366" s="29">
        <f>Tabla1[[#Totals],[NÚMERO
DE FACTURAS5]]/Tabla1[[#Totals],[NÚMERO
DE FACTURAS TOTALES SAI]]</f>
        <v>0.67554432348367033</v>
      </c>
      <c r="T366" s="28"/>
    </row>
    <row r="367" spans="1:20" x14ac:dyDescent="0.3">
      <c r="S367" s="23"/>
    </row>
    <row r="371" spans="9:9" x14ac:dyDescent="0.3">
      <c r="I371">
        <f>2000*0.9</f>
        <v>1800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B354-3C32-4491-882F-41103B383A0A}">
  <dimension ref="A1:F14"/>
  <sheetViews>
    <sheetView workbookViewId="0">
      <selection activeCell="E16" sqref="E16"/>
    </sheetView>
  </sheetViews>
  <sheetFormatPr baseColWidth="10" defaultRowHeight="14.4" x14ac:dyDescent="0.3"/>
  <cols>
    <col min="2" max="2" width="14" bestFit="1" customWidth="1"/>
    <col min="3" max="3" width="19.21875" bestFit="1" customWidth="1"/>
    <col min="4" max="4" width="16.88671875" bestFit="1" customWidth="1"/>
    <col min="5" max="5" width="17.6640625" customWidth="1"/>
  </cols>
  <sheetData>
    <row r="1" spans="1:6" ht="49.2" customHeight="1" x14ac:dyDescent="0.3">
      <c r="A1" s="31" t="s">
        <v>20</v>
      </c>
      <c r="B1" s="31" t="s">
        <v>21</v>
      </c>
      <c r="C1" s="31" t="s">
        <v>22</v>
      </c>
      <c r="D1" s="32" t="s">
        <v>23</v>
      </c>
      <c r="E1" s="31" t="s">
        <v>24</v>
      </c>
      <c r="F1" s="31" t="s">
        <v>25</v>
      </c>
    </row>
    <row r="2" spans="1:6" x14ac:dyDescent="0.3">
      <c r="A2">
        <v>1</v>
      </c>
      <c r="B2">
        <f>SUMIF(Tabla1[Mes],Tabla2[[#This Row],[Meses]],Tabla1[NÚMERO
DE FACTURAS TOTALES SAI])</f>
        <v>2420</v>
      </c>
      <c r="C2">
        <f>SUMIF(Tabla1[Mes],Tabla2[[#This Row],[Meses]],Tabla1[NÚMERO
DE FACTURAS5])</f>
        <v>1465</v>
      </c>
      <c r="D2">
        <f>(Tabla2[[#This Row],[Cantidad SAI]]+Tabla2[[#This Row],[Cantidad Manuales]])</f>
        <v>3885</v>
      </c>
      <c r="E2" s="30">
        <f>Tabla2[[#This Row],[Cantidad Manuales]]/Tabla2[[#This Row],[Total de facturas]]</f>
        <v>0.37709137709137708</v>
      </c>
      <c r="F2">
        <v>0</v>
      </c>
    </row>
    <row r="3" spans="1:6" x14ac:dyDescent="0.3">
      <c r="A3">
        <v>2</v>
      </c>
      <c r="B3">
        <f>SUMIF(Tabla1[Mes],Tabla2[[#This Row],[Meses]],Tabla1[NÚMERO
DE FACTURAS TOTALES SAI])</f>
        <v>2399</v>
      </c>
      <c r="C3">
        <f>SUMIF(Tabla1[Mes],Tabla2[[#This Row],[Meses]],Tabla1[NÚMERO
DE FACTURAS5])</f>
        <v>1461</v>
      </c>
      <c r="D3">
        <f>(Tabla2[[#This Row],[Cantidad SAI]]+Tabla2[[#This Row],[Cantidad Manuales]])</f>
        <v>3860</v>
      </c>
      <c r="E3" s="30">
        <f>Tabla2[[#This Row],[Cantidad Manuales]]/Tabla2[[#This Row],[Total de facturas]]</f>
        <v>0.37849740932642489</v>
      </c>
      <c r="F3" s="33">
        <f>(Tabla2[[#This Row],[%Porcentaje de facturas fuera del sistema]]-E2)/Tabla2[[#This Row],[%Porcentaje de facturas fuera del sistema]]</f>
        <v>3.7147737353077138E-3</v>
      </c>
    </row>
    <row r="4" spans="1:6" x14ac:dyDescent="0.3">
      <c r="A4">
        <v>3</v>
      </c>
      <c r="B4">
        <f>SUMIF(Tabla1[Mes],Tabla2[[#This Row],[Meses]],Tabla1[NÚMERO
DE FACTURAS TOTALES SAI])</f>
        <v>2654</v>
      </c>
      <c r="C4">
        <f>SUMIF(Tabla1[Mes],Tabla2[[#This Row],[Meses]],Tabla1[NÚMERO
DE FACTURAS5])</f>
        <v>1622</v>
      </c>
      <c r="D4">
        <f>(Tabla2[[#This Row],[Cantidad SAI]]+Tabla2[[#This Row],[Cantidad Manuales]])</f>
        <v>4276</v>
      </c>
      <c r="E4" s="30">
        <f>Tabla2[[#This Row],[Cantidad Manuales]]/Tabla2[[#This Row],[Total de facturas]]</f>
        <v>0.3793264733395697</v>
      </c>
      <c r="F4" s="33">
        <f>(Tabla2[[#This Row],[%Porcentaje de facturas fuera del sistema]]-E3)/Tabla2[[#This Row],[%Porcentaje de facturas fuera del sistema]]</f>
        <v>2.185621282495193E-3</v>
      </c>
    </row>
    <row r="5" spans="1:6" x14ac:dyDescent="0.3">
      <c r="A5">
        <v>4</v>
      </c>
      <c r="B5">
        <f>SUMIF(Tabla1[Mes],Tabla2[[#This Row],[Meses]],Tabla1[NÚMERO
DE FACTURAS TOTALES SAI])</f>
        <v>2691</v>
      </c>
      <c r="C5">
        <f>SUMIF(Tabla1[Mes],Tabla2[[#This Row],[Meses]],Tabla1[NÚMERO
DE FACTURAS5])</f>
        <v>1693</v>
      </c>
      <c r="D5">
        <f>(Tabla2[[#This Row],[Cantidad SAI]]+Tabla2[[#This Row],[Cantidad Manuales]])</f>
        <v>4384</v>
      </c>
      <c r="E5" s="30">
        <f>Tabla2[[#This Row],[Cantidad Manuales]]/Tabla2[[#This Row],[Total de facturas]]</f>
        <v>0.38617700729927007</v>
      </c>
      <c r="F5" s="33">
        <f>(Tabla2[[#This Row],[%Porcentaje de facturas fuera del sistema]]-E4)/Tabla2[[#This Row],[%Porcentaje de facturas fuera del sistema]]</f>
        <v>1.7739362598538928E-2</v>
      </c>
    </row>
    <row r="6" spans="1:6" x14ac:dyDescent="0.3">
      <c r="A6">
        <v>5</v>
      </c>
      <c r="B6">
        <f>SUMIF(Tabla1[Mes],Tabla2[[#This Row],[Meses]],Tabla1[NÚMERO
DE FACTURAS TOTALES SAI])</f>
        <v>2719</v>
      </c>
      <c r="C6">
        <f>SUMIF(Tabla1[Mes],Tabla2[[#This Row],[Meses]],Tabla1[NÚMERO
DE FACTURAS5])</f>
        <v>1700</v>
      </c>
      <c r="D6">
        <f>(Tabla2[[#This Row],[Cantidad SAI]]+Tabla2[[#This Row],[Cantidad Manuales]])</f>
        <v>4419</v>
      </c>
      <c r="E6" s="30">
        <f>Tabla2[[#This Row],[Cantidad Manuales]]/Tabla2[[#This Row],[Total de facturas]]</f>
        <v>0.38470242136229915</v>
      </c>
      <c r="F6" s="33">
        <f>(Tabla2[[#This Row],[%Porcentaje de facturas fuera del sistema]]-E5)/Tabla2[[#This Row],[%Porcentaje de facturas fuera del sistema]]</f>
        <v>-3.8330560326320512E-3</v>
      </c>
    </row>
    <row r="7" spans="1:6" x14ac:dyDescent="0.3">
      <c r="A7">
        <v>6</v>
      </c>
      <c r="B7">
        <f>SUMIF(Tabla1[Mes],Tabla2[[#This Row],[Meses]],Tabla1[NÚMERO
DE FACTURAS TOTALES SAI])</f>
        <v>2482</v>
      </c>
      <c r="C7">
        <f>SUMIF(Tabla1[Mes],Tabla2[[#This Row],[Meses]],Tabla1[NÚMERO
DE FACTURAS5])</f>
        <v>1709</v>
      </c>
      <c r="D7">
        <f>(Tabla2[[#This Row],[Cantidad SAI]]+Tabla2[[#This Row],[Cantidad Manuales]])</f>
        <v>4191</v>
      </c>
      <c r="E7" s="30">
        <f>Tabla2[[#This Row],[Cantidad Manuales]]/Tabla2[[#This Row],[Total de facturas]]</f>
        <v>0.40777857313290383</v>
      </c>
      <c r="F7" s="33">
        <f>(Tabla2[[#This Row],[%Porcentaje de facturas fuera del sistema]]-E6)/Tabla2[[#This Row],[%Porcentaje de facturas fuera del sistema]]</f>
        <v>5.658990758958702E-2</v>
      </c>
    </row>
    <row r="8" spans="1:6" x14ac:dyDescent="0.3">
      <c r="A8">
        <v>7</v>
      </c>
      <c r="B8">
        <f>SUMIF(Tabla1[Mes],Tabla2[[#This Row],[Meses]],Tabla1[NÚMERO
DE FACTURAS TOTALES SAI])</f>
        <v>2956</v>
      </c>
      <c r="C8">
        <f>SUMIF(Tabla1[Mes],Tabla2[[#This Row],[Meses]],Tabla1[NÚMERO
DE FACTURAS5])</f>
        <v>1874</v>
      </c>
      <c r="D8">
        <f>(Tabla2[[#This Row],[Cantidad SAI]]+Tabla2[[#This Row],[Cantidad Manuales]])</f>
        <v>4830</v>
      </c>
      <c r="E8" s="30">
        <f>Tabla2[[#This Row],[Cantidad Manuales]]/Tabla2[[#This Row],[Total de facturas]]</f>
        <v>0.38799171842650104</v>
      </c>
      <c r="F8" s="33">
        <f>(Tabla2[[#This Row],[%Porcentaje de facturas fuera del sistema]]-E7)/Tabla2[[#This Row],[%Porcentaje de facturas fuera del sistema]]</f>
        <v>-5.0998136729949559E-2</v>
      </c>
    </row>
    <row r="9" spans="1:6" x14ac:dyDescent="0.3">
      <c r="A9">
        <v>8</v>
      </c>
      <c r="B9">
        <f>SUMIF(Tabla1[Mes],Tabla2[[#This Row],[Meses]],Tabla1[NÚMERO
DE FACTURAS TOTALES SAI])</f>
        <v>2643</v>
      </c>
      <c r="C9">
        <f>SUMIF(Tabla1[Mes],Tabla2[[#This Row],[Meses]],Tabla1[NÚMERO
DE FACTURAS5])</f>
        <v>1654</v>
      </c>
      <c r="D9">
        <f>(Tabla2[[#This Row],[Cantidad SAI]]+Tabla2[[#This Row],[Cantidad Manuales]])</f>
        <v>4297</v>
      </c>
      <c r="E9" s="30">
        <f>Tabla2[[#This Row],[Cantidad Manuales]]/Tabla2[[#This Row],[Total de facturas]]</f>
        <v>0.38491971142657666</v>
      </c>
      <c r="F9" s="33">
        <f>(Tabla2[[#This Row],[%Porcentaje de facturas fuera del sistema]]-E8)/Tabla2[[#This Row],[%Porcentaje de facturas fuera del sistema]]</f>
        <v>-7.9809033123791218E-3</v>
      </c>
    </row>
    <row r="10" spans="1:6" x14ac:dyDescent="0.3">
      <c r="A10">
        <v>9</v>
      </c>
      <c r="B10">
        <f>SUMIF(Tabla1[Mes],Tabla2[[#This Row],[Meses]],Tabla1[NÚMERO
DE FACTURAS TOTALES SAI])</f>
        <v>2487</v>
      </c>
      <c r="C10">
        <f>SUMIF(Tabla1[Mes],Tabla2[[#This Row],[Meses]],Tabla1[NÚMERO
DE FACTURAS5])</f>
        <v>1744</v>
      </c>
      <c r="D10">
        <f>(Tabla2[[#This Row],[Cantidad SAI]]+Tabla2[[#This Row],[Cantidad Manuales]])</f>
        <v>4231</v>
      </c>
      <c r="E10" s="30">
        <f>Tabla2[[#This Row],[Cantidad Manuales]]/Tabla2[[#This Row],[Total de facturas]]</f>
        <v>0.41219569841644998</v>
      </c>
      <c r="F10" s="33">
        <f>(Tabla2[[#This Row],[%Porcentaje de facturas fuera del sistema]]-E9)/Tabla2[[#This Row],[%Porcentaje de facturas fuera del sistema]]</f>
        <v>6.6172420271877322E-2</v>
      </c>
    </row>
    <row r="11" spans="1:6" x14ac:dyDescent="0.3">
      <c r="A11">
        <v>10</v>
      </c>
      <c r="B11">
        <f>SUMIF(Tabla1[Mes],Tabla2[[#This Row],[Meses]],Tabla1[NÚMERO
DE FACTURAS TOTALES SAI])</f>
        <v>2753</v>
      </c>
      <c r="C11">
        <f>SUMIF(Tabla1[Mes],Tabla2[[#This Row],[Meses]],Tabla1[NÚMERO
DE FACTURAS5])</f>
        <v>1931</v>
      </c>
      <c r="D11">
        <f>(Tabla2[[#This Row],[Cantidad SAI]]+Tabla2[[#This Row],[Cantidad Manuales]])</f>
        <v>4684</v>
      </c>
      <c r="E11" s="30">
        <f>Tabla2[[#This Row],[Cantidad Manuales]]/Tabla2[[#This Row],[Total de facturas]]</f>
        <v>0.4122544833475662</v>
      </c>
      <c r="F11" s="33">
        <f>(Tabla2[[#This Row],[%Porcentaje de facturas fuera del sistema]]-E10)/Tabla2[[#This Row],[%Porcentaje de facturas fuera del sistema]]</f>
        <v>1.4259379458744973E-4</v>
      </c>
    </row>
    <row r="12" spans="1:6" x14ac:dyDescent="0.3">
      <c r="A12">
        <v>11</v>
      </c>
      <c r="B12">
        <f>SUMIF(Tabla1[Mes],Tabla2[[#This Row],[Meses]],Tabla1[NÚMERO
DE FACTURAS TOTALES SAI])</f>
        <v>2536</v>
      </c>
      <c r="C12">
        <f>SUMIF(Tabla1[Mes],Tabla2[[#This Row],[Meses]],Tabla1[NÚMERO
DE FACTURAS5])</f>
        <v>2088</v>
      </c>
      <c r="D12">
        <f>(Tabla2[[#This Row],[Cantidad SAI]]+Tabla2[[#This Row],[Cantidad Manuales]])</f>
        <v>4624</v>
      </c>
      <c r="E12" s="30">
        <f>Tabla2[[#This Row],[Cantidad Manuales]]/Tabla2[[#This Row],[Total de facturas]]</f>
        <v>0.45155709342560552</v>
      </c>
      <c r="F12" s="33">
        <f>(Tabla2[[#This Row],[%Porcentaje de facturas fuera del sistema]]-E11)/Tabla2[[#This Row],[%Porcentaje de facturas fuera del sistema]]</f>
        <v>8.7037964080868668E-2</v>
      </c>
    </row>
    <row r="13" spans="1:6" x14ac:dyDescent="0.3">
      <c r="A13">
        <v>12</v>
      </c>
      <c r="B13">
        <f>SUMIF(Tabla1[Mes],Tabla2[[#This Row],[Meses]],Tabla1[NÚMERO
DE FACTURAS TOTALES SAI])</f>
        <v>2124</v>
      </c>
      <c r="C13">
        <f>SUMIF(Tabla1[Mes],Tabla2[[#This Row],[Meses]],Tabla1[NÚMERO
DE FACTURAS5])</f>
        <v>1909</v>
      </c>
      <c r="D13">
        <f>(Tabla2[[#This Row],[Cantidad SAI]]+Tabla2[[#This Row],[Cantidad Manuales]])</f>
        <v>4033</v>
      </c>
      <c r="E13" s="30">
        <f>Tabla2[[#This Row],[Cantidad Manuales]]/Tabla2[[#This Row],[Total de facturas]]</f>
        <v>0.47334490453756511</v>
      </c>
      <c r="F13" s="33">
        <f>(Tabla2[[#This Row],[%Porcentaje de facturas fuera del sistema]]-E12)/Tabla2[[#This Row],[%Porcentaje de facturas fuera del sistema]]</f>
        <v>4.6029461610546392E-2</v>
      </c>
    </row>
    <row r="14" spans="1:6" x14ac:dyDescent="0.3">
      <c r="B14">
        <f>SUM(Tabla2[Cantidad SAI])</f>
        <v>30864</v>
      </c>
      <c r="C14">
        <f>SUBTOTAL(109,Tabla2[Cantidad Manuales])</f>
        <v>20850</v>
      </c>
      <c r="D14">
        <f>SUBTOTAL(109,Tabla2[Total de facturas])</f>
        <v>51714</v>
      </c>
      <c r="E14" s="30">
        <f>Tabla2[[#Totals],[Cantidad Manuales]]/Tabla2[[#Totals],[Total de facturas]]</f>
        <v>0.40317902308852532</v>
      </c>
    </row>
  </sheetData>
  <phoneticPr fontId="4" type="noConversion"/>
  <conditionalFormatting sqref="F2:F13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CAMILO PORTILLA AGUIRRE</dc:creator>
  <cp:lastModifiedBy>JOAN SEBASTIAN AGUIRRE ALDANA</cp:lastModifiedBy>
  <dcterms:created xsi:type="dcterms:W3CDTF">2026-03-06T17:25:09Z</dcterms:created>
  <dcterms:modified xsi:type="dcterms:W3CDTF">2026-03-10T18:03:52Z</dcterms:modified>
</cp:coreProperties>
</file>