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Desktop\MATERIAS QUINTO SEMESTRE\PROYECTO 1\proyecto1\"/>
    </mc:Choice>
  </mc:AlternateContent>
  <xr:revisionPtr revIDLastSave="0" documentId="13_ncr:1_{E4E02D60-AE72-4A0A-913F-55523854271C}" xr6:coauthVersionLast="47" xr6:coauthVersionMax="47" xr10:uidLastSave="{00000000-0000-0000-0000-000000000000}"/>
  <bookViews>
    <workbookView xWindow="-108" yWindow="-108" windowWidth="23256" windowHeight="12456" activeTab="5" autoFilterDateGrouping="0" xr2:uid="{00000000-000D-0000-FFFF-FFFF00000000}"/>
  </bookViews>
  <sheets>
    <sheet name="Listas" sheetId="1" r:id="rId1"/>
    <sheet name="ABC COSTEO" sheetId="7" r:id="rId2"/>
    <sheet name="Fechas Y ubicaciones" sheetId="6" r:id="rId3"/>
    <sheet name="Base de datos" sheetId="2" r:id="rId4"/>
    <sheet name="Hoja1" sheetId="9" r:id="rId5"/>
    <sheet name="ANALISIS DEL MARGEN" sheetId="8" r:id="rId6"/>
    <sheet name="Distancias" sheetId="5" r:id="rId7"/>
    <sheet name="Base Diego" sheetId="3" r:id="rId8"/>
    <sheet name="Venta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9" i="8" l="1"/>
  <c r="L247" i="8"/>
  <c r="L246" i="8"/>
  <c r="J243" i="8"/>
  <c r="N246" i="8"/>
  <c r="N243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7" i="9"/>
  <c r="O27" i="9"/>
  <c r="P27" i="9"/>
  <c r="Q27" i="9"/>
  <c r="N39" i="9"/>
  <c r="O39" i="9"/>
  <c r="P39" i="9"/>
  <c r="Q39" i="9"/>
  <c r="N18" i="9"/>
  <c r="O18" i="9"/>
  <c r="P18" i="9"/>
  <c r="Q18" i="9"/>
  <c r="N34" i="9"/>
  <c r="O34" i="9"/>
  <c r="P34" i="9"/>
  <c r="Q34" i="9"/>
  <c r="N38" i="9"/>
  <c r="O38" i="9"/>
  <c r="P38" i="9"/>
  <c r="Q38" i="9"/>
  <c r="N23" i="9"/>
  <c r="O23" i="9"/>
  <c r="P23" i="9"/>
  <c r="Q23" i="9"/>
  <c r="N33" i="9"/>
  <c r="O33" i="9"/>
  <c r="P33" i="9"/>
  <c r="Q33" i="9"/>
  <c r="N37" i="9"/>
  <c r="O37" i="9"/>
  <c r="P37" i="9"/>
  <c r="Q37" i="9"/>
  <c r="N26" i="9"/>
  <c r="O26" i="9"/>
  <c r="P26" i="9"/>
  <c r="Q26" i="9"/>
  <c r="N32" i="9"/>
  <c r="O32" i="9"/>
  <c r="P32" i="9"/>
  <c r="Q32" i="9"/>
  <c r="N25" i="9"/>
  <c r="O25" i="9"/>
  <c r="P25" i="9"/>
  <c r="Q25" i="9"/>
  <c r="N31" i="9"/>
  <c r="O31" i="9"/>
  <c r="P31" i="9"/>
  <c r="Q31" i="9"/>
  <c r="N22" i="9"/>
  <c r="O22" i="9"/>
  <c r="P22" i="9"/>
  <c r="Q22" i="9"/>
  <c r="N36" i="9"/>
  <c r="O36" i="9"/>
  <c r="P36" i="9"/>
  <c r="Q36" i="9"/>
  <c r="N24" i="9"/>
  <c r="O24" i="9"/>
  <c r="P24" i="9"/>
  <c r="Q24" i="9"/>
  <c r="N21" i="9"/>
  <c r="O21" i="9"/>
  <c r="P21" i="9"/>
  <c r="Q21" i="9"/>
  <c r="N30" i="9"/>
  <c r="O30" i="9"/>
  <c r="P30" i="9"/>
  <c r="Q30" i="9"/>
  <c r="N20" i="9"/>
  <c r="O20" i="9"/>
  <c r="P20" i="9"/>
  <c r="Q20" i="9"/>
  <c r="N35" i="9"/>
  <c r="O35" i="9"/>
  <c r="P35" i="9"/>
  <c r="Q35" i="9"/>
  <c r="N40" i="9"/>
  <c r="O40" i="9"/>
  <c r="P40" i="9"/>
  <c r="Q40" i="9"/>
  <c r="N19" i="9"/>
  <c r="O19" i="9"/>
  <c r="P19" i="9"/>
  <c r="Q19" i="9"/>
  <c r="N17" i="9"/>
  <c r="O17" i="9"/>
  <c r="P17" i="9"/>
  <c r="Q17" i="9"/>
  <c r="N29" i="9"/>
  <c r="O29" i="9"/>
  <c r="P29" i="9"/>
  <c r="Q29" i="9"/>
  <c r="Q28" i="9"/>
  <c r="P28" i="9"/>
  <c r="O28" i="9"/>
  <c r="N28" i="9"/>
  <c r="Q14" i="9"/>
  <c r="P14" i="9"/>
  <c r="O14" i="9"/>
  <c r="N14" i="9"/>
  <c r="Q11" i="9"/>
  <c r="P11" i="9"/>
  <c r="O11" i="9"/>
  <c r="N11" i="9"/>
  <c r="Q10" i="9"/>
  <c r="P10" i="9"/>
  <c r="O10" i="9"/>
  <c r="N10" i="9"/>
  <c r="G95" i="2"/>
  <c r="G96" i="2"/>
  <c r="G97" i="2"/>
  <c r="G33" i="9"/>
  <c r="G26" i="9"/>
  <c r="G40" i="9"/>
  <c r="G42" i="9"/>
  <c r="G43" i="9"/>
  <c r="H33" i="9"/>
  <c r="H26" i="9"/>
  <c r="H40" i="9"/>
  <c r="H42" i="9"/>
  <c r="H43" i="9"/>
  <c r="I33" i="9"/>
  <c r="I26" i="9"/>
  <c r="I40" i="9"/>
  <c r="I42" i="9"/>
  <c r="I43" i="9"/>
  <c r="J33" i="9"/>
  <c r="J26" i="9"/>
  <c r="J40" i="9"/>
  <c r="J42" i="9"/>
  <c r="J43" i="9"/>
  <c r="G46" i="2"/>
  <c r="G8" i="2"/>
  <c r="G9" i="2"/>
  <c r="G25" i="9"/>
  <c r="G29" i="9"/>
  <c r="G30" i="9"/>
  <c r="G39" i="9"/>
  <c r="H25" i="9"/>
  <c r="H29" i="9"/>
  <c r="H30" i="9"/>
  <c r="H39" i="9"/>
  <c r="I25" i="9"/>
  <c r="I29" i="9"/>
  <c r="I30" i="9"/>
  <c r="I39" i="9"/>
  <c r="J25" i="9"/>
  <c r="J29" i="9"/>
  <c r="J30" i="9"/>
  <c r="J39" i="9"/>
  <c r="G38" i="9"/>
  <c r="H38" i="9"/>
  <c r="I38" i="9"/>
  <c r="J38" i="9"/>
  <c r="F242" i="2"/>
  <c r="G32" i="9"/>
  <c r="H32" i="9"/>
  <c r="I32" i="9"/>
  <c r="J32" i="9"/>
  <c r="G22" i="9"/>
  <c r="H22" i="9"/>
  <c r="I22" i="9"/>
  <c r="J22" i="9"/>
  <c r="G35" i="9"/>
  <c r="H35" i="9"/>
  <c r="I35" i="9"/>
  <c r="J35" i="9"/>
  <c r="G36" i="9"/>
  <c r="H36" i="9"/>
  <c r="I36" i="9"/>
  <c r="J36" i="9"/>
  <c r="G34" i="9"/>
  <c r="H34" i="9"/>
  <c r="I34" i="9"/>
  <c r="J34" i="9"/>
  <c r="G23" i="9"/>
  <c r="H23" i="9"/>
  <c r="I23" i="9"/>
  <c r="J23" i="9"/>
  <c r="J24" i="9"/>
  <c r="I24" i="9"/>
  <c r="H24" i="9"/>
  <c r="G24" i="9"/>
  <c r="J28" i="9"/>
  <c r="I28" i="9"/>
  <c r="H28" i="9"/>
  <c r="G28" i="9"/>
  <c r="J31" i="9"/>
  <c r="I31" i="9"/>
  <c r="H31" i="9"/>
  <c r="G31" i="9"/>
  <c r="J37" i="9"/>
  <c r="I37" i="9"/>
  <c r="H37" i="9"/>
  <c r="G37" i="9"/>
  <c r="J27" i="9"/>
  <c r="I27" i="9"/>
  <c r="H27" i="9"/>
  <c r="G27" i="9"/>
  <c r="J21" i="9"/>
  <c r="I21" i="9"/>
  <c r="H21" i="9"/>
  <c r="G21" i="9"/>
  <c r="J20" i="9"/>
  <c r="I20" i="9"/>
  <c r="H20" i="9"/>
  <c r="G20" i="9"/>
  <c r="G13" i="9"/>
  <c r="H13" i="9"/>
  <c r="I13" i="9"/>
  <c r="J13" i="9"/>
  <c r="G16" i="9"/>
  <c r="H16" i="9"/>
  <c r="I16" i="9"/>
  <c r="J16" i="9"/>
  <c r="G12" i="9"/>
  <c r="H12" i="9"/>
  <c r="I12" i="9"/>
  <c r="J12" i="9"/>
  <c r="G15" i="9"/>
  <c r="H15" i="9"/>
  <c r="I15" i="9"/>
  <c r="J15" i="9"/>
  <c r="G2" i="2"/>
  <c r="G14" i="9"/>
  <c r="H14" i="9"/>
  <c r="I14" i="9"/>
  <c r="J14" i="9"/>
  <c r="G17" i="9"/>
  <c r="H17" i="9"/>
  <c r="I17" i="9"/>
  <c r="J17" i="9"/>
  <c r="J11" i="9"/>
  <c r="I11" i="9"/>
  <c r="H11" i="9"/>
  <c r="G11" i="9"/>
  <c r="J8" i="9"/>
  <c r="I8" i="9"/>
  <c r="H8" i="9"/>
  <c r="G8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J4" i="9"/>
  <c r="J5" i="9"/>
  <c r="I4" i="9"/>
  <c r="I5" i="9"/>
  <c r="H4" i="9"/>
  <c r="H5" i="9"/>
  <c r="G4" i="9"/>
  <c r="G5" i="9"/>
  <c r="O241" i="2"/>
  <c r="M241" i="2"/>
  <c r="G241" i="2"/>
  <c r="O240" i="2"/>
  <c r="M240" i="2"/>
  <c r="G240" i="2"/>
  <c r="O239" i="2"/>
  <c r="M239" i="2"/>
  <c r="G239" i="2"/>
  <c r="O238" i="2"/>
  <c r="M238" i="2"/>
  <c r="G238" i="2"/>
  <c r="O237" i="2"/>
  <c r="M237" i="2"/>
  <c r="G237" i="2"/>
  <c r="O236" i="2"/>
  <c r="M236" i="2"/>
  <c r="G236" i="2"/>
  <c r="O235" i="2"/>
  <c r="G235" i="2"/>
  <c r="O234" i="2"/>
  <c r="M234" i="2"/>
  <c r="G234" i="2"/>
  <c r="O233" i="2"/>
  <c r="M233" i="2"/>
  <c r="G233" i="2"/>
  <c r="O232" i="2"/>
  <c r="G232" i="2"/>
  <c r="O231" i="2"/>
  <c r="G231" i="2"/>
  <c r="O230" i="2"/>
  <c r="M230" i="2"/>
  <c r="G230" i="2"/>
  <c r="O229" i="2"/>
  <c r="M229" i="2"/>
  <c r="G229" i="2"/>
  <c r="O228" i="2"/>
  <c r="M228" i="2"/>
  <c r="G228" i="2"/>
  <c r="O227" i="2"/>
  <c r="M227" i="2"/>
  <c r="G227" i="2"/>
  <c r="O226" i="2"/>
  <c r="G226" i="2"/>
  <c r="O225" i="2"/>
  <c r="M225" i="2"/>
  <c r="G225" i="2"/>
  <c r="O224" i="2"/>
  <c r="M224" i="2"/>
  <c r="G224" i="2"/>
  <c r="O223" i="2"/>
  <c r="M223" i="2"/>
  <c r="G223" i="2"/>
  <c r="O222" i="2"/>
  <c r="M222" i="2"/>
  <c r="G222" i="2"/>
  <c r="O221" i="2"/>
  <c r="G221" i="2"/>
  <c r="O220" i="2"/>
  <c r="G220" i="2"/>
  <c r="O219" i="2"/>
  <c r="M219" i="2"/>
  <c r="G219" i="2"/>
  <c r="O218" i="2"/>
  <c r="M218" i="2"/>
  <c r="G218" i="2"/>
  <c r="O217" i="2"/>
  <c r="M217" i="2"/>
  <c r="G217" i="2"/>
  <c r="O216" i="2"/>
  <c r="M216" i="2"/>
  <c r="G216" i="2"/>
  <c r="O215" i="2"/>
  <c r="M215" i="2"/>
  <c r="G215" i="2"/>
  <c r="O214" i="2"/>
  <c r="M214" i="2"/>
  <c r="G214" i="2"/>
  <c r="O213" i="2"/>
  <c r="M213" i="2"/>
  <c r="G213" i="2"/>
  <c r="O212" i="2"/>
  <c r="M212" i="2"/>
  <c r="G212" i="2"/>
  <c r="B3" i="8" s="1"/>
  <c r="O211" i="2"/>
  <c r="M211" i="2"/>
  <c r="G211" i="2"/>
  <c r="O210" i="2"/>
  <c r="G210" i="2"/>
  <c r="O209" i="2"/>
  <c r="M209" i="2"/>
  <c r="G209" i="2"/>
  <c r="O208" i="2"/>
  <c r="G208" i="2"/>
  <c r="O207" i="2"/>
  <c r="M207" i="2"/>
  <c r="G207" i="2"/>
  <c r="O206" i="2"/>
  <c r="M206" i="2"/>
  <c r="G206" i="2"/>
  <c r="O205" i="2"/>
  <c r="M205" i="2"/>
  <c r="G205" i="2"/>
  <c r="O204" i="2"/>
  <c r="M204" i="2"/>
  <c r="G204" i="2"/>
  <c r="O203" i="2"/>
  <c r="M203" i="2"/>
  <c r="G203" i="2"/>
  <c r="O202" i="2"/>
  <c r="M202" i="2"/>
  <c r="G202" i="2"/>
  <c r="O201" i="2"/>
  <c r="M201" i="2"/>
  <c r="G201" i="2"/>
  <c r="O200" i="2"/>
  <c r="M200" i="2"/>
  <c r="G200" i="2"/>
  <c r="O199" i="2"/>
  <c r="G199" i="2"/>
  <c r="O198" i="2"/>
  <c r="G198" i="2"/>
  <c r="O197" i="2"/>
  <c r="M197" i="2"/>
  <c r="G197" i="2"/>
  <c r="O196" i="2"/>
  <c r="M196" i="2"/>
  <c r="G196" i="2"/>
  <c r="O195" i="2"/>
  <c r="M195" i="2"/>
  <c r="G195" i="2"/>
  <c r="O194" i="2"/>
  <c r="M194" i="2"/>
  <c r="G194" i="2"/>
  <c r="O193" i="2"/>
  <c r="M193" i="2"/>
  <c r="G193" i="2"/>
  <c r="O192" i="2"/>
  <c r="M192" i="2"/>
  <c r="G192" i="2"/>
  <c r="O191" i="2"/>
  <c r="M191" i="2"/>
  <c r="G191" i="2"/>
  <c r="O190" i="2"/>
  <c r="M190" i="2"/>
  <c r="G190" i="2"/>
  <c r="O189" i="2"/>
  <c r="G189" i="2"/>
  <c r="O188" i="2"/>
  <c r="G188" i="2"/>
  <c r="O187" i="2"/>
  <c r="M187" i="2"/>
  <c r="G187" i="2"/>
  <c r="O186" i="2"/>
  <c r="M186" i="2"/>
  <c r="G186" i="2"/>
  <c r="O185" i="2"/>
  <c r="M185" i="2"/>
  <c r="G185" i="2"/>
  <c r="O184" i="2"/>
  <c r="M184" i="2"/>
  <c r="G184" i="2"/>
  <c r="O183" i="2"/>
  <c r="M183" i="2"/>
  <c r="G183" i="2"/>
  <c r="O182" i="2"/>
  <c r="M182" i="2"/>
  <c r="G182" i="2"/>
  <c r="O181" i="2"/>
  <c r="G181" i="2"/>
  <c r="O180" i="2"/>
  <c r="G180" i="2"/>
  <c r="O179" i="2"/>
  <c r="G179" i="2"/>
  <c r="O178" i="2"/>
  <c r="M178" i="2"/>
  <c r="G178" i="2"/>
  <c r="O177" i="2"/>
  <c r="M177" i="2"/>
  <c r="G177" i="2"/>
  <c r="O176" i="2"/>
  <c r="M176" i="2"/>
  <c r="G176" i="2"/>
  <c r="O175" i="2"/>
  <c r="G175" i="2"/>
  <c r="O174" i="2"/>
  <c r="G174" i="2"/>
  <c r="O173" i="2"/>
  <c r="M173" i="2"/>
  <c r="G173" i="2"/>
  <c r="O172" i="2"/>
  <c r="M172" i="2"/>
  <c r="G172" i="2"/>
  <c r="O171" i="2"/>
  <c r="M171" i="2"/>
  <c r="G171" i="2"/>
  <c r="O170" i="2"/>
  <c r="M170" i="2"/>
  <c r="G170" i="2"/>
  <c r="O169" i="2"/>
  <c r="G169" i="2"/>
  <c r="O168" i="2"/>
  <c r="M168" i="2"/>
  <c r="G168" i="2"/>
  <c r="O167" i="2"/>
  <c r="G167" i="2"/>
  <c r="O166" i="2"/>
  <c r="M166" i="2"/>
  <c r="G166" i="2"/>
  <c r="O165" i="2"/>
  <c r="M165" i="2"/>
  <c r="G165" i="2"/>
  <c r="O164" i="2"/>
  <c r="M164" i="2"/>
  <c r="G164" i="2"/>
  <c r="O163" i="2"/>
  <c r="M163" i="2"/>
  <c r="G163" i="2"/>
  <c r="O162" i="2"/>
  <c r="M162" i="2"/>
  <c r="G162" i="2"/>
  <c r="O161" i="2"/>
  <c r="M161" i="2"/>
  <c r="G161" i="2"/>
  <c r="O160" i="2"/>
  <c r="M160" i="2"/>
  <c r="G160" i="2"/>
  <c r="O159" i="2"/>
  <c r="M159" i="2"/>
  <c r="G159" i="2"/>
  <c r="O158" i="2"/>
  <c r="M158" i="2"/>
  <c r="G158" i="2"/>
  <c r="O157" i="2"/>
  <c r="M157" i="2"/>
  <c r="G157" i="2"/>
  <c r="O156" i="2"/>
  <c r="M156" i="2"/>
  <c r="G156" i="2"/>
  <c r="O155" i="2"/>
  <c r="M155" i="2"/>
  <c r="G155" i="2"/>
  <c r="O154" i="2"/>
  <c r="G154" i="2"/>
  <c r="O153" i="2"/>
  <c r="G153" i="2"/>
  <c r="O152" i="2"/>
  <c r="M152" i="2"/>
  <c r="G152" i="2"/>
  <c r="O151" i="2"/>
  <c r="M151" i="2"/>
  <c r="G151" i="2"/>
  <c r="O150" i="2"/>
  <c r="M150" i="2"/>
  <c r="G150" i="2"/>
  <c r="O149" i="2"/>
  <c r="M149" i="2"/>
  <c r="G149" i="2"/>
  <c r="O148" i="2"/>
  <c r="M148" i="2"/>
  <c r="G148" i="2"/>
  <c r="O147" i="2"/>
  <c r="G147" i="2"/>
  <c r="O146" i="2"/>
  <c r="G146" i="2"/>
  <c r="O145" i="2"/>
  <c r="G145" i="2"/>
  <c r="O144" i="2"/>
  <c r="M144" i="2"/>
  <c r="G144" i="2"/>
  <c r="O143" i="2"/>
  <c r="M143" i="2"/>
  <c r="G143" i="2"/>
  <c r="O142" i="2"/>
  <c r="G142" i="2"/>
  <c r="O141" i="2"/>
  <c r="M141" i="2"/>
  <c r="G141" i="2"/>
  <c r="O140" i="2"/>
  <c r="M140" i="2"/>
  <c r="G140" i="2"/>
  <c r="O139" i="2"/>
  <c r="M139" i="2"/>
  <c r="G139" i="2"/>
  <c r="O138" i="2"/>
  <c r="M138" i="2"/>
  <c r="G138" i="2"/>
  <c r="O137" i="2"/>
  <c r="M137" i="2"/>
  <c r="G137" i="2"/>
  <c r="O136" i="2"/>
  <c r="M136" i="2"/>
  <c r="G136" i="2"/>
  <c r="O135" i="2"/>
  <c r="M135" i="2"/>
  <c r="G135" i="2"/>
  <c r="O134" i="2"/>
  <c r="M134" i="2"/>
  <c r="G134" i="2"/>
  <c r="O133" i="2"/>
  <c r="M133" i="2"/>
  <c r="G133" i="2"/>
  <c r="O132" i="2"/>
  <c r="M132" i="2"/>
  <c r="G132" i="2"/>
  <c r="O131" i="2"/>
  <c r="M131" i="2"/>
  <c r="G131" i="2"/>
  <c r="O130" i="2"/>
  <c r="M130" i="2"/>
  <c r="G130" i="2"/>
  <c r="O129" i="2"/>
  <c r="M129" i="2"/>
  <c r="G129" i="2"/>
  <c r="O128" i="2"/>
  <c r="G128" i="2"/>
  <c r="O127" i="2"/>
  <c r="G127" i="2"/>
  <c r="O126" i="2"/>
  <c r="M126" i="2"/>
  <c r="G126" i="2"/>
  <c r="O125" i="2"/>
  <c r="M125" i="2"/>
  <c r="G125" i="2"/>
  <c r="O124" i="2"/>
  <c r="M124" i="2"/>
  <c r="G124" i="2"/>
  <c r="O123" i="2"/>
  <c r="M123" i="2"/>
  <c r="G123" i="2"/>
  <c r="O122" i="2"/>
  <c r="M122" i="2"/>
  <c r="G122" i="2"/>
  <c r="O121" i="2"/>
  <c r="M121" i="2"/>
  <c r="G121" i="2"/>
  <c r="O120" i="2"/>
  <c r="G120" i="2"/>
  <c r="O119" i="2"/>
  <c r="M119" i="2"/>
  <c r="G119" i="2"/>
  <c r="O118" i="2"/>
  <c r="M118" i="2"/>
  <c r="G118" i="2"/>
  <c r="O117" i="2"/>
  <c r="M117" i="2"/>
  <c r="G117" i="2"/>
  <c r="O116" i="2"/>
  <c r="M116" i="2"/>
  <c r="G116" i="2"/>
  <c r="O115" i="2"/>
  <c r="G115" i="2"/>
  <c r="O114" i="2"/>
  <c r="M114" i="2"/>
  <c r="G114" i="2"/>
  <c r="O113" i="2"/>
  <c r="G113" i="2"/>
  <c r="O112" i="2"/>
  <c r="M112" i="2"/>
  <c r="G112" i="2"/>
  <c r="O111" i="2"/>
  <c r="M111" i="2"/>
  <c r="G111" i="2"/>
  <c r="O110" i="2"/>
  <c r="M110" i="2"/>
  <c r="G110" i="2"/>
  <c r="O109" i="2"/>
  <c r="M109" i="2"/>
  <c r="G109" i="2"/>
  <c r="O108" i="2"/>
  <c r="M108" i="2"/>
  <c r="G108" i="2"/>
  <c r="O107" i="2"/>
  <c r="M107" i="2"/>
  <c r="G107" i="2"/>
  <c r="O106" i="2"/>
  <c r="M106" i="2"/>
  <c r="G106" i="2"/>
  <c r="O105" i="2"/>
  <c r="M105" i="2"/>
  <c r="G105" i="2"/>
  <c r="O104" i="2"/>
  <c r="M104" i="2"/>
  <c r="G104" i="2"/>
  <c r="O103" i="2"/>
  <c r="M103" i="2"/>
  <c r="G103" i="2"/>
  <c r="O102" i="2"/>
  <c r="M102" i="2"/>
  <c r="G102" i="2"/>
  <c r="O101" i="2"/>
  <c r="M101" i="2"/>
  <c r="G101" i="2"/>
  <c r="O100" i="2"/>
  <c r="M100" i="2"/>
  <c r="G100" i="2"/>
  <c r="O99" i="2"/>
  <c r="G99" i="2"/>
  <c r="O98" i="2"/>
  <c r="M98" i="2"/>
  <c r="G98" i="2"/>
  <c r="O97" i="2"/>
  <c r="M97" i="2"/>
  <c r="O96" i="2"/>
  <c r="M96" i="2"/>
  <c r="O95" i="2"/>
  <c r="M95" i="2"/>
  <c r="O94" i="2"/>
  <c r="M94" i="2"/>
  <c r="G94" i="2"/>
  <c r="O93" i="2"/>
  <c r="M93" i="2"/>
  <c r="G93" i="2"/>
  <c r="O92" i="2"/>
  <c r="M92" i="2"/>
  <c r="G92" i="2"/>
  <c r="O91" i="2"/>
  <c r="M91" i="2"/>
  <c r="G91" i="2"/>
  <c r="O90" i="2"/>
  <c r="G90" i="2"/>
  <c r="O89" i="2"/>
  <c r="M89" i="2"/>
  <c r="G89" i="2"/>
  <c r="O88" i="2"/>
  <c r="M88" i="2"/>
  <c r="G88" i="2"/>
  <c r="O87" i="2"/>
  <c r="M87" i="2"/>
  <c r="G87" i="2"/>
  <c r="O86" i="2"/>
  <c r="M86" i="2"/>
  <c r="G86" i="2"/>
  <c r="O85" i="2"/>
  <c r="M85" i="2"/>
  <c r="G85" i="2"/>
  <c r="O84" i="2"/>
  <c r="G84" i="2"/>
  <c r="O83" i="2"/>
  <c r="M83" i="2"/>
  <c r="G83" i="2"/>
  <c r="O82" i="2"/>
  <c r="G82" i="2"/>
  <c r="O81" i="2"/>
  <c r="M81" i="2"/>
  <c r="G81" i="2"/>
  <c r="O80" i="2"/>
  <c r="M80" i="2"/>
  <c r="G80" i="2"/>
  <c r="O79" i="2"/>
  <c r="M79" i="2"/>
  <c r="G79" i="2"/>
  <c r="O78" i="2"/>
  <c r="M78" i="2"/>
  <c r="G78" i="2"/>
  <c r="O77" i="2"/>
  <c r="G77" i="2"/>
  <c r="O76" i="2"/>
  <c r="M76" i="2"/>
  <c r="G76" i="2"/>
  <c r="O75" i="2"/>
  <c r="M75" i="2"/>
  <c r="G75" i="2"/>
  <c r="O74" i="2"/>
  <c r="M74" i="2"/>
  <c r="G74" i="2"/>
  <c r="O73" i="2"/>
  <c r="M73" i="2"/>
  <c r="G73" i="2"/>
  <c r="O72" i="2"/>
  <c r="M72" i="2"/>
  <c r="G72" i="2"/>
  <c r="O71" i="2"/>
  <c r="G71" i="2"/>
  <c r="O70" i="2"/>
  <c r="M70" i="2"/>
  <c r="G70" i="2"/>
  <c r="O69" i="2"/>
  <c r="M69" i="2"/>
  <c r="G69" i="2"/>
  <c r="O68" i="2"/>
  <c r="M68" i="2"/>
  <c r="G68" i="2"/>
  <c r="O67" i="2"/>
  <c r="M67" i="2"/>
  <c r="G67" i="2"/>
  <c r="O66" i="2"/>
  <c r="G66" i="2"/>
  <c r="O65" i="2"/>
  <c r="M65" i="2"/>
  <c r="G65" i="2"/>
  <c r="O64" i="2"/>
  <c r="G64" i="2"/>
  <c r="O63" i="2"/>
  <c r="G63" i="2"/>
  <c r="O62" i="2"/>
  <c r="M62" i="2"/>
  <c r="G62" i="2"/>
  <c r="O61" i="2"/>
  <c r="M61" i="2"/>
  <c r="G61" i="2"/>
  <c r="O60" i="2"/>
  <c r="G60" i="2"/>
  <c r="O59" i="2"/>
  <c r="M59" i="2"/>
  <c r="G59" i="2"/>
  <c r="O58" i="2"/>
  <c r="M58" i="2"/>
  <c r="G58" i="2"/>
  <c r="O57" i="2"/>
  <c r="M57" i="2"/>
  <c r="G57" i="2"/>
  <c r="O56" i="2"/>
  <c r="M56" i="2"/>
  <c r="G56" i="2"/>
  <c r="O55" i="2"/>
  <c r="M55" i="2"/>
  <c r="G55" i="2"/>
  <c r="O54" i="2"/>
  <c r="M54" i="2"/>
  <c r="G54" i="2"/>
  <c r="O53" i="2"/>
  <c r="M53" i="2"/>
  <c r="G53" i="2"/>
  <c r="O52" i="2"/>
  <c r="M52" i="2"/>
  <c r="G52" i="2"/>
  <c r="O51" i="2"/>
  <c r="G51" i="2"/>
  <c r="O50" i="2"/>
  <c r="G50" i="2"/>
  <c r="O49" i="2"/>
  <c r="G49" i="2"/>
  <c r="O48" i="2"/>
  <c r="M48" i="2"/>
  <c r="G48" i="2"/>
  <c r="O47" i="2"/>
  <c r="M47" i="2"/>
  <c r="G47" i="2"/>
  <c r="O46" i="2"/>
  <c r="M46" i="2"/>
  <c r="O45" i="2"/>
  <c r="G45" i="2"/>
  <c r="O44" i="2"/>
  <c r="M44" i="2"/>
  <c r="G44" i="2"/>
  <c r="O43" i="2"/>
  <c r="M43" i="2"/>
  <c r="G43" i="2"/>
  <c r="O42" i="2"/>
  <c r="M42" i="2"/>
  <c r="H42" i="2"/>
  <c r="G42" i="2"/>
  <c r="O41" i="2"/>
  <c r="M41" i="2"/>
  <c r="H41" i="2"/>
  <c r="G41" i="2"/>
  <c r="O40" i="2"/>
  <c r="H40" i="2"/>
  <c r="I40" i="2" s="1"/>
  <c r="G40" i="2"/>
  <c r="O39" i="2"/>
  <c r="M39" i="2"/>
  <c r="H39" i="2"/>
  <c r="G39" i="2"/>
  <c r="O38" i="2"/>
  <c r="H38" i="2"/>
  <c r="I38" i="2" s="1"/>
  <c r="G38" i="2"/>
  <c r="O37" i="2"/>
  <c r="M37" i="2"/>
  <c r="H37" i="2"/>
  <c r="G37" i="2"/>
  <c r="O36" i="2"/>
  <c r="M36" i="2"/>
  <c r="H36" i="2"/>
  <c r="G36" i="2"/>
  <c r="O35" i="2"/>
  <c r="M35" i="2"/>
  <c r="G35" i="2"/>
  <c r="O34" i="2"/>
  <c r="G34" i="2"/>
  <c r="O33" i="2"/>
  <c r="G33" i="2"/>
  <c r="O32" i="2"/>
  <c r="G32" i="2"/>
  <c r="O31" i="2"/>
  <c r="M31" i="2"/>
  <c r="G31" i="2"/>
  <c r="O30" i="2"/>
  <c r="G30" i="2"/>
  <c r="O29" i="2"/>
  <c r="G29" i="2"/>
  <c r="O28" i="2"/>
  <c r="M28" i="2"/>
  <c r="G28" i="2"/>
  <c r="O27" i="2"/>
  <c r="G27" i="2"/>
  <c r="O26" i="2"/>
  <c r="M26" i="2"/>
  <c r="G26" i="2"/>
  <c r="O25" i="2"/>
  <c r="M25" i="2"/>
  <c r="G25" i="2"/>
  <c r="O24" i="2"/>
  <c r="M24" i="2"/>
  <c r="G24" i="2"/>
  <c r="O23" i="2"/>
  <c r="M23" i="2"/>
  <c r="G23" i="2"/>
  <c r="O22" i="2"/>
  <c r="M22" i="2"/>
  <c r="G22" i="2"/>
  <c r="O21" i="2"/>
  <c r="M21" i="2"/>
  <c r="G21" i="2"/>
  <c r="O20" i="2"/>
  <c r="M20" i="2"/>
  <c r="G20" i="2"/>
  <c r="O19" i="2"/>
  <c r="M19" i="2"/>
  <c r="G19" i="2"/>
  <c r="O18" i="2"/>
  <c r="G18" i="2"/>
  <c r="O17" i="2"/>
  <c r="M17" i="2"/>
  <c r="G17" i="2"/>
  <c r="O16" i="2"/>
  <c r="M16" i="2"/>
  <c r="G16" i="2"/>
  <c r="O15" i="2"/>
  <c r="M15" i="2"/>
  <c r="G15" i="2"/>
  <c r="O14" i="2"/>
  <c r="M14" i="2"/>
  <c r="G14" i="2"/>
  <c r="O13" i="2"/>
  <c r="G13" i="2"/>
  <c r="O12" i="2"/>
  <c r="M12" i="2"/>
  <c r="G12" i="2"/>
  <c r="O11" i="2"/>
  <c r="G11" i="2"/>
  <c r="O10" i="2"/>
  <c r="G10" i="2"/>
  <c r="O9" i="2"/>
  <c r="O8" i="2"/>
  <c r="O7" i="2"/>
  <c r="M7" i="2"/>
  <c r="G7" i="2"/>
  <c r="O6" i="2"/>
  <c r="M6" i="2"/>
  <c r="G6" i="2"/>
  <c r="O5" i="2"/>
  <c r="M5" i="2"/>
  <c r="G5" i="2"/>
  <c r="O4" i="2"/>
  <c r="M4" i="2"/>
  <c r="G4" i="2"/>
  <c r="O3" i="2"/>
  <c r="M3" i="2"/>
  <c r="G3" i="2"/>
  <c r="O2" i="2"/>
  <c r="M2" i="2"/>
  <c r="B25" i="9"/>
  <c r="B26" i="9"/>
  <c r="B3" i="9"/>
  <c r="B45" i="9"/>
  <c r="B34" i="9"/>
  <c r="B62" i="9"/>
  <c r="B14" i="9"/>
  <c r="B35" i="9"/>
  <c r="B46" i="9"/>
  <c r="B10" i="9"/>
  <c r="B2" i="9"/>
  <c r="B11" i="9"/>
  <c r="B27" i="9"/>
  <c r="B36" i="9"/>
  <c r="B15" i="9"/>
  <c r="B28" i="9"/>
  <c r="B63" i="9"/>
  <c r="B37" i="9"/>
  <c r="B47" i="9"/>
  <c r="B29" i="9"/>
  <c r="B38" i="9"/>
  <c r="B30" i="9"/>
  <c r="B5" i="9"/>
  <c r="B55" i="9"/>
  <c r="B48" i="9"/>
  <c r="B39" i="9"/>
  <c r="B31" i="9"/>
  <c r="B49" i="9"/>
  <c r="B40" i="9"/>
  <c r="B16" i="9"/>
  <c r="B32" i="9"/>
  <c r="B17" i="9"/>
  <c r="B12" i="9"/>
  <c r="B50" i="9"/>
  <c r="B64" i="9"/>
  <c r="B18" i="9"/>
  <c r="B56" i="9"/>
  <c r="B19" i="9"/>
  <c r="B33" i="9"/>
  <c r="B20" i="9"/>
  <c r="B51" i="9"/>
  <c r="B21" i="9"/>
  <c r="B4" i="9"/>
  <c r="B41" i="9"/>
  <c r="B6" i="9"/>
  <c r="B7" i="9"/>
  <c r="B42" i="9"/>
  <c r="B22" i="9"/>
  <c r="B8" i="9"/>
  <c r="B23" i="9"/>
  <c r="B57" i="9"/>
  <c r="B13" i="9"/>
  <c r="B24" i="9"/>
  <c r="B9" i="9"/>
  <c r="B58" i="9"/>
  <c r="B59" i="9"/>
  <c r="B60" i="9"/>
  <c r="B61" i="9"/>
  <c r="B52" i="9"/>
  <c r="B53" i="9"/>
  <c r="B43" i="9"/>
  <c r="B44" i="9"/>
  <c r="B54" i="9"/>
  <c r="R11" i="9" l="1"/>
  <c r="K43" i="9"/>
  <c r="K42" i="9"/>
  <c r="G41" i="9"/>
  <c r="I36" i="2"/>
  <c r="I39" i="2"/>
  <c r="I37" i="2"/>
  <c r="I42" i="2"/>
  <c r="I41" i="2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G242" i="8" s="1"/>
  <c r="D151" i="8"/>
  <c r="H242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3" i="8"/>
  <c r="F3" i="8"/>
  <c r="B206" i="8"/>
  <c r="B219" i="8"/>
  <c r="B105" i="8"/>
  <c r="B228" i="8"/>
  <c r="B217" i="8"/>
  <c r="B152" i="8"/>
  <c r="B212" i="8"/>
  <c r="B202" i="8"/>
  <c r="B8" i="8"/>
  <c r="B83" i="8"/>
  <c r="B122" i="8"/>
  <c r="B210" i="8"/>
  <c r="B222" i="8"/>
  <c r="B203" i="8"/>
  <c r="B190" i="8"/>
  <c r="B227" i="8"/>
  <c r="B113" i="8"/>
  <c r="B117" i="8"/>
  <c r="B225" i="8"/>
  <c r="B237" i="8"/>
  <c r="B230" i="8"/>
  <c r="B207" i="8"/>
  <c r="B235" i="8"/>
  <c r="B236" i="8"/>
  <c r="B224" i="8"/>
  <c r="B63" i="8"/>
  <c r="B37" i="8"/>
  <c r="B114" i="8"/>
  <c r="B218" i="8"/>
  <c r="B215" i="8"/>
  <c r="B42" i="8"/>
  <c r="B239" i="8"/>
  <c r="B209" i="8"/>
  <c r="B213" i="8"/>
  <c r="B205" i="8"/>
  <c r="B12" i="8"/>
  <c r="B233" i="8"/>
  <c r="B231" i="8"/>
  <c r="B229" i="8"/>
  <c r="B31" i="8"/>
  <c r="B87" i="8"/>
  <c r="B186" i="8"/>
  <c r="B155" i="8"/>
  <c r="B211" i="8"/>
  <c r="B220" i="8"/>
  <c r="B131" i="8"/>
  <c r="A243" i="8"/>
  <c r="N242" i="2"/>
  <c r="B10" i="7"/>
  <c r="B193" i="8"/>
  <c r="G177" i="8" l="1"/>
  <c r="G129" i="8"/>
  <c r="G81" i="8"/>
  <c r="G57" i="8"/>
  <c r="G45" i="8"/>
  <c r="G33" i="8"/>
  <c r="G21" i="8"/>
  <c r="G9" i="8"/>
  <c r="G189" i="8"/>
  <c r="G165" i="8"/>
  <c r="G153" i="8"/>
  <c r="G141" i="8"/>
  <c r="G117" i="8"/>
  <c r="G105" i="8"/>
  <c r="G93" i="8"/>
  <c r="G69" i="8"/>
  <c r="G230" i="8"/>
  <c r="G170" i="8"/>
  <c r="G122" i="8"/>
  <c r="G98" i="8"/>
  <c r="G74" i="8"/>
  <c r="G26" i="8"/>
  <c r="G229" i="8"/>
  <c r="G193" i="8"/>
  <c r="G169" i="8"/>
  <c r="G145" i="8"/>
  <c r="G121" i="8"/>
  <c r="G97" i="8"/>
  <c r="G73" i="8"/>
  <c r="G49" i="8"/>
  <c r="G25" i="8"/>
  <c r="G207" i="8"/>
  <c r="G191" i="8"/>
  <c r="G179" i="8"/>
  <c r="G155" i="8"/>
  <c r="G143" i="8"/>
  <c r="G119" i="8"/>
  <c r="G107" i="8"/>
  <c r="G95" i="8"/>
  <c r="G83" i="8"/>
  <c r="G59" i="8"/>
  <c r="G47" i="8"/>
  <c r="G23" i="8"/>
  <c r="G226" i="8"/>
  <c r="G225" i="8"/>
  <c r="G236" i="8"/>
  <c r="G224" i="8"/>
  <c r="G212" i="8"/>
  <c r="I215" i="8"/>
  <c r="J215" i="8" s="1"/>
  <c r="G240" i="8"/>
  <c r="G228" i="8"/>
  <c r="G192" i="8"/>
  <c r="G180" i="8"/>
  <c r="G168" i="8"/>
  <c r="G156" i="8"/>
  <c r="G144" i="8"/>
  <c r="G132" i="8"/>
  <c r="G120" i="8"/>
  <c r="G108" i="8"/>
  <c r="G96" i="8"/>
  <c r="G84" i="8"/>
  <c r="G72" i="8"/>
  <c r="G60" i="8"/>
  <c r="G48" i="8"/>
  <c r="G36" i="8"/>
  <c r="G24" i="8"/>
  <c r="G12" i="8"/>
  <c r="G11" i="8"/>
  <c r="G190" i="8"/>
  <c r="G178" i="8"/>
  <c r="G166" i="8"/>
  <c r="G154" i="8"/>
  <c r="G142" i="8"/>
  <c r="G130" i="8"/>
  <c r="G118" i="8"/>
  <c r="G106" i="8"/>
  <c r="G94" i="8"/>
  <c r="G82" i="8"/>
  <c r="G70" i="8"/>
  <c r="G58" i="8"/>
  <c r="G46" i="8"/>
  <c r="G34" i="8"/>
  <c r="G22" i="8"/>
  <c r="G10" i="8"/>
  <c r="G203" i="8"/>
  <c r="G202" i="8"/>
  <c r="G201" i="8"/>
  <c r="G231" i="8"/>
  <c r="G147" i="8"/>
  <c r="G51" i="8"/>
  <c r="G146" i="8"/>
  <c r="G50" i="8"/>
  <c r="I79" i="8"/>
  <c r="J79" i="8" s="1"/>
  <c r="I3" i="8"/>
  <c r="J3" i="8" s="1"/>
  <c r="G195" i="8"/>
  <c r="G183" i="8"/>
  <c r="G171" i="8"/>
  <c r="G159" i="8"/>
  <c r="G135" i="8"/>
  <c r="G123" i="8"/>
  <c r="G111" i="8"/>
  <c r="G99" i="8"/>
  <c r="G87" i="8"/>
  <c r="G75" i="8"/>
  <c r="G63" i="8"/>
  <c r="G39" i="8"/>
  <c r="G27" i="8"/>
  <c r="G15" i="8"/>
  <c r="G216" i="8"/>
  <c r="G204" i="8"/>
  <c r="I120" i="8"/>
  <c r="J120" i="8" s="1"/>
  <c r="I96" i="8"/>
  <c r="J96" i="8" s="1"/>
  <c r="G239" i="8"/>
  <c r="G227" i="8"/>
  <c r="G215" i="8"/>
  <c r="G167" i="8"/>
  <c r="G131" i="8"/>
  <c r="G71" i="8"/>
  <c r="G35" i="8"/>
  <c r="G194" i="8"/>
  <c r="G206" i="8"/>
  <c r="G238" i="8"/>
  <c r="G214" i="8"/>
  <c r="G241" i="8"/>
  <c r="G205" i="8"/>
  <c r="G237" i="8"/>
  <c r="G213" i="8"/>
  <c r="B226" i="8"/>
  <c r="B214" i="8"/>
  <c r="B91" i="8"/>
  <c r="B221" i="8"/>
  <c r="B38" i="8"/>
  <c r="G175" i="8"/>
  <c r="G79" i="8"/>
  <c r="G7" i="8"/>
  <c r="G150" i="8"/>
  <c r="G78" i="8"/>
  <c r="G54" i="8"/>
  <c r="G197" i="8"/>
  <c r="G185" i="8"/>
  <c r="G173" i="8"/>
  <c r="G161" i="8"/>
  <c r="G149" i="8"/>
  <c r="G137" i="8"/>
  <c r="G125" i="8"/>
  <c r="G113" i="8"/>
  <c r="G101" i="8"/>
  <c r="G89" i="8"/>
  <c r="G77" i="8"/>
  <c r="G65" i="8"/>
  <c r="G53" i="8"/>
  <c r="G41" i="8"/>
  <c r="G29" i="8"/>
  <c r="G17" i="8"/>
  <c r="G5" i="8"/>
  <c r="G196" i="8"/>
  <c r="G184" i="8"/>
  <c r="G172" i="8"/>
  <c r="G160" i="8"/>
  <c r="G148" i="8"/>
  <c r="G124" i="8"/>
  <c r="G112" i="8"/>
  <c r="G100" i="8"/>
  <c r="G88" i="8"/>
  <c r="G76" i="8"/>
  <c r="G64" i="8"/>
  <c r="G52" i="8"/>
  <c r="G40" i="8"/>
  <c r="G28" i="8"/>
  <c r="G16" i="8"/>
  <c r="G4" i="8"/>
  <c r="G199" i="8"/>
  <c r="G151" i="8"/>
  <c r="G67" i="8"/>
  <c r="G19" i="8"/>
  <c r="G198" i="8"/>
  <c r="G114" i="8"/>
  <c r="G66" i="8"/>
  <c r="G18" i="8"/>
  <c r="G219" i="8"/>
  <c r="G218" i="8"/>
  <c r="G182" i="8"/>
  <c r="G134" i="8"/>
  <c r="G14" i="8"/>
  <c r="G217" i="8"/>
  <c r="G109" i="8"/>
  <c r="G13" i="8"/>
  <c r="G139" i="8"/>
  <c r="G103" i="8"/>
  <c r="G55" i="8"/>
  <c r="G186" i="8"/>
  <c r="G126" i="8"/>
  <c r="G42" i="8"/>
  <c r="I116" i="8"/>
  <c r="J116" i="8" s="1"/>
  <c r="I126" i="8"/>
  <c r="J126" i="8" s="1"/>
  <c r="I113" i="8"/>
  <c r="J113" i="8" s="1"/>
  <c r="G133" i="8"/>
  <c r="G187" i="8"/>
  <c r="G127" i="8"/>
  <c r="G43" i="8"/>
  <c r="G174" i="8"/>
  <c r="G90" i="8"/>
  <c r="G6" i="8"/>
  <c r="G158" i="8"/>
  <c r="G62" i="8"/>
  <c r="G157" i="8"/>
  <c r="G61" i="8"/>
  <c r="G37" i="8"/>
  <c r="G163" i="8"/>
  <c r="G115" i="8"/>
  <c r="G91" i="8"/>
  <c r="G31" i="8"/>
  <c r="G162" i="8"/>
  <c r="G138" i="8"/>
  <c r="G102" i="8"/>
  <c r="G30" i="8"/>
  <c r="G86" i="8"/>
  <c r="G38" i="8"/>
  <c r="G85" i="8"/>
  <c r="I77" i="8"/>
  <c r="J77" i="8" s="1"/>
  <c r="G200" i="8"/>
  <c r="G188" i="8"/>
  <c r="G176" i="8"/>
  <c r="G164" i="8"/>
  <c r="G152" i="8"/>
  <c r="G140" i="8"/>
  <c r="G128" i="8"/>
  <c r="G116" i="8"/>
  <c r="G104" i="8"/>
  <c r="G92" i="8"/>
  <c r="G80" i="8"/>
  <c r="G68" i="8"/>
  <c r="G56" i="8"/>
  <c r="G44" i="8"/>
  <c r="G32" i="8"/>
  <c r="G20" i="8"/>
  <c r="G8" i="8"/>
  <c r="G235" i="8"/>
  <c r="G222" i="8"/>
  <c r="G221" i="8"/>
  <c r="G232" i="8"/>
  <c r="I181" i="8"/>
  <c r="J181" i="8" s="1"/>
  <c r="G181" i="8"/>
  <c r="G211" i="8"/>
  <c r="G210" i="8"/>
  <c r="G233" i="8"/>
  <c r="G220" i="8"/>
  <c r="I122" i="8"/>
  <c r="J122" i="8" s="1"/>
  <c r="I110" i="8"/>
  <c r="J110" i="8" s="1"/>
  <c r="I74" i="8"/>
  <c r="J74" i="8" s="1"/>
  <c r="G110" i="8"/>
  <c r="I160" i="8"/>
  <c r="J160" i="8" s="1"/>
  <c r="G223" i="8"/>
  <c r="G234" i="8"/>
  <c r="G209" i="8"/>
  <c r="G208" i="8"/>
  <c r="G136" i="8"/>
  <c r="I136" i="8"/>
  <c r="J136" i="8" s="1"/>
  <c r="I72" i="8"/>
  <c r="J72" i="8" s="1"/>
  <c r="I48" i="8"/>
  <c r="J48" i="8" s="1"/>
  <c r="I105" i="8"/>
  <c r="J105" i="8" s="1"/>
  <c r="I81" i="8"/>
  <c r="J81" i="8" s="1"/>
  <c r="I33" i="8"/>
  <c r="J33" i="8" s="1"/>
  <c r="I151" i="8"/>
  <c r="J151" i="8" s="1"/>
  <c r="I108" i="8"/>
  <c r="J108" i="8" s="1"/>
  <c r="I178" i="8"/>
  <c r="J178" i="8" s="1"/>
  <c r="I71" i="8"/>
  <c r="J71" i="8" s="1"/>
  <c r="I214" i="8"/>
  <c r="J214" i="8" s="1"/>
  <c r="I202" i="8"/>
  <c r="J202" i="8" s="1"/>
  <c r="I216" i="8"/>
  <c r="J216" i="8" s="1"/>
  <c r="I213" i="8"/>
  <c r="J213" i="8" s="1"/>
  <c r="I4" i="8"/>
  <c r="J4" i="8" s="1"/>
  <c r="I24" i="8"/>
  <c r="J24" i="8" s="1"/>
  <c r="I7" i="8"/>
  <c r="J7" i="8" s="1"/>
  <c r="I115" i="8"/>
  <c r="J115" i="8" s="1"/>
  <c r="I31" i="8"/>
  <c r="J31" i="8" s="1"/>
  <c r="I5" i="8"/>
  <c r="J5" i="8" s="1"/>
  <c r="I124" i="8"/>
  <c r="J124" i="8" s="1"/>
  <c r="I64" i="8"/>
  <c r="J64" i="8" s="1"/>
  <c r="I237" i="8"/>
  <c r="J237" i="8" s="1"/>
  <c r="I225" i="8"/>
  <c r="J225" i="8" s="1"/>
  <c r="I201" i="8"/>
  <c r="J201" i="8" s="1"/>
  <c r="I242" i="8"/>
  <c r="J242" i="8" s="1"/>
  <c r="I241" i="8"/>
  <c r="J241" i="8" s="1"/>
  <c r="I205" i="8"/>
  <c r="J205" i="8" s="1"/>
  <c r="I240" i="8"/>
  <c r="J240" i="8" s="1"/>
  <c r="I204" i="8"/>
  <c r="J204" i="8" s="1"/>
  <c r="I239" i="8"/>
  <c r="J239" i="8" s="1"/>
  <c r="I203" i="8"/>
  <c r="J203" i="8" s="1"/>
  <c r="I12" i="8"/>
  <c r="J12" i="8" s="1"/>
  <c r="I238" i="8"/>
  <c r="J238" i="8" s="1"/>
  <c r="I226" i="8"/>
  <c r="J226" i="8" s="1"/>
  <c r="I217" i="8"/>
  <c r="J217" i="8" s="1"/>
  <c r="I83" i="8"/>
  <c r="J83" i="8" s="1"/>
  <c r="G3" i="8"/>
  <c r="I228" i="8"/>
  <c r="J228" i="8" s="1"/>
  <c r="I92" i="8"/>
  <c r="J92" i="8" s="1"/>
  <c r="I32" i="8"/>
  <c r="J32" i="8" s="1"/>
  <c r="I8" i="8"/>
  <c r="J8" i="8" s="1"/>
  <c r="I227" i="8"/>
  <c r="J227" i="8" s="1"/>
  <c r="I161" i="8"/>
  <c r="J161" i="8" s="1"/>
  <c r="I102" i="8"/>
  <c r="J102" i="8" s="1"/>
  <c r="I66" i="8"/>
  <c r="J66" i="8" s="1"/>
  <c r="I54" i="8"/>
  <c r="J54" i="8" s="1"/>
  <c r="I42" i="8"/>
  <c r="J42" i="8" s="1"/>
  <c r="I231" i="8"/>
  <c r="J231" i="8" s="1"/>
  <c r="I219" i="8"/>
  <c r="J219" i="8" s="1"/>
  <c r="I207" i="8"/>
  <c r="J207" i="8" s="1"/>
  <c r="I230" i="8"/>
  <c r="J230" i="8" s="1"/>
  <c r="I218" i="8"/>
  <c r="J218" i="8" s="1"/>
  <c r="I206" i="8"/>
  <c r="J206" i="8" s="1"/>
  <c r="I179" i="8"/>
  <c r="J179" i="8" s="1"/>
  <c r="I106" i="8"/>
  <c r="J106" i="8" s="1"/>
  <c r="I229" i="8"/>
  <c r="J229" i="8" s="1"/>
  <c r="I236" i="8"/>
  <c r="J236" i="8" s="1"/>
  <c r="I224" i="8"/>
  <c r="J224" i="8" s="1"/>
  <c r="I212" i="8"/>
  <c r="J212" i="8" s="1"/>
  <c r="I235" i="8"/>
  <c r="J235" i="8" s="1"/>
  <c r="I211" i="8"/>
  <c r="J211" i="8" s="1"/>
  <c r="I222" i="8"/>
  <c r="J222" i="8" s="1"/>
  <c r="I233" i="8"/>
  <c r="J233" i="8" s="1"/>
  <c r="I221" i="8"/>
  <c r="J221" i="8" s="1"/>
  <c r="I209" i="8"/>
  <c r="J209" i="8" s="1"/>
  <c r="I223" i="8"/>
  <c r="J223" i="8" s="1"/>
  <c r="I234" i="8"/>
  <c r="J234" i="8" s="1"/>
  <c r="I210" i="8"/>
  <c r="J210" i="8" s="1"/>
  <c r="I232" i="8"/>
  <c r="J232" i="8" s="1"/>
  <c r="I220" i="8"/>
  <c r="J220" i="8" s="1"/>
  <c r="I208" i="8"/>
  <c r="J208" i="8" s="1"/>
  <c r="I114" i="8"/>
  <c r="J114" i="8" s="1"/>
  <c r="I78" i="8"/>
  <c r="J78" i="8" s="1"/>
  <c r="I195" i="8"/>
  <c r="J195" i="8" s="1"/>
  <c r="I123" i="8"/>
  <c r="J123" i="8" s="1"/>
  <c r="I39" i="8"/>
  <c r="J39" i="8" s="1"/>
  <c r="I58" i="8"/>
  <c r="J58" i="8" s="1"/>
  <c r="I154" i="8"/>
  <c r="J154" i="8" s="1"/>
  <c r="I169" i="8"/>
  <c r="J169" i="8" s="1"/>
  <c r="I166" i="8"/>
  <c r="J166" i="8" s="1"/>
  <c r="I49" i="8"/>
  <c r="J49" i="8" s="1"/>
  <c r="I144" i="8"/>
  <c r="J144" i="8" s="1"/>
  <c r="I121" i="8"/>
  <c r="J121" i="8" s="1"/>
  <c r="I84" i="8"/>
  <c r="J84" i="8" s="1"/>
  <c r="I107" i="8"/>
  <c r="J107" i="8" s="1"/>
  <c r="I85" i="8"/>
  <c r="J85" i="8" s="1"/>
  <c r="I38" i="8"/>
  <c r="J38" i="8" s="1"/>
  <c r="I135" i="8"/>
  <c r="J135" i="8" s="1"/>
  <c r="F243" i="8"/>
  <c r="C54" i="9"/>
  <c r="IQ83" i="5"/>
  <c r="C44" i="9"/>
  <c r="IM58" i="5"/>
  <c r="C43" i="9"/>
  <c r="II37" i="5"/>
  <c r="C53" i="9"/>
  <c r="IE21" i="5"/>
  <c r="C52" i="9"/>
  <c r="IA71" i="5"/>
  <c r="C61" i="9"/>
  <c r="HW40" i="5"/>
  <c r="C60" i="9"/>
  <c r="HS37" i="5"/>
  <c r="D108" i="8"/>
  <c r="D135" i="8"/>
  <c r="D29" i="8"/>
  <c r="D142" i="8"/>
  <c r="D160" i="8"/>
  <c r="D69" i="8"/>
  <c r="C59" i="9"/>
  <c r="HO50" i="5"/>
  <c r="C58" i="9"/>
  <c r="HK41" i="5"/>
  <c r="C9" i="9"/>
  <c r="HG57" i="5"/>
  <c r="C24" i="9"/>
  <c r="HC28" i="5"/>
  <c r="GY32" i="5"/>
  <c r="C13" i="9"/>
  <c r="C57" i="9"/>
  <c r="GU80" i="5"/>
  <c r="GE64" i="5"/>
  <c r="GI77" i="5"/>
  <c r="C38" i="9" s="1"/>
  <c r="GM17" i="5"/>
  <c r="GQ41" i="5"/>
  <c r="C23" i="9" s="1"/>
  <c r="C15" i="9"/>
  <c r="C29" i="9"/>
  <c r="C30" i="9"/>
  <c r="C64" i="9"/>
  <c r="GA121" i="5"/>
  <c r="C27" i="9"/>
  <c r="FW71" i="5"/>
  <c r="C33" i="9"/>
  <c r="FS60" i="5"/>
  <c r="FK26" i="5"/>
  <c r="C39" i="9" s="1"/>
  <c r="C51" i="9"/>
  <c r="FO150" i="5"/>
  <c r="B11" i="7"/>
  <c r="C63" i="9"/>
  <c r="FG77" i="5"/>
  <c r="C37" i="9"/>
  <c r="FC115" i="5"/>
  <c r="C17" i="9"/>
  <c r="C21" i="9"/>
  <c r="EY52" i="5"/>
  <c r="EU51" i="5"/>
  <c r="C45" i="9"/>
  <c r="EM92" i="5"/>
  <c r="EQ34" i="5"/>
  <c r="C19" i="9"/>
  <c r="C28" i="9"/>
  <c r="C20" i="9"/>
  <c r="C2" i="9"/>
  <c r="C14" i="9"/>
  <c r="C3" i="9"/>
  <c r="C47" i="9"/>
  <c r="C5" i="9"/>
  <c r="C4" i="9"/>
  <c r="C48" i="9"/>
  <c r="C41" i="9"/>
  <c r="C55" i="9"/>
  <c r="C36" i="9"/>
  <c r="C7" i="9"/>
  <c r="C22" i="9"/>
  <c r="C11" i="9"/>
  <c r="C34" i="9"/>
  <c r="C26" i="9"/>
  <c r="C8" i="9"/>
  <c r="C10" i="9"/>
  <c r="C31" i="9"/>
  <c r="C12" i="9"/>
  <c r="C25" i="9"/>
  <c r="C35" i="9"/>
  <c r="C62" i="9"/>
  <c r="C50" i="9"/>
  <c r="C56" i="9"/>
  <c r="C46" i="9"/>
  <c r="C16" i="9"/>
  <c r="C32" i="9"/>
  <c r="C49" i="9"/>
  <c r="C42" i="9"/>
  <c r="C40" i="9"/>
  <c r="C18" i="9"/>
  <c r="B81" i="8"/>
  <c r="B165" i="8"/>
  <c r="B70" i="8"/>
  <c r="B20" i="8"/>
  <c r="B32" i="8"/>
  <c r="B39" i="8"/>
  <c r="B76" i="8"/>
  <c r="B79" i="8"/>
  <c r="B75" i="8"/>
  <c r="B77" i="8"/>
  <c r="B111" i="8"/>
  <c r="B26" i="8"/>
  <c r="B22" i="8"/>
  <c r="B157" i="8"/>
  <c r="B238" i="8"/>
  <c r="B116" i="8"/>
  <c r="B58" i="8"/>
  <c r="B183" i="8"/>
  <c r="B199" i="8"/>
  <c r="B141" i="8"/>
  <c r="B64" i="8"/>
  <c r="B171" i="8"/>
  <c r="B162" i="8"/>
  <c r="B196" i="8"/>
  <c r="B43" i="8"/>
  <c r="B95" i="8"/>
  <c r="B156" i="8"/>
  <c r="B6" i="8"/>
  <c r="B69" i="8"/>
  <c r="B34" i="8"/>
  <c r="B130" i="8"/>
  <c r="B151" i="8"/>
  <c r="B49" i="8"/>
  <c r="B137" i="8"/>
  <c r="B104" i="8"/>
  <c r="B55" i="8"/>
  <c r="B143" i="8"/>
  <c r="B147" i="8"/>
  <c r="B73" i="8"/>
  <c r="B86" i="8"/>
  <c r="B223" i="8"/>
  <c r="B232" i="8"/>
  <c r="B138" i="8"/>
  <c r="B184" i="8"/>
  <c r="B89" i="8"/>
  <c r="B94" i="8"/>
  <c r="B177" i="8"/>
  <c r="B198" i="8"/>
  <c r="B132" i="8"/>
  <c r="B16" i="8"/>
  <c r="B126" i="8"/>
  <c r="B242" i="8"/>
  <c r="B60" i="8"/>
  <c r="B110" i="8"/>
  <c r="B173" i="8"/>
  <c r="H204" i="2" l="1"/>
  <c r="I204" i="2" s="1"/>
  <c r="H203" i="2"/>
  <c r="I203" i="2" s="1"/>
  <c r="H182" i="2"/>
  <c r="I182" i="2" s="1"/>
  <c r="H178" i="2"/>
  <c r="I178" i="2" s="1"/>
  <c r="H177" i="2"/>
  <c r="I177" i="2" s="1"/>
  <c r="H180" i="2"/>
  <c r="I180" i="2" s="1"/>
  <c r="H181" i="2"/>
  <c r="I181" i="2" s="1"/>
  <c r="H179" i="2"/>
  <c r="I179" i="2" s="1"/>
  <c r="H158" i="2"/>
  <c r="I158" i="2" s="1"/>
  <c r="H159" i="2"/>
  <c r="I159" i="2" s="1"/>
  <c r="H160" i="2"/>
  <c r="I160" i="2" s="1"/>
  <c r="H4" i="2"/>
  <c r="I4" i="2" s="1"/>
  <c r="H6" i="2"/>
  <c r="I6" i="2" s="1"/>
  <c r="H5" i="2"/>
  <c r="I5" i="2" s="1"/>
  <c r="H87" i="2"/>
  <c r="I87" i="2" s="1"/>
  <c r="H23" i="2"/>
  <c r="I23" i="2" s="1"/>
  <c r="H22" i="2"/>
  <c r="I22" i="2" s="1"/>
  <c r="H21" i="2"/>
  <c r="I21" i="2" s="1"/>
  <c r="H24" i="2"/>
  <c r="I24" i="2" s="1"/>
  <c r="H25" i="2"/>
  <c r="I25" i="2" s="1"/>
  <c r="H72" i="2"/>
  <c r="I72" i="2" s="1"/>
  <c r="H74" i="2"/>
  <c r="I74" i="2" s="1"/>
  <c r="H71" i="2"/>
  <c r="I71" i="2" s="1"/>
  <c r="H73" i="2"/>
  <c r="I73" i="2" s="1"/>
  <c r="H70" i="2"/>
  <c r="I70" i="2" s="1"/>
  <c r="H125" i="2"/>
  <c r="I125" i="2" s="1"/>
  <c r="H122" i="2"/>
  <c r="I122" i="2" s="1"/>
  <c r="H124" i="2"/>
  <c r="I124" i="2" s="1"/>
  <c r="H121" i="2"/>
  <c r="I121" i="2" s="1"/>
  <c r="H123" i="2"/>
  <c r="I123" i="2" s="1"/>
  <c r="H85" i="2"/>
  <c r="I85" i="2" s="1"/>
  <c r="H83" i="2"/>
  <c r="I83" i="2" s="1"/>
  <c r="H84" i="2"/>
  <c r="I84" i="2" s="1"/>
  <c r="H82" i="2"/>
  <c r="I82" i="2" s="1"/>
  <c r="H86" i="2"/>
  <c r="I86" i="2" s="1"/>
  <c r="H167" i="2"/>
  <c r="I167" i="2" s="1"/>
  <c r="H165" i="2"/>
  <c r="I165" i="2" s="1"/>
  <c r="H168" i="2"/>
  <c r="I168" i="2" s="1"/>
  <c r="H166" i="2"/>
  <c r="I166" i="2" s="1"/>
  <c r="H169" i="2"/>
  <c r="I169" i="2" s="1"/>
  <c r="H136" i="2"/>
  <c r="I136" i="2" s="1"/>
  <c r="H194" i="2"/>
  <c r="I194" i="2" s="1"/>
  <c r="H43" i="2"/>
  <c r="I43" i="2" s="1"/>
  <c r="H45" i="2"/>
  <c r="I45" i="2" s="1"/>
  <c r="H44" i="2"/>
  <c r="I44" i="2" s="1"/>
  <c r="H134" i="2"/>
  <c r="I134" i="2" s="1"/>
  <c r="H135" i="2"/>
  <c r="I135" i="2" s="1"/>
  <c r="H106" i="2"/>
  <c r="I106" i="2" s="1"/>
  <c r="H118" i="2"/>
  <c r="I118" i="2" s="1"/>
  <c r="H117" i="2"/>
  <c r="I117" i="2" s="1"/>
  <c r="H116" i="2"/>
  <c r="I116" i="2" s="1"/>
  <c r="H7" i="2"/>
  <c r="I7" i="2" s="1"/>
  <c r="H28" i="2"/>
  <c r="I28" i="2" s="1"/>
  <c r="H26" i="2"/>
  <c r="I26" i="2" s="1"/>
  <c r="H27" i="2"/>
  <c r="I27" i="2" s="1"/>
  <c r="H201" i="2"/>
  <c r="I201" i="2" s="1"/>
  <c r="H199" i="2"/>
  <c r="I199" i="2" s="1"/>
  <c r="H197" i="2"/>
  <c r="I197" i="2" s="1"/>
  <c r="H200" i="2"/>
  <c r="I200" i="2" s="1"/>
  <c r="H198" i="2"/>
  <c r="I198" i="2" s="1"/>
  <c r="H202" i="2"/>
  <c r="I202" i="2" s="1"/>
  <c r="H140" i="2"/>
  <c r="I140" i="2" s="1"/>
  <c r="H137" i="2"/>
  <c r="I137" i="2" s="1"/>
  <c r="H139" i="2"/>
  <c r="I139" i="2" s="1"/>
  <c r="H143" i="2"/>
  <c r="I143" i="2" s="1"/>
  <c r="H142" i="2"/>
  <c r="I142" i="2" s="1"/>
  <c r="H138" i="2"/>
  <c r="I138" i="2" s="1"/>
  <c r="H141" i="2"/>
  <c r="I141" i="2" s="1"/>
  <c r="H144" i="2"/>
  <c r="I144" i="2" s="1"/>
  <c r="H75" i="2"/>
  <c r="I75" i="2" s="1"/>
  <c r="H77" i="2"/>
  <c r="I77" i="2" s="1"/>
  <c r="H78" i="2"/>
  <c r="I78" i="2" s="1"/>
  <c r="H76" i="2"/>
  <c r="I76" i="2" s="1"/>
  <c r="H196" i="2"/>
  <c r="I196" i="2" s="1"/>
  <c r="H195" i="2"/>
  <c r="I195" i="2" s="1"/>
  <c r="H188" i="2"/>
  <c r="I188" i="2" s="1"/>
  <c r="H185" i="2"/>
  <c r="I185" i="2" s="1"/>
  <c r="H193" i="2"/>
  <c r="I193" i="2" s="1"/>
  <c r="H190" i="2"/>
  <c r="I190" i="2" s="1"/>
  <c r="H191" i="2"/>
  <c r="I191" i="2" s="1"/>
  <c r="H187" i="2"/>
  <c r="I187" i="2" s="1"/>
  <c r="H184" i="2"/>
  <c r="I184" i="2" s="1"/>
  <c r="H192" i="2"/>
  <c r="I192" i="2" s="1"/>
  <c r="H183" i="2"/>
  <c r="I183" i="2" s="1"/>
  <c r="H186" i="2"/>
  <c r="I186" i="2" s="1"/>
  <c r="H189" i="2"/>
  <c r="I189" i="2" s="1"/>
  <c r="H147" i="2"/>
  <c r="I147" i="2" s="1"/>
  <c r="H145" i="2"/>
  <c r="I145" i="2" s="1"/>
  <c r="H146" i="2"/>
  <c r="I146" i="2" s="1"/>
  <c r="H148" i="2"/>
  <c r="I148" i="2" s="1"/>
  <c r="H164" i="2"/>
  <c r="I164" i="2" s="1"/>
  <c r="H161" i="2"/>
  <c r="I161" i="2" s="1"/>
  <c r="H162" i="2"/>
  <c r="I162" i="2" s="1"/>
  <c r="H163" i="2"/>
  <c r="I163" i="2" s="1"/>
  <c r="H153" i="2"/>
  <c r="I153" i="2" s="1"/>
  <c r="H155" i="2"/>
  <c r="I155" i="2" s="1"/>
  <c r="H152" i="2"/>
  <c r="I152" i="2" s="1"/>
  <c r="H154" i="2"/>
  <c r="I154" i="2" s="1"/>
  <c r="H53" i="2"/>
  <c r="I53" i="2" s="1"/>
  <c r="H49" i="2"/>
  <c r="I49" i="2" s="1"/>
  <c r="H51" i="2"/>
  <c r="I51" i="2" s="1"/>
  <c r="H52" i="2"/>
  <c r="I52" i="2" s="1"/>
  <c r="H50" i="2"/>
  <c r="I50" i="2" s="1"/>
  <c r="H224" i="2"/>
  <c r="I224" i="2" s="1"/>
  <c r="H223" i="2"/>
  <c r="I223" i="2" s="1"/>
  <c r="H17" i="2"/>
  <c r="I17" i="2" s="1"/>
  <c r="H14" i="2"/>
  <c r="I14" i="2" s="1"/>
  <c r="H20" i="2"/>
  <c r="I20" i="2" s="1"/>
  <c r="H16" i="2"/>
  <c r="I16" i="2" s="1"/>
  <c r="H19" i="2"/>
  <c r="I19" i="2" s="1"/>
  <c r="H18" i="2"/>
  <c r="I18" i="2" s="1"/>
  <c r="H15" i="2"/>
  <c r="I15" i="2" s="1"/>
  <c r="H69" i="2"/>
  <c r="I69" i="2" s="1"/>
  <c r="H68" i="2"/>
  <c r="I68" i="2" s="1"/>
  <c r="H88" i="2"/>
  <c r="I88" i="2" s="1"/>
  <c r="H91" i="2"/>
  <c r="I91" i="2" s="1"/>
  <c r="H90" i="2"/>
  <c r="I90" i="2" s="1"/>
  <c r="H92" i="2"/>
  <c r="I92" i="2" s="1"/>
  <c r="H89" i="2"/>
  <c r="I89" i="2" s="1"/>
  <c r="H150" i="2"/>
  <c r="I150" i="2" s="1"/>
  <c r="H149" i="2"/>
  <c r="I149" i="2" s="1"/>
  <c r="H151" i="2"/>
  <c r="I151" i="2" s="1"/>
  <c r="H59" i="2"/>
  <c r="I59" i="2" s="1"/>
  <c r="H56" i="2"/>
  <c r="I56" i="2" s="1"/>
  <c r="H62" i="2"/>
  <c r="I62" i="2" s="1"/>
  <c r="H58" i="2"/>
  <c r="I58" i="2" s="1"/>
  <c r="H55" i="2"/>
  <c r="I55" i="2" s="1"/>
  <c r="H61" i="2"/>
  <c r="I61" i="2" s="1"/>
  <c r="H60" i="2"/>
  <c r="I60" i="2" s="1"/>
  <c r="H57" i="2"/>
  <c r="I57" i="2" s="1"/>
  <c r="H54" i="2"/>
  <c r="I54" i="2" s="1"/>
  <c r="H120" i="2"/>
  <c r="I120" i="2" s="1"/>
  <c r="H119" i="2"/>
  <c r="I119" i="2" s="1"/>
  <c r="H65" i="2"/>
  <c r="I65" i="2" s="1"/>
  <c r="H64" i="2"/>
  <c r="I64" i="2" s="1"/>
  <c r="H63" i="2"/>
  <c r="I63" i="2" s="1"/>
  <c r="H66" i="2"/>
  <c r="I66" i="2" s="1"/>
  <c r="H67" i="2"/>
  <c r="I67" i="2" s="1"/>
  <c r="H109" i="2"/>
  <c r="I109" i="2" s="1"/>
  <c r="H108" i="2"/>
  <c r="I108" i="2" s="1"/>
  <c r="H110" i="2"/>
  <c r="I110" i="2" s="1"/>
  <c r="H107" i="2"/>
  <c r="I107" i="2" s="1"/>
  <c r="H235" i="2"/>
  <c r="I235" i="2" s="1"/>
  <c r="H234" i="2"/>
  <c r="I234" i="2" s="1"/>
  <c r="H237" i="2"/>
  <c r="I237" i="2" s="1"/>
  <c r="H236" i="2"/>
  <c r="I236" i="2" s="1"/>
  <c r="H232" i="2"/>
  <c r="I232" i="2" s="1"/>
  <c r="H229" i="2"/>
  <c r="I229" i="2" s="1"/>
  <c r="H231" i="2"/>
  <c r="I231" i="2" s="1"/>
  <c r="H225" i="2"/>
  <c r="I225" i="2" s="1"/>
  <c r="H228" i="2"/>
  <c r="I228" i="2" s="1"/>
  <c r="H230" i="2"/>
  <c r="I230" i="2" s="1"/>
  <c r="H226" i="2"/>
  <c r="I226" i="2" s="1"/>
  <c r="H227" i="2"/>
  <c r="I227" i="2" s="1"/>
  <c r="H233" i="2"/>
  <c r="I233" i="2" s="1"/>
  <c r="H103" i="2"/>
  <c r="I103" i="2" s="1"/>
  <c r="H105" i="2"/>
  <c r="I105" i="2" s="1"/>
  <c r="H102" i="2"/>
  <c r="I102" i="2" s="1"/>
  <c r="H101" i="2"/>
  <c r="I101" i="2" s="1"/>
  <c r="H104" i="2"/>
  <c r="I104" i="2" s="1"/>
  <c r="H175" i="2"/>
  <c r="I175" i="2" s="1"/>
  <c r="H174" i="2"/>
  <c r="I174" i="2" s="1"/>
  <c r="H173" i="2"/>
  <c r="I173" i="2" s="1"/>
  <c r="H176" i="2"/>
  <c r="I176" i="2" s="1"/>
  <c r="H11" i="2"/>
  <c r="I11" i="2" s="1"/>
  <c r="H13" i="2"/>
  <c r="I13" i="2" s="1"/>
  <c r="H9" i="2"/>
  <c r="I9" i="2" s="1"/>
  <c r="H10" i="2"/>
  <c r="I10" i="2" s="1"/>
  <c r="H12" i="2"/>
  <c r="I12" i="2" s="1"/>
  <c r="H8" i="2"/>
  <c r="I8" i="2" s="1"/>
  <c r="H80" i="2"/>
  <c r="I80" i="2" s="1"/>
  <c r="H81" i="2"/>
  <c r="I81" i="2" s="1"/>
  <c r="H94" i="2"/>
  <c r="I94" i="2" s="1"/>
  <c r="H93" i="2"/>
  <c r="I93" i="2" s="1"/>
  <c r="H33" i="2"/>
  <c r="I33" i="2" s="1"/>
  <c r="H35" i="2"/>
  <c r="I35" i="2" s="1"/>
  <c r="H29" i="2"/>
  <c r="I29" i="2" s="1"/>
  <c r="H32" i="2"/>
  <c r="I32" i="2" s="1"/>
  <c r="H31" i="2"/>
  <c r="I31" i="2" s="1"/>
  <c r="H34" i="2"/>
  <c r="I34" i="2" s="1"/>
  <c r="H30" i="2"/>
  <c r="I30" i="2" s="1"/>
  <c r="H46" i="2"/>
  <c r="I46" i="2" s="1"/>
  <c r="H48" i="2"/>
  <c r="I48" i="2" s="1"/>
  <c r="H47" i="2"/>
  <c r="I47" i="2" s="1"/>
  <c r="H171" i="2"/>
  <c r="I171" i="2" s="1"/>
  <c r="H172" i="2"/>
  <c r="I172" i="2" s="1"/>
  <c r="H170" i="2"/>
  <c r="I170" i="2" s="1"/>
  <c r="H210" i="2"/>
  <c r="I210" i="2" s="1"/>
  <c r="H213" i="2"/>
  <c r="I213" i="2" s="1"/>
  <c r="H212" i="2"/>
  <c r="I212" i="2" s="1"/>
  <c r="H209" i="2"/>
  <c r="I209" i="2" s="1"/>
  <c r="H211" i="2"/>
  <c r="I211" i="2" s="1"/>
  <c r="H214" i="2"/>
  <c r="I214" i="2" s="1"/>
  <c r="H208" i="2"/>
  <c r="I208" i="2" s="1"/>
  <c r="H207" i="2"/>
  <c r="I207" i="2" s="1"/>
  <c r="H206" i="2"/>
  <c r="I206" i="2" s="1"/>
  <c r="H205" i="2"/>
  <c r="I205" i="2" s="1"/>
  <c r="H3" i="2"/>
  <c r="I3" i="2" s="1"/>
  <c r="H2" i="2"/>
  <c r="I2" i="2" s="1"/>
  <c r="H241" i="2"/>
  <c r="I241" i="2" s="1"/>
  <c r="H238" i="2"/>
  <c r="I238" i="2" s="1"/>
  <c r="H240" i="2"/>
  <c r="I240" i="2" s="1"/>
  <c r="H239" i="2"/>
  <c r="I239" i="2" s="1"/>
  <c r="H130" i="2"/>
  <c r="I130" i="2" s="1"/>
  <c r="H100" i="2"/>
  <c r="I100" i="2" s="1"/>
  <c r="H97" i="2"/>
  <c r="I97" i="2" s="1"/>
  <c r="H99" i="2"/>
  <c r="I99" i="2" s="1"/>
  <c r="H96" i="2"/>
  <c r="I96" i="2" s="1"/>
  <c r="H95" i="2"/>
  <c r="I95" i="2" s="1"/>
  <c r="H98" i="2"/>
  <c r="I98" i="2" s="1"/>
  <c r="H133" i="2"/>
  <c r="I133" i="2" s="1"/>
  <c r="H131" i="2"/>
  <c r="I131" i="2" s="1"/>
  <c r="H132" i="2"/>
  <c r="I132" i="2" s="1"/>
  <c r="H128" i="2"/>
  <c r="I128" i="2" s="1"/>
  <c r="H127" i="2"/>
  <c r="I127" i="2" s="1"/>
  <c r="H126" i="2"/>
  <c r="I126" i="2" s="1"/>
  <c r="H129" i="2"/>
  <c r="I129" i="2" s="1"/>
  <c r="H156" i="2"/>
  <c r="I156" i="2" s="1"/>
  <c r="H157" i="2"/>
  <c r="I157" i="2" s="1"/>
  <c r="H79" i="2"/>
  <c r="I79" i="2" s="1"/>
  <c r="H112" i="2"/>
  <c r="I112" i="2" s="1"/>
  <c r="H111" i="2"/>
  <c r="I111" i="2" s="1"/>
  <c r="H114" i="2"/>
  <c r="I114" i="2" s="1"/>
  <c r="H115" i="2"/>
  <c r="I115" i="2" s="1"/>
  <c r="H113" i="2"/>
  <c r="I113" i="2" s="1"/>
  <c r="H222" i="2"/>
  <c r="H221" i="2"/>
  <c r="I221" i="2" s="1"/>
  <c r="H220" i="2"/>
  <c r="I220" i="2" s="1"/>
  <c r="H219" i="2"/>
  <c r="I219" i="2" s="1"/>
  <c r="H216" i="2"/>
  <c r="I216" i="2" s="1"/>
  <c r="H215" i="2"/>
  <c r="I215" i="2" s="1"/>
  <c r="H218" i="2"/>
  <c r="I218" i="2" s="1"/>
  <c r="H217" i="2"/>
  <c r="I217" i="2" s="1"/>
  <c r="C65" i="9"/>
  <c r="B19" i="8"/>
  <c r="B201" i="8"/>
  <c r="B158" i="8"/>
  <c r="B7" i="8"/>
  <c r="D90" i="8"/>
  <c r="K201" i="8"/>
  <c r="K213" i="8"/>
  <c r="K225" i="8"/>
  <c r="K237" i="8"/>
  <c r="K214" i="8"/>
  <c r="K203" i="8"/>
  <c r="K215" i="8"/>
  <c r="K227" i="8"/>
  <c r="K239" i="8"/>
  <c r="K204" i="8"/>
  <c r="K216" i="8"/>
  <c r="K228" i="8"/>
  <c r="K240" i="8"/>
  <c r="K206" i="8"/>
  <c r="K218" i="8"/>
  <c r="K230" i="8"/>
  <c r="K219" i="8"/>
  <c r="K211" i="8"/>
  <c r="K207" i="8"/>
  <c r="K231" i="8"/>
  <c r="K210" i="8"/>
  <c r="K212" i="8"/>
  <c r="K224" i="8"/>
  <c r="K238" i="8"/>
  <c r="K208" i="8"/>
  <c r="K220" i="8"/>
  <c r="K232" i="8"/>
  <c r="K222" i="8"/>
  <c r="K235" i="8"/>
  <c r="K236" i="8"/>
  <c r="K202" i="8"/>
  <c r="K209" i="8"/>
  <c r="K221" i="8"/>
  <c r="K233" i="8"/>
  <c r="K234" i="8"/>
  <c r="K223" i="8"/>
  <c r="K226" i="8"/>
  <c r="K205" i="8"/>
  <c r="K217" i="8"/>
  <c r="K229" i="8"/>
  <c r="K241" i="8"/>
  <c r="K105" i="8"/>
  <c r="K96" i="8"/>
  <c r="K79" i="8"/>
  <c r="K161" i="8"/>
  <c r="K120" i="8"/>
  <c r="K5" i="8"/>
  <c r="K135" i="8"/>
  <c r="K126" i="8"/>
  <c r="K106" i="8"/>
  <c r="K166" i="8"/>
  <c r="K58" i="8"/>
  <c r="K77" i="8"/>
  <c r="K92" i="8"/>
  <c r="K115" i="8"/>
  <c r="K123" i="8"/>
  <c r="K195" i="8"/>
  <c r="K83" i="8"/>
  <c r="K31" i="8"/>
  <c r="K38" i="8"/>
  <c r="K54" i="8"/>
  <c r="K85" i="8"/>
  <c r="K108" i="8"/>
  <c r="K160" i="8"/>
  <c r="K84" i="8"/>
  <c r="K121" i="8"/>
  <c r="K151" i="8"/>
  <c r="K8" i="8"/>
  <c r="K144" i="8"/>
  <c r="K32" i="8"/>
  <c r="K102" i="8"/>
  <c r="K81" i="8"/>
  <c r="K7" i="8"/>
  <c r="K33" i="8"/>
  <c r="K49" i="8"/>
  <c r="K122" i="8"/>
  <c r="K178" i="8"/>
  <c r="K78" i="8"/>
  <c r="K24" i="8"/>
  <c r="K72" i="8"/>
  <c r="K181" i="8"/>
  <c r="K116" i="8"/>
  <c r="K64" i="8"/>
  <c r="K39" i="8"/>
  <c r="K107" i="8"/>
  <c r="K12" i="8"/>
  <c r="K42" i="8"/>
  <c r="K48" i="8"/>
  <c r="K124" i="8"/>
  <c r="K169" i="8"/>
  <c r="K74" i="8"/>
  <c r="K114" i="8"/>
  <c r="K154" i="8"/>
  <c r="K179" i="8"/>
  <c r="K110" i="8"/>
  <c r="K4" i="8"/>
  <c r="K113" i="8"/>
  <c r="K136" i="8"/>
  <c r="K66" i="8"/>
  <c r="K71" i="8"/>
  <c r="D241" i="8"/>
  <c r="D51" i="8"/>
  <c r="A242" i="2"/>
  <c r="D39" i="8" l="1"/>
  <c r="D168" i="8"/>
  <c r="D17" i="8"/>
  <c r="D175" i="8"/>
  <c r="D71" i="8"/>
  <c r="D104" i="8"/>
  <c r="D170" i="8"/>
  <c r="D81" i="8"/>
  <c r="D132" i="8"/>
  <c r="D65" i="8"/>
  <c r="D110" i="8"/>
  <c r="D77" i="8"/>
  <c r="D148" i="8"/>
  <c r="D208" i="8"/>
  <c r="D98" i="8"/>
  <c r="D56" i="8"/>
  <c r="D136" i="8"/>
  <c r="D102" i="8"/>
  <c r="D16" i="8"/>
  <c r="D162" i="8"/>
  <c r="D150" i="8"/>
  <c r="D25" i="8"/>
  <c r="D185" i="8"/>
  <c r="D73" i="8"/>
  <c r="D188" i="8"/>
  <c r="D95" i="8"/>
  <c r="D23" i="8"/>
  <c r="D6" i="8"/>
  <c r="D84" i="8"/>
  <c r="D79" i="8"/>
  <c r="D196" i="8"/>
  <c r="D167" i="8"/>
  <c r="D157" i="8"/>
  <c r="D231" i="8"/>
  <c r="D111" i="8"/>
  <c r="D139" i="8"/>
  <c r="D183" i="8"/>
  <c r="D59" i="8"/>
  <c r="D48" i="8"/>
  <c r="D223" i="8"/>
  <c r="D67" i="8"/>
  <c r="D30" i="8"/>
  <c r="D149" i="8"/>
  <c r="D156" i="8"/>
  <c r="D58" i="8"/>
  <c r="D22" i="8"/>
  <c r="D192" i="8"/>
  <c r="D75" i="8"/>
  <c r="D49" i="8"/>
  <c r="D137" i="8"/>
  <c r="D146" i="8"/>
  <c r="D242" i="8"/>
  <c r="D134" i="8"/>
  <c r="D164" i="8"/>
  <c r="D112" i="8"/>
  <c r="D54" i="8"/>
  <c r="D15" i="8"/>
  <c r="D182" i="8"/>
  <c r="D36" i="8"/>
  <c r="D94" i="8"/>
  <c r="D120" i="8"/>
  <c r="D140" i="8"/>
  <c r="D130" i="8"/>
  <c r="D145" i="8"/>
  <c r="D169" i="8"/>
  <c r="D26" i="8"/>
  <c r="D199" i="8"/>
  <c r="D181" i="8"/>
  <c r="D195" i="8"/>
  <c r="D118" i="8"/>
  <c r="D216" i="8"/>
  <c r="D76" i="8"/>
  <c r="D161" i="8"/>
  <c r="D232" i="8"/>
  <c r="D240" i="8"/>
  <c r="D107" i="8"/>
  <c r="D147" i="8"/>
  <c r="D165" i="8"/>
  <c r="D116" i="8"/>
  <c r="D40" i="8"/>
  <c r="D100" i="8"/>
  <c r="D178" i="8"/>
  <c r="D184" i="8"/>
  <c r="D43" i="8"/>
  <c r="D144" i="8"/>
  <c r="D27" i="8"/>
  <c r="D103" i="8"/>
  <c r="D191" i="8"/>
  <c r="D70" i="8"/>
  <c r="D88" i="8"/>
  <c r="I222" i="2"/>
  <c r="D119" i="8"/>
  <c r="D13" i="8"/>
  <c r="D133" i="8"/>
  <c r="D47" i="8"/>
  <c r="D64" i="8"/>
  <c r="D114" i="8"/>
  <c r="D153" i="8"/>
  <c r="D80" i="8"/>
  <c r="D206" i="8"/>
  <c r="D128" i="8"/>
  <c r="D41" i="8"/>
  <c r="D61" i="8"/>
  <c r="D74" i="8"/>
  <c r="D187" i="8"/>
  <c r="D125" i="8"/>
  <c r="D62" i="8"/>
  <c r="D91" i="8"/>
  <c r="D21" i="8"/>
  <c r="D174" i="8"/>
  <c r="D197" i="8"/>
  <c r="D3" i="8"/>
  <c r="D35" i="8"/>
  <c r="D177" i="8"/>
  <c r="D123" i="8"/>
  <c r="D171" i="8"/>
  <c r="D28" i="8"/>
  <c r="D92" i="8"/>
  <c r="D180" i="8"/>
  <c r="D172" i="8"/>
  <c r="D194" i="8"/>
  <c r="D32" i="8"/>
  <c r="D85" i="8"/>
  <c r="D109" i="8"/>
  <c r="D78" i="8"/>
  <c r="D55" i="8"/>
  <c r="D11" i="8"/>
  <c r="D86" i="8"/>
  <c r="D138" i="8"/>
  <c r="D60" i="8"/>
  <c r="D173" i="8"/>
  <c r="D238" i="8"/>
  <c r="D176" i="8"/>
  <c r="D10" i="8"/>
  <c r="D52" i="8"/>
  <c r="D121" i="8"/>
  <c r="D129" i="8"/>
  <c r="D44" i="8"/>
  <c r="D179" i="8"/>
  <c r="D45" i="8"/>
  <c r="D72" i="8"/>
  <c r="D166" i="8"/>
  <c r="D189" i="8"/>
  <c r="D143" i="8"/>
  <c r="D106" i="8"/>
  <c r="D50" i="8"/>
  <c r="D53" i="8"/>
  <c r="D82" i="8"/>
  <c r="D198" i="8"/>
  <c r="D101" i="8"/>
  <c r="D34" i="8"/>
  <c r="D24" i="8"/>
  <c r="D33" i="8"/>
  <c r="D193" i="8"/>
  <c r="D163" i="8"/>
  <c r="D14" i="8"/>
  <c r="D4" i="8"/>
  <c r="D57" i="8"/>
  <c r="D99" i="8"/>
  <c r="D126" i="8"/>
  <c r="D96" i="8"/>
  <c r="D18" i="8"/>
  <c r="D89" i="8"/>
  <c r="D93" i="8"/>
  <c r="D154" i="8"/>
  <c r="D159" i="8"/>
  <c r="D200" i="8"/>
  <c r="D46" i="8"/>
  <c r="D141" i="8"/>
  <c r="D5" i="8"/>
  <c r="D20" i="8"/>
  <c r="D234" i="8"/>
  <c r="D66" i="8"/>
  <c r="D115" i="8"/>
  <c r="D42" i="8"/>
  <c r="D38" i="8"/>
  <c r="D229" i="8"/>
  <c r="D225" i="8"/>
  <c r="D203" i="8"/>
  <c r="D239" i="8"/>
  <c r="D202" i="8"/>
  <c r="D190" i="8"/>
  <c r="D12" i="8"/>
  <c r="D219" i="8"/>
  <c r="D37" i="8"/>
  <c r="D220" i="8"/>
  <c r="D209" i="8"/>
  <c r="D113" i="8"/>
  <c r="D215" i="8"/>
  <c r="D233" i="8"/>
  <c r="D235" i="8"/>
  <c r="D224" i="8"/>
  <c r="D211" i="8"/>
  <c r="D83" i="8"/>
  <c r="D212" i="8"/>
  <c r="D105" i="8"/>
  <c r="D205" i="8"/>
  <c r="D155" i="8"/>
  <c r="D131" i="8"/>
  <c r="D63" i="8"/>
  <c r="D227" i="8"/>
  <c r="D217" i="8"/>
  <c r="D222" i="8"/>
  <c r="D117" i="8"/>
  <c r="D226" i="8"/>
  <c r="D87" i="8"/>
  <c r="D221" i="8"/>
  <c r="D207" i="8"/>
  <c r="D31" i="8"/>
  <c r="D237" i="8"/>
  <c r="D230" i="8"/>
  <c r="D218" i="8"/>
  <c r="D213" i="8"/>
  <c r="D152" i="8"/>
  <c r="D122" i="8"/>
  <c r="D8" i="8"/>
  <c r="D228" i="8"/>
  <c r="D236" i="8"/>
  <c r="D186" i="8"/>
  <c r="D210" i="8"/>
  <c r="D214" i="8"/>
  <c r="D19" i="8"/>
  <c r="D201" i="8"/>
  <c r="D7" i="8"/>
  <c r="D158" i="8"/>
  <c r="D204" i="8"/>
  <c r="D124" i="8"/>
  <c r="D68" i="8"/>
  <c r="D9" i="8"/>
  <c r="D97" i="8"/>
  <c r="D127" i="8"/>
  <c r="H242" i="2"/>
  <c r="G243" i="8"/>
  <c r="B18" i="7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I2" i="6"/>
  <c r="F2" i="6"/>
  <c r="I6" i="8"/>
  <c r="J6" i="8" s="1"/>
  <c r="I10" i="8"/>
  <c r="J10" i="8" s="1"/>
  <c r="I14" i="8"/>
  <c r="J14" i="8" s="1"/>
  <c r="I17" i="8"/>
  <c r="J17" i="8" s="1"/>
  <c r="I23" i="8"/>
  <c r="J23" i="8" s="1"/>
  <c r="I41" i="8"/>
  <c r="J41" i="8" s="1"/>
  <c r="I53" i="8"/>
  <c r="J53" i="8" s="1"/>
  <c r="I62" i="8"/>
  <c r="J62" i="8" s="1"/>
  <c r="I82" i="8"/>
  <c r="J82" i="8" s="1"/>
  <c r="I56" i="8"/>
  <c r="J56" i="8" s="1"/>
  <c r="I80" i="8"/>
  <c r="J80" i="8" s="1"/>
  <c r="I98" i="8"/>
  <c r="J98" i="8" s="1"/>
  <c r="I104" i="8"/>
  <c r="J104" i="8" s="1"/>
  <c r="I117" i="8"/>
  <c r="J117" i="8" s="1"/>
  <c r="I89" i="8"/>
  <c r="J89" i="8" s="1"/>
  <c r="I93" i="8"/>
  <c r="J93" i="8" s="1"/>
  <c r="I111" i="8"/>
  <c r="J111" i="8" s="1"/>
  <c r="I101" i="8"/>
  <c r="J101" i="8" s="1"/>
  <c r="I125" i="8"/>
  <c r="J125" i="8" s="1"/>
  <c r="I145" i="8"/>
  <c r="J145" i="8" s="1"/>
  <c r="I118" i="8"/>
  <c r="J118" i="8" s="1"/>
  <c r="I148" i="8"/>
  <c r="J148" i="8" s="1"/>
  <c r="I146" i="8"/>
  <c r="J146" i="8" s="1"/>
  <c r="I149" i="8"/>
  <c r="J149" i="8" s="1"/>
  <c r="I153" i="8"/>
  <c r="J153" i="8" s="1"/>
  <c r="I155" i="8"/>
  <c r="J155" i="8" s="1"/>
  <c r="I162" i="8"/>
  <c r="J162" i="8" s="1"/>
  <c r="I193" i="8"/>
  <c r="J193" i="8" s="1"/>
  <c r="I172" i="8"/>
  <c r="J172" i="8" s="1"/>
  <c r="I175" i="8"/>
  <c r="J175" i="8" s="1"/>
  <c r="I176" i="8"/>
  <c r="J176" i="8" s="1"/>
  <c r="I187" i="8"/>
  <c r="J187" i="8" s="1"/>
  <c r="I185" i="8"/>
  <c r="J185" i="8" s="1"/>
  <c r="I191" i="8"/>
  <c r="J191" i="8" s="1"/>
  <c r="I198" i="8"/>
  <c r="J198" i="8" s="1"/>
  <c r="I140" i="8"/>
  <c r="J140" i="8" s="1"/>
  <c r="I13" i="8"/>
  <c r="J13" i="8" s="1"/>
  <c r="I11" i="8"/>
  <c r="J11" i="8" s="1"/>
  <c r="I22" i="8"/>
  <c r="J22" i="8" s="1"/>
  <c r="I25" i="8"/>
  <c r="J25" i="8" s="1"/>
  <c r="I27" i="8"/>
  <c r="J27" i="8" s="1"/>
  <c r="I18" i="8"/>
  <c r="J18" i="8" s="1"/>
  <c r="I34" i="8"/>
  <c r="J34" i="8" s="1"/>
  <c r="I44" i="8"/>
  <c r="J44" i="8" s="1"/>
  <c r="I36" i="8"/>
  <c r="J36" i="8" s="1"/>
  <c r="I46" i="8"/>
  <c r="J46" i="8" s="1"/>
  <c r="I40" i="8"/>
  <c r="J40" i="8" s="1"/>
  <c r="I51" i="8"/>
  <c r="J51" i="8" s="1"/>
  <c r="I60" i="8"/>
  <c r="J60" i="8" s="1"/>
  <c r="I47" i="8"/>
  <c r="J47" i="8" s="1"/>
  <c r="I65" i="8"/>
  <c r="J65" i="8" s="1"/>
  <c r="I67" i="8"/>
  <c r="J67" i="8" s="1"/>
  <c r="I68" i="8"/>
  <c r="J68" i="8" s="1"/>
  <c r="I87" i="8"/>
  <c r="J87" i="8" s="1"/>
  <c r="I70" i="8"/>
  <c r="J70" i="8" s="1"/>
  <c r="I109" i="8"/>
  <c r="J109" i="8" s="1"/>
  <c r="I112" i="8"/>
  <c r="J112" i="8" s="1"/>
  <c r="I100" i="8"/>
  <c r="J100" i="8" s="1"/>
  <c r="I88" i="8"/>
  <c r="J88" i="8" s="1"/>
  <c r="I128" i="8"/>
  <c r="J128" i="8" s="1"/>
  <c r="I95" i="8"/>
  <c r="J95" i="8" s="1"/>
  <c r="I99" i="8"/>
  <c r="J99" i="8" s="1"/>
  <c r="I131" i="8"/>
  <c r="J131" i="8" s="1"/>
  <c r="I94" i="8"/>
  <c r="J94" i="8" s="1"/>
  <c r="I134" i="8"/>
  <c r="J134" i="8" s="1"/>
  <c r="I147" i="8"/>
  <c r="J147" i="8" s="1"/>
  <c r="I133" i="8"/>
  <c r="J133" i="8" s="1"/>
  <c r="I142" i="8"/>
  <c r="J142" i="8" s="1"/>
  <c r="I119" i="8"/>
  <c r="J119" i="8" s="1"/>
  <c r="I152" i="8"/>
  <c r="J152" i="8" s="1"/>
  <c r="I167" i="8"/>
  <c r="J167" i="8" s="1"/>
  <c r="I171" i="8"/>
  <c r="J171" i="8" s="1"/>
  <c r="I186" i="8"/>
  <c r="J186" i="8" s="1"/>
  <c r="I16" i="8"/>
  <c r="J16" i="8" s="1"/>
  <c r="I197" i="8"/>
  <c r="J197" i="8" s="1"/>
  <c r="I57" i="8"/>
  <c r="J57" i="8" s="1"/>
  <c r="I158" i="8"/>
  <c r="J158" i="8" s="1"/>
  <c r="I173" i="8"/>
  <c r="J173" i="8" s="1"/>
  <c r="I75" i="8"/>
  <c r="J75" i="8" s="1"/>
  <c r="I192" i="8"/>
  <c r="J192" i="8" s="1"/>
  <c r="I45" i="8"/>
  <c r="J45" i="8" s="1"/>
  <c r="I182" i="8"/>
  <c r="J182" i="8" s="1"/>
  <c r="I183" i="8"/>
  <c r="J183" i="8" s="1"/>
  <c r="I132" i="8"/>
  <c r="J132" i="8" s="1"/>
  <c r="I55" i="8"/>
  <c r="J55" i="8" s="1"/>
  <c r="I30" i="8"/>
  <c r="J30" i="8" s="1"/>
  <c r="I138" i="8"/>
  <c r="J138" i="8" s="1"/>
  <c r="I26" i="8"/>
  <c r="J26" i="8" s="1"/>
  <c r="I52" i="8"/>
  <c r="J52" i="8" s="1"/>
  <c r="I157" i="8"/>
  <c r="J157" i="8" s="1"/>
  <c r="I180" i="8"/>
  <c r="J180" i="8" s="1"/>
  <c r="I199" i="8"/>
  <c r="J199" i="8" s="1"/>
  <c r="I189" i="8"/>
  <c r="J189" i="8" s="1"/>
  <c r="I43" i="8"/>
  <c r="J43" i="8" s="1"/>
  <c r="I164" i="8"/>
  <c r="J164" i="8" s="1"/>
  <c r="I20" i="8"/>
  <c r="J20" i="8" s="1"/>
  <c r="I90" i="8"/>
  <c r="J90" i="8" s="1"/>
  <c r="I9" i="8"/>
  <c r="J9" i="8" s="1"/>
  <c r="I35" i="8"/>
  <c r="J35" i="8" s="1"/>
  <c r="I97" i="8"/>
  <c r="J97" i="8" s="1"/>
  <c r="I50" i="8"/>
  <c r="J50" i="8" s="1"/>
  <c r="I29" i="8"/>
  <c r="J29" i="8" s="1"/>
  <c r="I69" i="8"/>
  <c r="J69" i="8" s="1"/>
  <c r="I127" i="8"/>
  <c r="J127" i="8" s="1"/>
  <c r="I19" i="8"/>
  <c r="J19" i="8" s="1"/>
  <c r="I21" i="8"/>
  <c r="J21" i="8" s="1"/>
  <c r="I28" i="8"/>
  <c r="J28" i="8" s="1"/>
  <c r="I73" i="8"/>
  <c r="J73" i="8" s="1"/>
  <c r="I76" i="8"/>
  <c r="J76" i="8" s="1"/>
  <c r="I103" i="8"/>
  <c r="J103" i="8" s="1"/>
  <c r="I130" i="8"/>
  <c r="J130" i="8" s="1"/>
  <c r="I61" i="8"/>
  <c r="J61" i="8" s="1"/>
  <c r="I168" i="8"/>
  <c r="J168" i="8" s="1"/>
  <c r="I163" i="8"/>
  <c r="J163" i="8" s="1"/>
  <c r="I137" i="8"/>
  <c r="J137" i="8" s="1"/>
  <c r="I129" i="8"/>
  <c r="J129" i="8" s="1"/>
  <c r="I174" i="8"/>
  <c r="J174" i="8" s="1"/>
  <c r="I165" i="8"/>
  <c r="J165" i="8" s="1"/>
  <c r="I190" i="8"/>
  <c r="J190" i="8" s="1"/>
  <c r="I184" i="8"/>
  <c r="J184" i="8" s="1"/>
  <c r="I159" i="8"/>
  <c r="J159" i="8" s="1"/>
  <c r="I196" i="8"/>
  <c r="J196" i="8" s="1"/>
  <c r="I200" i="8"/>
  <c r="J200" i="8" s="1"/>
  <c r="I170" i="8"/>
  <c r="J170" i="8" s="1"/>
  <c r="I150" i="8"/>
  <c r="J150" i="8" s="1"/>
  <c r="I141" i="8"/>
  <c r="J141" i="8" s="1"/>
  <c r="I194" i="8"/>
  <c r="J194" i="8" s="1"/>
  <c r="I91" i="8"/>
  <c r="J91" i="8" s="1"/>
  <c r="I59" i="8"/>
  <c r="J59" i="8" s="1"/>
  <c r="I37" i="8"/>
  <c r="J37" i="8" s="1"/>
  <c r="I188" i="8"/>
  <c r="J188" i="8" s="1"/>
  <c r="I86" i="8"/>
  <c r="J86" i="8" s="1"/>
  <c r="I15" i="8"/>
  <c r="J15" i="8" s="1"/>
  <c r="I139" i="8"/>
  <c r="J139" i="8" s="1"/>
  <c r="I63" i="8"/>
  <c r="J63" i="8" s="1"/>
  <c r="I156" i="8"/>
  <c r="J156" i="8" s="1"/>
  <c r="I143" i="8"/>
  <c r="J143" i="8" s="1"/>
  <c r="I177" i="8"/>
  <c r="J177" i="8" s="1"/>
  <c r="B26" i="7"/>
  <c r="B17" i="7"/>
  <c r="B9" i="7"/>
  <c r="F35" i="6"/>
  <c r="I35" i="6"/>
  <c r="J35" i="6"/>
  <c r="L35" i="6"/>
  <c r="EI71" i="5"/>
  <c r="EI70" i="5"/>
  <c r="EE79" i="5"/>
  <c r="F7" i="6"/>
  <c r="I7" i="6"/>
  <c r="J7" i="6"/>
  <c r="L7" i="6"/>
  <c r="F3" i="6"/>
  <c r="I3" i="6"/>
  <c r="J3" i="6"/>
  <c r="L3" i="6"/>
  <c r="EA61" i="5"/>
  <c r="L2" i="6"/>
  <c r="L4" i="6"/>
  <c r="L5" i="6"/>
  <c r="L6" i="6"/>
  <c r="L8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9" i="6"/>
  <c r="L10" i="6"/>
  <c r="F10" i="6"/>
  <c r="I10" i="6"/>
  <c r="J10" i="6"/>
  <c r="F9" i="6"/>
  <c r="I9" i="6"/>
  <c r="J9" i="6"/>
  <c r="DS145" i="5"/>
  <c r="DS97" i="5"/>
  <c r="F6" i="6"/>
  <c r="I6" i="6"/>
  <c r="J6" i="6"/>
  <c r="DO118" i="5"/>
  <c r="DO97" i="5"/>
  <c r="DK130" i="5"/>
  <c r="DG63" i="5"/>
  <c r="J5" i="6"/>
  <c r="J34" i="6"/>
  <c r="F5" i="6"/>
  <c r="F34" i="6"/>
  <c r="G36" i="6" l="1"/>
  <c r="K35" i="6"/>
  <c r="B20" i="7"/>
  <c r="B29" i="7" s="1"/>
  <c r="B28" i="7"/>
  <c r="K7" i="6"/>
  <c r="K3" i="6"/>
  <c r="K10" i="6"/>
  <c r="K9" i="6"/>
  <c r="K34" i="6"/>
  <c r="K6" i="6"/>
  <c r="K5" i="6"/>
  <c r="L36" i="6"/>
  <c r="J2" i="6"/>
  <c r="K89" i="8" l="1"/>
  <c r="K176" i="8"/>
  <c r="K36" i="8"/>
  <c r="K95" i="8"/>
  <c r="K158" i="8"/>
  <c r="K189" i="8"/>
  <c r="K76" i="8"/>
  <c r="K150" i="8"/>
  <c r="K104" i="8"/>
  <c r="K93" i="8"/>
  <c r="K187" i="8"/>
  <c r="K46" i="8"/>
  <c r="K99" i="8"/>
  <c r="K173" i="8"/>
  <c r="K43" i="8"/>
  <c r="K103" i="8"/>
  <c r="K141" i="8"/>
  <c r="K197" i="8"/>
  <c r="K6" i="8"/>
  <c r="K111" i="8"/>
  <c r="K185" i="8"/>
  <c r="K40" i="8"/>
  <c r="K131" i="8"/>
  <c r="K75" i="8"/>
  <c r="K164" i="8"/>
  <c r="K130" i="8"/>
  <c r="K194" i="8"/>
  <c r="K180" i="8"/>
  <c r="K10" i="8"/>
  <c r="K101" i="8"/>
  <c r="K191" i="8"/>
  <c r="K51" i="8"/>
  <c r="K94" i="8"/>
  <c r="K192" i="8"/>
  <c r="K20" i="8"/>
  <c r="K61" i="8"/>
  <c r="K91" i="8"/>
  <c r="K177" i="8"/>
  <c r="K14" i="8"/>
  <c r="K125" i="8"/>
  <c r="K198" i="8"/>
  <c r="K60" i="8"/>
  <c r="K134" i="8"/>
  <c r="K45" i="8"/>
  <c r="K90" i="8"/>
  <c r="K168" i="8"/>
  <c r="K59" i="8"/>
  <c r="K28" i="8"/>
  <c r="K17" i="8"/>
  <c r="K145" i="8"/>
  <c r="K242" i="8"/>
  <c r="K47" i="8"/>
  <c r="K147" i="8"/>
  <c r="K182" i="8"/>
  <c r="K9" i="8"/>
  <c r="K163" i="8"/>
  <c r="K37" i="8"/>
  <c r="K34" i="8"/>
  <c r="K23" i="8"/>
  <c r="K118" i="8"/>
  <c r="K3" i="8"/>
  <c r="K65" i="8"/>
  <c r="K133" i="8"/>
  <c r="K183" i="8"/>
  <c r="K35" i="8"/>
  <c r="K137" i="8"/>
  <c r="K188" i="8"/>
  <c r="K172" i="8"/>
  <c r="K41" i="8"/>
  <c r="K148" i="8"/>
  <c r="K140" i="8"/>
  <c r="K67" i="8"/>
  <c r="K142" i="8"/>
  <c r="K132" i="8"/>
  <c r="K97" i="8"/>
  <c r="K129" i="8"/>
  <c r="K86" i="8"/>
  <c r="K21" i="8"/>
  <c r="K88" i="8"/>
  <c r="K53" i="8"/>
  <c r="K146" i="8"/>
  <c r="K13" i="8"/>
  <c r="K68" i="8"/>
  <c r="K119" i="8"/>
  <c r="K55" i="8"/>
  <c r="K50" i="8"/>
  <c r="K174" i="8"/>
  <c r="K15" i="8"/>
  <c r="K18" i="8"/>
  <c r="K200" i="8"/>
  <c r="K62" i="8"/>
  <c r="K149" i="8"/>
  <c r="K11" i="8"/>
  <c r="K87" i="8"/>
  <c r="K152" i="8"/>
  <c r="K30" i="8"/>
  <c r="K29" i="8"/>
  <c r="K165" i="8"/>
  <c r="K139" i="8"/>
  <c r="K196" i="8"/>
  <c r="K82" i="8"/>
  <c r="K153" i="8"/>
  <c r="K22" i="8"/>
  <c r="K70" i="8"/>
  <c r="K167" i="8"/>
  <c r="K138" i="8"/>
  <c r="K69" i="8"/>
  <c r="K190" i="8"/>
  <c r="K63" i="8"/>
  <c r="K157" i="8"/>
  <c r="K56" i="8"/>
  <c r="K155" i="8"/>
  <c r="K25" i="8"/>
  <c r="K109" i="8"/>
  <c r="K171" i="8"/>
  <c r="K26" i="8"/>
  <c r="K127" i="8"/>
  <c r="K184" i="8"/>
  <c r="K156" i="8"/>
  <c r="K193" i="8"/>
  <c r="K80" i="8"/>
  <c r="K162" i="8"/>
  <c r="K27" i="8"/>
  <c r="K112" i="8"/>
  <c r="K186" i="8"/>
  <c r="K52" i="8"/>
  <c r="K19" i="8"/>
  <c r="K159" i="8"/>
  <c r="K143" i="8"/>
  <c r="K100" i="8"/>
  <c r="K98" i="8"/>
  <c r="K16" i="8"/>
  <c r="K117" i="8"/>
  <c r="K175" i="8"/>
  <c r="K44" i="8"/>
  <c r="K128" i="8"/>
  <c r="K57" i="8"/>
  <c r="K199" i="8"/>
  <c r="K73" i="8"/>
  <c r="K170" i="8"/>
  <c r="B21" i="7"/>
  <c r="B30" i="7"/>
  <c r="L206" i="8" l="1"/>
  <c r="M206" i="8" s="1"/>
  <c r="O206" i="8" s="1"/>
  <c r="P206" i="8" s="1"/>
  <c r="Q206" i="8" s="1"/>
  <c r="L217" i="8"/>
  <c r="M217" i="8" s="1"/>
  <c r="O217" i="8" s="1"/>
  <c r="P217" i="8" s="1"/>
  <c r="Q217" i="8" s="1"/>
  <c r="L209" i="8"/>
  <c r="M209" i="8" s="1"/>
  <c r="O209" i="8" s="1"/>
  <c r="P209" i="8" s="1"/>
  <c r="Q209" i="8" s="1"/>
  <c r="L215" i="8"/>
  <c r="M215" i="8" s="1"/>
  <c r="O215" i="8" s="1"/>
  <c r="P215" i="8" s="1"/>
  <c r="Q215" i="8" s="1"/>
  <c r="L212" i="8"/>
  <c r="M212" i="8" s="1"/>
  <c r="O212" i="8" s="1"/>
  <c r="P212" i="8" s="1"/>
  <c r="Q212" i="8" s="1"/>
  <c r="L219" i="8"/>
  <c r="M219" i="8" s="1"/>
  <c r="O219" i="8" s="1"/>
  <c r="P219" i="8" s="1"/>
  <c r="Q219" i="8" s="1"/>
  <c r="L213" i="8"/>
  <c r="M213" i="8" s="1"/>
  <c r="O213" i="8" s="1"/>
  <c r="P213" i="8" s="1"/>
  <c r="Q213" i="8" s="1"/>
  <c r="L211" i="8"/>
  <c r="M211" i="8" s="1"/>
  <c r="O211" i="8" s="1"/>
  <c r="P211" i="8" s="1"/>
  <c r="Q211" i="8" s="1"/>
  <c r="L227" i="8"/>
  <c r="M227" i="8" s="1"/>
  <c r="O227" i="8" s="1"/>
  <c r="P227" i="8" s="1"/>
  <c r="Q227" i="8" s="1"/>
  <c r="L224" i="8"/>
  <c r="M224" i="8" s="1"/>
  <c r="O224" i="8" s="1"/>
  <c r="P224" i="8" s="1"/>
  <c r="Q224" i="8" s="1"/>
  <c r="L228" i="8"/>
  <c r="M228" i="8" s="1"/>
  <c r="O228" i="8" s="1"/>
  <c r="P228" i="8" s="1"/>
  <c r="Q228" i="8" s="1"/>
  <c r="L235" i="8"/>
  <c r="M235" i="8" s="1"/>
  <c r="O235" i="8" s="1"/>
  <c r="P235" i="8" s="1"/>
  <c r="Q235" i="8" s="1"/>
  <c r="L230" i="8"/>
  <c r="M230" i="8" s="1"/>
  <c r="O230" i="8" s="1"/>
  <c r="P230" i="8" s="1"/>
  <c r="Q230" i="8" s="1"/>
  <c r="L218" i="8"/>
  <c r="M218" i="8" s="1"/>
  <c r="O218" i="8" s="1"/>
  <c r="P218" i="8" s="1"/>
  <c r="Q218" i="8" s="1"/>
  <c r="L237" i="8"/>
  <c r="M237" i="8" s="1"/>
  <c r="O237" i="8" s="1"/>
  <c r="P237" i="8" s="1"/>
  <c r="Q237" i="8" s="1"/>
  <c r="L233" i="8"/>
  <c r="M233" i="8" s="1"/>
  <c r="O233" i="8" s="1"/>
  <c r="P233" i="8" s="1"/>
  <c r="Q233" i="8" s="1"/>
  <c r="L225" i="8"/>
  <c r="M225" i="8" s="1"/>
  <c r="O225" i="8" s="1"/>
  <c r="P225" i="8" s="1"/>
  <c r="Q225" i="8" s="1"/>
  <c r="L203" i="8"/>
  <c r="M203" i="8" s="1"/>
  <c r="O203" i="8" s="1"/>
  <c r="P203" i="8" s="1"/>
  <c r="Q203" i="8" s="1"/>
  <c r="L207" i="8"/>
  <c r="M207" i="8" s="1"/>
  <c r="O207" i="8" s="1"/>
  <c r="P207" i="8" s="1"/>
  <c r="Q207" i="8" s="1"/>
  <c r="L202" i="8"/>
  <c r="M202" i="8" s="1"/>
  <c r="O202" i="8" s="1"/>
  <c r="P202" i="8" s="1"/>
  <c r="Q202" i="8" s="1"/>
  <c r="L222" i="8"/>
  <c r="M222" i="8" s="1"/>
  <c r="O222" i="8" s="1"/>
  <c r="P222" i="8" s="1"/>
  <c r="Q222" i="8" s="1"/>
  <c r="L220" i="8"/>
  <c r="M220" i="8" s="1"/>
  <c r="O220" i="8" s="1"/>
  <c r="P220" i="8" s="1"/>
  <c r="Q220" i="8" s="1"/>
  <c r="L236" i="8"/>
  <c r="M236" i="8" s="1"/>
  <c r="O236" i="8" s="1"/>
  <c r="P236" i="8" s="1"/>
  <c r="Q236" i="8" s="1"/>
  <c r="L239" i="8"/>
  <c r="M239" i="8" s="1"/>
  <c r="O239" i="8" s="1"/>
  <c r="P239" i="8" s="1"/>
  <c r="Q239" i="8" s="1"/>
  <c r="L205" i="8"/>
  <c r="M205" i="8" s="1"/>
  <c r="O205" i="8" s="1"/>
  <c r="P205" i="8" s="1"/>
  <c r="Q205" i="8" s="1"/>
  <c r="L214" i="8"/>
  <c r="M214" i="8" s="1"/>
  <c r="O214" i="8" s="1"/>
  <c r="P214" i="8" s="1"/>
  <c r="Q214" i="8" s="1"/>
  <c r="L226" i="8"/>
  <c r="M226" i="8" s="1"/>
  <c r="O226" i="8" s="1"/>
  <c r="P226" i="8" s="1"/>
  <c r="Q226" i="8" s="1"/>
  <c r="L210" i="8"/>
  <c r="M210" i="8" s="1"/>
  <c r="O210" i="8" s="1"/>
  <c r="P210" i="8" s="1"/>
  <c r="Q210" i="8" s="1"/>
  <c r="L216" i="8"/>
  <c r="M216" i="8" s="1"/>
  <c r="O216" i="8" s="1"/>
  <c r="P216" i="8" s="1"/>
  <c r="Q216" i="8" s="1"/>
  <c r="L240" i="8"/>
  <c r="M240" i="8" s="1"/>
  <c r="O240" i="8" s="1"/>
  <c r="P240" i="8" s="1"/>
  <c r="Q240" i="8" s="1"/>
  <c r="L234" i="8"/>
  <c r="M234" i="8" s="1"/>
  <c r="O234" i="8" s="1"/>
  <c r="P234" i="8" s="1"/>
  <c r="Q234" i="8" s="1"/>
  <c r="L208" i="8"/>
  <c r="M208" i="8" s="1"/>
  <c r="O208" i="8" s="1"/>
  <c r="P208" i="8" s="1"/>
  <c r="Q208" i="8" s="1"/>
  <c r="L231" i="8"/>
  <c r="M231" i="8" s="1"/>
  <c r="O231" i="8" s="1"/>
  <c r="P231" i="8" s="1"/>
  <c r="Q231" i="8" s="1"/>
  <c r="L241" i="8"/>
  <c r="M241" i="8" s="1"/>
  <c r="O241" i="8" s="1"/>
  <c r="P241" i="8" s="1"/>
  <c r="Q241" i="8" s="1"/>
  <c r="L238" i="8"/>
  <c r="M238" i="8" s="1"/>
  <c r="O238" i="8" s="1"/>
  <c r="P238" i="8" s="1"/>
  <c r="Q238" i="8" s="1"/>
  <c r="L223" i="8"/>
  <c r="M223" i="8" s="1"/>
  <c r="O223" i="8" s="1"/>
  <c r="P223" i="8" s="1"/>
  <c r="Q223" i="8" s="1"/>
  <c r="L201" i="8"/>
  <c r="M201" i="8" s="1"/>
  <c r="O201" i="8" s="1"/>
  <c r="P201" i="8" s="1"/>
  <c r="Q201" i="8" s="1"/>
  <c r="L221" i="8"/>
  <c r="M221" i="8" s="1"/>
  <c r="O221" i="8" s="1"/>
  <c r="P221" i="8" s="1"/>
  <c r="Q221" i="8" s="1"/>
  <c r="L204" i="8"/>
  <c r="M204" i="8" s="1"/>
  <c r="O204" i="8" s="1"/>
  <c r="P204" i="8" s="1"/>
  <c r="Q204" i="8" s="1"/>
  <c r="L229" i="8"/>
  <c r="M229" i="8" s="1"/>
  <c r="O229" i="8" s="1"/>
  <c r="P229" i="8" s="1"/>
  <c r="Q229" i="8" s="1"/>
  <c r="L232" i="8"/>
  <c r="M232" i="8" s="1"/>
  <c r="O232" i="8" s="1"/>
  <c r="P232" i="8" s="1"/>
  <c r="Q232" i="8" s="1"/>
  <c r="I242" i="2"/>
  <c r="L123" i="8"/>
  <c r="M123" i="8" s="1"/>
  <c r="O123" i="8" s="1"/>
  <c r="P123" i="8" s="1"/>
  <c r="Q123" i="8" s="1"/>
  <c r="L195" i="8"/>
  <c r="M195" i="8" s="1"/>
  <c r="O195" i="8" s="1"/>
  <c r="P195" i="8" s="1"/>
  <c r="Q195" i="8" s="1"/>
  <c r="R37" i="9" s="1"/>
  <c r="L108" i="8"/>
  <c r="M108" i="8" s="1"/>
  <c r="O108" i="8" s="1"/>
  <c r="P108" i="8" s="1"/>
  <c r="Q108" i="8" s="1"/>
  <c r="L144" i="8"/>
  <c r="M144" i="8" s="1"/>
  <c r="O144" i="8" s="1"/>
  <c r="P144" i="8" s="1"/>
  <c r="Q144" i="8" s="1"/>
  <c r="L54" i="8"/>
  <c r="M54" i="8" s="1"/>
  <c r="O54" i="8" s="1"/>
  <c r="P54" i="8" s="1"/>
  <c r="Q54" i="8" s="1"/>
  <c r="L85" i="8"/>
  <c r="M85" i="8" s="1"/>
  <c r="O85" i="8" s="1"/>
  <c r="P85" i="8" s="1"/>
  <c r="Q85" i="8" s="1"/>
  <c r="L8" i="8"/>
  <c r="M8" i="8" s="1"/>
  <c r="L33" i="8"/>
  <c r="M33" i="8" s="1"/>
  <c r="O33" i="8" s="1"/>
  <c r="P33" i="8" s="1"/>
  <c r="Q33" i="8" s="1"/>
  <c r="L38" i="8"/>
  <c r="M38" i="8" s="1"/>
  <c r="O38" i="8" s="1"/>
  <c r="P38" i="8" s="1"/>
  <c r="Q38" i="8" s="1"/>
  <c r="L121" i="8"/>
  <c r="M121" i="8" s="1"/>
  <c r="O121" i="8" s="1"/>
  <c r="P121" i="8" s="1"/>
  <c r="Q121" i="8" s="1"/>
  <c r="L151" i="8"/>
  <c r="M151" i="8" s="1"/>
  <c r="O151" i="8" s="1"/>
  <c r="P151" i="8" s="1"/>
  <c r="Q151" i="8" s="1"/>
  <c r="L7" i="8"/>
  <c r="M7" i="8" s="1"/>
  <c r="O7" i="8" s="1"/>
  <c r="P7" i="8" s="1"/>
  <c r="Q7" i="8" s="1"/>
  <c r="L12" i="8"/>
  <c r="M12" i="8" s="1"/>
  <c r="O12" i="8" s="1"/>
  <c r="P12" i="8" s="1"/>
  <c r="Q12" i="8" s="1"/>
  <c r="L84" i="8"/>
  <c r="M84" i="8" s="1"/>
  <c r="O84" i="8" s="1"/>
  <c r="P84" i="8" s="1"/>
  <c r="Q84" i="8" s="1"/>
  <c r="L102" i="8"/>
  <c r="M102" i="8" s="1"/>
  <c r="O102" i="8" s="1"/>
  <c r="P102" i="8" s="1"/>
  <c r="Q102" i="8" s="1"/>
  <c r="L39" i="8"/>
  <c r="M39" i="8" s="1"/>
  <c r="O39" i="8" s="1"/>
  <c r="P39" i="8" s="1"/>
  <c r="Q39" i="8" s="1"/>
  <c r="L107" i="8"/>
  <c r="M107" i="8" s="1"/>
  <c r="O107" i="8" s="1"/>
  <c r="P107" i="8" s="1"/>
  <c r="Q107" i="8" s="1"/>
  <c r="L122" i="8"/>
  <c r="M122" i="8" s="1"/>
  <c r="O122" i="8" s="1"/>
  <c r="P122" i="8" s="1"/>
  <c r="Q122" i="8" s="1"/>
  <c r="R14" i="9" s="1"/>
  <c r="L32" i="8"/>
  <c r="M32" i="8" s="1"/>
  <c r="O32" i="8" s="1"/>
  <c r="P32" i="8" s="1"/>
  <c r="Q32" i="8" s="1"/>
  <c r="L64" i="8"/>
  <c r="M64" i="8" s="1"/>
  <c r="O64" i="8" s="1"/>
  <c r="P64" i="8" s="1"/>
  <c r="Q64" i="8" s="1"/>
  <c r="L48" i="8"/>
  <c r="M48" i="8" s="1"/>
  <c r="O48" i="8" s="1"/>
  <c r="P48" i="8" s="1"/>
  <c r="Q48" i="8" s="1"/>
  <c r="L72" i="8"/>
  <c r="M72" i="8" s="1"/>
  <c r="O72" i="8" s="1"/>
  <c r="P72" i="8" s="1"/>
  <c r="Q72" i="8" s="1"/>
  <c r="L24" i="8"/>
  <c r="M24" i="8" s="1"/>
  <c r="O24" i="8" s="1"/>
  <c r="P24" i="8" s="1"/>
  <c r="Q24" i="8" s="1"/>
  <c r="L116" i="8"/>
  <c r="M116" i="8" s="1"/>
  <c r="O116" i="8" s="1"/>
  <c r="P116" i="8" s="1"/>
  <c r="Q116" i="8" s="1"/>
  <c r="L49" i="8"/>
  <c r="M49" i="8" s="1"/>
  <c r="O49" i="8" s="1"/>
  <c r="P49" i="8" s="1"/>
  <c r="Q49" i="8" s="1"/>
  <c r="L78" i="8"/>
  <c r="M78" i="8" s="1"/>
  <c r="O78" i="8" s="1"/>
  <c r="P78" i="8" s="1"/>
  <c r="Q78" i="8" s="1"/>
  <c r="L181" i="8"/>
  <c r="M181" i="8" s="1"/>
  <c r="O181" i="8" s="1"/>
  <c r="P181" i="8" s="1"/>
  <c r="Q181" i="8" s="1"/>
  <c r="L74" i="8"/>
  <c r="M74" i="8" s="1"/>
  <c r="O74" i="8" s="1"/>
  <c r="P74" i="8" s="1"/>
  <c r="Q74" i="8" s="1"/>
  <c r="K39" i="9" s="1"/>
  <c r="L42" i="8"/>
  <c r="M42" i="8" s="1"/>
  <c r="O42" i="8" s="1"/>
  <c r="P42" i="8" s="1"/>
  <c r="Q42" i="8" s="1"/>
  <c r="L124" i="8"/>
  <c r="M124" i="8" s="1"/>
  <c r="O124" i="8" s="1"/>
  <c r="P124" i="8" s="1"/>
  <c r="Q124" i="8" s="1"/>
  <c r="L179" i="8"/>
  <c r="M179" i="8" s="1"/>
  <c r="O179" i="8" s="1"/>
  <c r="P179" i="8" s="1"/>
  <c r="Q179" i="8" s="1"/>
  <c r="L66" i="8"/>
  <c r="M66" i="8" s="1"/>
  <c r="O66" i="8" s="1"/>
  <c r="P66" i="8" s="1"/>
  <c r="Q66" i="8" s="1"/>
  <c r="L71" i="8"/>
  <c r="M71" i="8" s="1"/>
  <c r="O71" i="8" s="1"/>
  <c r="P71" i="8" s="1"/>
  <c r="Q71" i="8" s="1"/>
  <c r="L106" i="8"/>
  <c r="M106" i="8" s="1"/>
  <c r="O106" i="8" s="1"/>
  <c r="P106" i="8" s="1"/>
  <c r="Q106" i="8" s="1"/>
  <c r="K38" i="9" s="1"/>
  <c r="L154" i="8"/>
  <c r="M154" i="8" s="1"/>
  <c r="O154" i="8" s="1"/>
  <c r="P154" i="8" s="1"/>
  <c r="Q154" i="8" s="1"/>
  <c r="L96" i="8"/>
  <c r="M96" i="8" s="1"/>
  <c r="O96" i="8" s="1"/>
  <c r="P96" i="8" s="1"/>
  <c r="Q96" i="8" s="1"/>
  <c r="L126" i="8"/>
  <c r="M126" i="8" s="1"/>
  <c r="O126" i="8" s="1"/>
  <c r="P126" i="8" s="1"/>
  <c r="Q126" i="8" s="1"/>
  <c r="L115" i="8"/>
  <c r="M115" i="8" s="1"/>
  <c r="O115" i="8" s="1"/>
  <c r="P115" i="8" s="1"/>
  <c r="Q115" i="8" s="1"/>
  <c r="L113" i="8"/>
  <c r="M113" i="8" s="1"/>
  <c r="O113" i="8" s="1"/>
  <c r="P113" i="8" s="1"/>
  <c r="Q113" i="8" s="1"/>
  <c r="L79" i="8"/>
  <c r="M79" i="8" s="1"/>
  <c r="O79" i="8" s="1"/>
  <c r="P79" i="8" s="1"/>
  <c r="Q79" i="8" s="1"/>
  <c r="L178" i="8"/>
  <c r="M178" i="8" s="1"/>
  <c r="O178" i="8" s="1"/>
  <c r="P178" i="8" s="1"/>
  <c r="Q178" i="8" s="1"/>
  <c r="L169" i="8"/>
  <c r="M169" i="8" s="1"/>
  <c r="O169" i="8" s="1"/>
  <c r="P169" i="8" s="1"/>
  <c r="Q169" i="8" s="1"/>
  <c r="L110" i="8"/>
  <c r="M110" i="8" s="1"/>
  <c r="O110" i="8" s="1"/>
  <c r="P110" i="8" s="1"/>
  <c r="Q110" i="8" s="1"/>
  <c r="L161" i="8"/>
  <c r="M161" i="8" s="1"/>
  <c r="O161" i="8" s="1"/>
  <c r="P161" i="8" s="1"/>
  <c r="Q161" i="8" s="1"/>
  <c r="L120" i="8"/>
  <c r="M120" i="8" s="1"/>
  <c r="O120" i="8" s="1"/>
  <c r="P120" i="8" s="1"/>
  <c r="Q120" i="8" s="1"/>
  <c r="L114" i="8"/>
  <c r="M114" i="8" s="1"/>
  <c r="O114" i="8" s="1"/>
  <c r="P114" i="8" s="1"/>
  <c r="Q114" i="8" s="1"/>
  <c r="L166" i="8"/>
  <c r="M166" i="8" s="1"/>
  <c r="O166" i="8" s="1"/>
  <c r="P166" i="8" s="1"/>
  <c r="Q166" i="8" s="1"/>
  <c r="L105" i="8"/>
  <c r="M105" i="8" s="1"/>
  <c r="O105" i="8" s="1"/>
  <c r="P105" i="8" s="1"/>
  <c r="Q105" i="8" s="1"/>
  <c r="L5" i="8"/>
  <c r="M5" i="8" s="1"/>
  <c r="L83" i="8"/>
  <c r="M83" i="8" s="1"/>
  <c r="O83" i="8" s="1"/>
  <c r="P83" i="8" s="1"/>
  <c r="Q83" i="8" s="1"/>
  <c r="L160" i="8"/>
  <c r="M160" i="8" s="1"/>
  <c r="O160" i="8" s="1"/>
  <c r="P160" i="8" s="1"/>
  <c r="Q160" i="8" s="1"/>
  <c r="L135" i="8"/>
  <c r="M135" i="8" s="1"/>
  <c r="O135" i="8" s="1"/>
  <c r="P135" i="8" s="1"/>
  <c r="Q135" i="8" s="1"/>
  <c r="L77" i="8"/>
  <c r="M77" i="8" s="1"/>
  <c r="O77" i="8" s="1"/>
  <c r="P77" i="8" s="1"/>
  <c r="Q77" i="8" s="1"/>
  <c r="L92" i="8"/>
  <c r="M92" i="8" s="1"/>
  <c r="O92" i="8" s="1"/>
  <c r="P92" i="8" s="1"/>
  <c r="Q92" i="8" s="1"/>
  <c r="L31" i="8"/>
  <c r="M31" i="8" s="1"/>
  <c r="O31" i="8" s="1"/>
  <c r="P31" i="8" s="1"/>
  <c r="Q31" i="8" s="1"/>
  <c r="L81" i="8"/>
  <c r="M81" i="8" s="1"/>
  <c r="O81" i="8" s="1"/>
  <c r="P81" i="8" s="1"/>
  <c r="Q81" i="8" s="1"/>
  <c r="L4" i="8"/>
  <c r="M4" i="8" s="1"/>
  <c r="L136" i="8"/>
  <c r="M136" i="8" s="1"/>
  <c r="O136" i="8" s="1"/>
  <c r="P136" i="8" s="1"/>
  <c r="Q136" i="8" s="1"/>
  <c r="R27" i="9" s="1"/>
  <c r="L58" i="8"/>
  <c r="M58" i="8" s="1"/>
  <c r="O58" i="8" s="1"/>
  <c r="P58" i="8" s="1"/>
  <c r="Q58" i="8" s="1"/>
  <c r="L89" i="8"/>
  <c r="M89" i="8" s="1"/>
  <c r="L176" i="8"/>
  <c r="M176" i="8" s="1"/>
  <c r="L36" i="8"/>
  <c r="M36" i="8" s="1"/>
  <c r="L95" i="8"/>
  <c r="M95" i="8" s="1"/>
  <c r="L158" i="8"/>
  <c r="M158" i="8" s="1"/>
  <c r="L189" i="8"/>
  <c r="M189" i="8" s="1"/>
  <c r="L76" i="8"/>
  <c r="M76" i="8" s="1"/>
  <c r="L150" i="8"/>
  <c r="M150" i="8" s="1"/>
  <c r="L28" i="8"/>
  <c r="M28" i="8" s="1"/>
  <c r="L93" i="8"/>
  <c r="M93" i="8" s="1"/>
  <c r="L187" i="8"/>
  <c r="M187" i="8" s="1"/>
  <c r="L46" i="8"/>
  <c r="M46" i="8" s="1"/>
  <c r="L99" i="8"/>
  <c r="M99" i="8" s="1"/>
  <c r="L173" i="8"/>
  <c r="M173" i="8" s="1"/>
  <c r="L43" i="8"/>
  <c r="M43" i="8" s="1"/>
  <c r="L103" i="8"/>
  <c r="M103" i="8" s="1"/>
  <c r="L141" i="8"/>
  <c r="M141" i="8" s="1"/>
  <c r="L157" i="8"/>
  <c r="M157" i="8" s="1"/>
  <c r="L200" i="8"/>
  <c r="M200" i="8" s="1"/>
  <c r="L170" i="8"/>
  <c r="M170" i="8" s="1"/>
  <c r="L6" i="8"/>
  <c r="M6" i="8" s="1"/>
  <c r="L111" i="8"/>
  <c r="M111" i="8" s="1"/>
  <c r="L185" i="8"/>
  <c r="M185" i="8" s="1"/>
  <c r="L40" i="8"/>
  <c r="M40" i="8" s="1"/>
  <c r="L131" i="8"/>
  <c r="M131" i="8" s="1"/>
  <c r="L75" i="8"/>
  <c r="M75" i="8" s="1"/>
  <c r="L164" i="8"/>
  <c r="M164" i="8" s="1"/>
  <c r="L130" i="8"/>
  <c r="M130" i="8" s="1"/>
  <c r="L194" i="8"/>
  <c r="M194" i="8" s="1"/>
  <c r="L52" i="8"/>
  <c r="M52" i="8" s="1"/>
  <c r="L177" i="8"/>
  <c r="M177" i="8" s="1"/>
  <c r="L73" i="8"/>
  <c r="M73" i="8" s="1"/>
  <c r="L10" i="8"/>
  <c r="M10" i="8" s="1"/>
  <c r="L101" i="8"/>
  <c r="M101" i="8" s="1"/>
  <c r="L191" i="8"/>
  <c r="M191" i="8" s="1"/>
  <c r="L51" i="8"/>
  <c r="M51" i="8" s="1"/>
  <c r="L94" i="8"/>
  <c r="M94" i="8" s="1"/>
  <c r="L192" i="8"/>
  <c r="M192" i="8" s="1"/>
  <c r="L20" i="8"/>
  <c r="M20" i="8" s="1"/>
  <c r="L61" i="8"/>
  <c r="M61" i="8" s="1"/>
  <c r="L91" i="8"/>
  <c r="M91" i="8" s="1"/>
  <c r="L190" i="8"/>
  <c r="M190" i="8" s="1"/>
  <c r="L19" i="8"/>
  <c r="M19" i="8" s="1"/>
  <c r="L100" i="8"/>
  <c r="M100" i="8" s="1"/>
  <c r="L34" i="8"/>
  <c r="M34" i="8" s="1"/>
  <c r="L117" i="8"/>
  <c r="M117" i="8" s="1"/>
  <c r="L14" i="8"/>
  <c r="M14" i="8" s="1"/>
  <c r="L125" i="8"/>
  <c r="M125" i="8" s="1"/>
  <c r="L198" i="8"/>
  <c r="M198" i="8" s="1"/>
  <c r="L60" i="8"/>
  <c r="M60" i="8" s="1"/>
  <c r="L134" i="8"/>
  <c r="M134" i="8" s="1"/>
  <c r="L45" i="8"/>
  <c r="M45" i="8" s="1"/>
  <c r="L90" i="8"/>
  <c r="M90" i="8" s="1"/>
  <c r="L168" i="8"/>
  <c r="M168" i="8" s="1"/>
  <c r="L59" i="8"/>
  <c r="M59" i="8" s="1"/>
  <c r="L186" i="8"/>
  <c r="M186" i="8" s="1"/>
  <c r="L18" i="8"/>
  <c r="M18" i="8" s="1"/>
  <c r="L104" i="8"/>
  <c r="M104" i="8" s="1"/>
  <c r="L175" i="8"/>
  <c r="M175" i="8" s="1"/>
  <c r="L17" i="8"/>
  <c r="M17" i="8" s="1"/>
  <c r="L145" i="8"/>
  <c r="M145" i="8" s="1"/>
  <c r="L242" i="8"/>
  <c r="M242" i="8" s="1"/>
  <c r="L47" i="8"/>
  <c r="M47" i="8" s="1"/>
  <c r="L147" i="8"/>
  <c r="M147" i="8" s="1"/>
  <c r="L182" i="8"/>
  <c r="M182" i="8" s="1"/>
  <c r="L9" i="8"/>
  <c r="M9" i="8" s="1"/>
  <c r="L163" i="8"/>
  <c r="M163" i="8" s="1"/>
  <c r="L37" i="8"/>
  <c r="M37" i="8" s="1"/>
  <c r="L98" i="8"/>
  <c r="M98" i="8" s="1"/>
  <c r="L172" i="8"/>
  <c r="M172" i="8" s="1"/>
  <c r="L128" i="8"/>
  <c r="M128" i="8" s="1"/>
  <c r="L23" i="8"/>
  <c r="M23" i="8" s="1"/>
  <c r="L118" i="8"/>
  <c r="M118" i="8" s="1"/>
  <c r="L3" i="8"/>
  <c r="M3" i="8" s="1"/>
  <c r="L65" i="8"/>
  <c r="M65" i="8" s="1"/>
  <c r="L133" i="8"/>
  <c r="M133" i="8" s="1"/>
  <c r="L183" i="8"/>
  <c r="M183" i="8" s="1"/>
  <c r="L35" i="8"/>
  <c r="M35" i="8" s="1"/>
  <c r="L137" i="8"/>
  <c r="M137" i="8" s="1"/>
  <c r="L188" i="8"/>
  <c r="M188" i="8" s="1"/>
  <c r="L69" i="8"/>
  <c r="M69" i="8" s="1"/>
  <c r="L143" i="8"/>
  <c r="M143" i="8" s="1"/>
  <c r="L196" i="8"/>
  <c r="M196" i="8" s="1"/>
  <c r="L180" i="8"/>
  <c r="M180" i="8" s="1"/>
  <c r="L57" i="8"/>
  <c r="M57" i="8" s="1"/>
  <c r="L41" i="8"/>
  <c r="M41" i="8" s="1"/>
  <c r="O41" i="8" s="1"/>
  <c r="L148" i="8"/>
  <c r="M148" i="8" s="1"/>
  <c r="L140" i="8"/>
  <c r="M140" i="8" s="1"/>
  <c r="L67" i="8"/>
  <c r="M67" i="8" s="1"/>
  <c r="L142" i="8"/>
  <c r="M142" i="8" s="1"/>
  <c r="L132" i="8"/>
  <c r="M132" i="8" s="1"/>
  <c r="L97" i="8"/>
  <c r="M97" i="8" s="1"/>
  <c r="L129" i="8"/>
  <c r="M129" i="8" s="1"/>
  <c r="L86" i="8"/>
  <c r="M86" i="8" s="1"/>
  <c r="L63" i="8"/>
  <c r="M63" i="8" s="1"/>
  <c r="L16" i="8"/>
  <c r="M16" i="8" s="1"/>
  <c r="L197" i="8"/>
  <c r="M197" i="8" s="1"/>
  <c r="L44" i="8"/>
  <c r="M44" i="8" s="1"/>
  <c r="L53" i="8"/>
  <c r="M53" i="8" s="1"/>
  <c r="L146" i="8"/>
  <c r="M146" i="8" s="1"/>
  <c r="L13" i="8"/>
  <c r="M13" i="8" s="1"/>
  <c r="L68" i="8"/>
  <c r="M68" i="8" s="1"/>
  <c r="L119" i="8"/>
  <c r="M119" i="8" s="1"/>
  <c r="L55" i="8"/>
  <c r="M55" i="8" s="1"/>
  <c r="L50" i="8"/>
  <c r="M50" i="8" s="1"/>
  <c r="L174" i="8"/>
  <c r="M174" i="8" s="1"/>
  <c r="L15" i="8"/>
  <c r="M15" i="8" s="1"/>
  <c r="L138" i="8"/>
  <c r="M138" i="8" s="1"/>
  <c r="L21" i="8"/>
  <c r="M21" i="8" s="1"/>
  <c r="L62" i="8"/>
  <c r="M62" i="8" s="1"/>
  <c r="L149" i="8"/>
  <c r="M149" i="8" s="1"/>
  <c r="L11" i="8"/>
  <c r="M11" i="8" s="1"/>
  <c r="L87" i="8"/>
  <c r="M87" i="8" s="1"/>
  <c r="L152" i="8"/>
  <c r="M152" i="8" s="1"/>
  <c r="L30" i="8"/>
  <c r="M30" i="8" s="1"/>
  <c r="L29" i="8"/>
  <c r="M29" i="8" s="1"/>
  <c r="L165" i="8"/>
  <c r="M165" i="8" s="1"/>
  <c r="L139" i="8"/>
  <c r="M139" i="8" s="1"/>
  <c r="L167" i="8"/>
  <c r="M167" i="8" s="1"/>
  <c r="L82" i="8"/>
  <c r="M82" i="8" s="1"/>
  <c r="L153" i="8"/>
  <c r="M153" i="8" s="1"/>
  <c r="L22" i="8"/>
  <c r="M22" i="8" s="1"/>
  <c r="L70" i="8"/>
  <c r="M70" i="8" s="1"/>
  <c r="L56" i="8"/>
  <c r="M56" i="8" s="1"/>
  <c r="L155" i="8"/>
  <c r="M155" i="8" s="1"/>
  <c r="L25" i="8"/>
  <c r="M25" i="8" s="1"/>
  <c r="L109" i="8"/>
  <c r="M109" i="8" s="1"/>
  <c r="L171" i="8"/>
  <c r="M171" i="8" s="1"/>
  <c r="L26" i="8"/>
  <c r="M26" i="8" s="1"/>
  <c r="L127" i="8"/>
  <c r="M127" i="8" s="1"/>
  <c r="L184" i="8"/>
  <c r="M184" i="8" s="1"/>
  <c r="L156" i="8"/>
  <c r="M156" i="8" s="1"/>
  <c r="L80" i="8"/>
  <c r="M80" i="8" s="1"/>
  <c r="L162" i="8"/>
  <c r="M162" i="8" s="1"/>
  <c r="L27" i="8"/>
  <c r="M27" i="8" s="1"/>
  <c r="L112" i="8"/>
  <c r="M112" i="8" s="1"/>
  <c r="L159" i="8"/>
  <c r="M159" i="8" s="1"/>
  <c r="L193" i="8"/>
  <c r="M193" i="8" s="1"/>
  <c r="L88" i="8"/>
  <c r="M88" i="8" s="1"/>
  <c r="L199" i="8"/>
  <c r="M199" i="8" s="1"/>
  <c r="I34" i="6"/>
  <c r="DC47" i="5"/>
  <c r="J33" i="6"/>
  <c r="I33" i="6"/>
  <c r="F33" i="6"/>
  <c r="K33" i="6" s="1"/>
  <c r="J32" i="6"/>
  <c r="I32" i="6"/>
  <c r="F32" i="6"/>
  <c r="K32" i="6" s="1"/>
  <c r="J31" i="6"/>
  <c r="I31" i="6"/>
  <c r="F31" i="6"/>
  <c r="K31" i="6" s="1"/>
  <c r="J30" i="6"/>
  <c r="I30" i="6"/>
  <c r="F30" i="6"/>
  <c r="K30" i="6" s="1"/>
  <c r="J29" i="6"/>
  <c r="I29" i="6"/>
  <c r="F29" i="6"/>
  <c r="K29" i="6" s="1"/>
  <c r="K2" i="6"/>
  <c r="J14" i="6"/>
  <c r="I14" i="6"/>
  <c r="F14" i="6"/>
  <c r="K14" i="6" s="1"/>
  <c r="J28" i="6"/>
  <c r="I28" i="6"/>
  <c r="F28" i="6"/>
  <c r="K28" i="6" s="1"/>
  <c r="J13" i="6"/>
  <c r="I13" i="6"/>
  <c r="F13" i="6"/>
  <c r="K13" i="6" s="1"/>
  <c r="J23" i="6"/>
  <c r="I23" i="6"/>
  <c r="F23" i="6"/>
  <c r="K23" i="6" s="1"/>
  <c r="J15" i="6"/>
  <c r="J16" i="6"/>
  <c r="J17" i="6"/>
  <c r="J18" i="6"/>
  <c r="J4" i="6"/>
  <c r="J24" i="6"/>
  <c r="J19" i="6"/>
  <c r="J25" i="6"/>
  <c r="J8" i="6"/>
  <c r="J11" i="6"/>
  <c r="J26" i="6"/>
  <c r="J12" i="6"/>
  <c r="J20" i="6"/>
  <c r="J21" i="6"/>
  <c r="J27" i="6"/>
  <c r="J22" i="6"/>
  <c r="I15" i="6"/>
  <c r="I16" i="6"/>
  <c r="I5" i="6"/>
  <c r="I17" i="6"/>
  <c r="I18" i="6"/>
  <c r="I4" i="6"/>
  <c r="I24" i="6"/>
  <c r="I19" i="6"/>
  <c r="I25" i="6"/>
  <c r="I8" i="6"/>
  <c r="I11" i="6"/>
  <c r="I26" i="6"/>
  <c r="I12" i="6"/>
  <c r="I20" i="6"/>
  <c r="I21" i="6"/>
  <c r="I27" i="6"/>
  <c r="I22" i="6"/>
  <c r="F15" i="6"/>
  <c r="K15" i="6" s="1"/>
  <c r="F16" i="6"/>
  <c r="K16" i="6" s="1"/>
  <c r="F17" i="6"/>
  <c r="K17" i="6" s="1"/>
  <c r="F18" i="6"/>
  <c r="K18" i="6" s="1"/>
  <c r="F4" i="6"/>
  <c r="K4" i="6" s="1"/>
  <c r="F24" i="6"/>
  <c r="K24" i="6" s="1"/>
  <c r="F19" i="6"/>
  <c r="K19" i="6" s="1"/>
  <c r="F25" i="6"/>
  <c r="K25" i="6" s="1"/>
  <c r="F8" i="6"/>
  <c r="K8" i="6" s="1"/>
  <c r="F11" i="6"/>
  <c r="K11" i="6" s="1"/>
  <c r="F26" i="6"/>
  <c r="K26" i="6" s="1"/>
  <c r="F12" i="6"/>
  <c r="K12" i="6" s="1"/>
  <c r="F20" i="6"/>
  <c r="K20" i="6" s="1"/>
  <c r="F21" i="6"/>
  <c r="K21" i="6" s="1"/>
  <c r="F27" i="6"/>
  <c r="K27" i="6" s="1"/>
  <c r="F22" i="6"/>
  <c r="K22" i="6" s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L242" i="2"/>
  <c r="M243" i="8" l="1"/>
  <c r="R31" i="9"/>
  <c r="K17" i="9"/>
  <c r="O5" i="8"/>
  <c r="P5" i="8" s="1"/>
  <c r="Q5" i="8" s="1"/>
  <c r="O8" i="8"/>
  <c r="P8" i="8" s="1"/>
  <c r="Q8" i="8" s="1"/>
  <c r="O4" i="8"/>
  <c r="P4" i="8" s="1"/>
  <c r="Q4" i="8" s="1"/>
  <c r="O171" i="8"/>
  <c r="P171" i="8" s="1"/>
  <c r="Q171" i="8" s="1"/>
  <c r="O11" i="8"/>
  <c r="P11" i="8" s="1"/>
  <c r="Q11" i="8" s="1"/>
  <c r="O16" i="8"/>
  <c r="P16" i="8" s="1"/>
  <c r="Q16" i="8" s="1"/>
  <c r="O188" i="8"/>
  <c r="P188" i="8" s="1"/>
  <c r="Q188" i="8" s="1"/>
  <c r="O147" i="8"/>
  <c r="P147" i="8" s="1"/>
  <c r="Q147" i="8" s="1"/>
  <c r="O125" i="8"/>
  <c r="P125" i="8" s="1"/>
  <c r="Q125" i="8" s="1"/>
  <c r="O73" i="8"/>
  <c r="P73" i="8" s="1"/>
  <c r="Q73" i="8" s="1"/>
  <c r="O103" i="8"/>
  <c r="P103" i="8" s="1"/>
  <c r="Q103" i="8" s="1"/>
  <c r="O109" i="8"/>
  <c r="P109" i="8" s="1"/>
  <c r="Q109" i="8" s="1"/>
  <c r="O149" i="8"/>
  <c r="P149" i="8" s="1"/>
  <c r="Q149" i="8" s="1"/>
  <c r="O63" i="8"/>
  <c r="P63" i="8" s="1"/>
  <c r="Q63" i="8" s="1"/>
  <c r="O137" i="8"/>
  <c r="P137" i="8" s="1"/>
  <c r="Q137" i="8" s="1"/>
  <c r="O47" i="8"/>
  <c r="P47" i="8" s="1"/>
  <c r="Q47" i="8" s="1"/>
  <c r="O14" i="8"/>
  <c r="P14" i="8" s="1"/>
  <c r="Q14" i="8" s="1"/>
  <c r="O177" i="8"/>
  <c r="P177" i="8" s="1"/>
  <c r="Q177" i="8" s="1"/>
  <c r="O43" i="8"/>
  <c r="P43" i="8" s="1"/>
  <c r="Q43" i="8" s="1"/>
  <c r="O25" i="8"/>
  <c r="P25" i="8" s="1"/>
  <c r="Q25" i="8" s="1"/>
  <c r="O62" i="8"/>
  <c r="P62" i="8" s="1"/>
  <c r="Q62" i="8" s="1"/>
  <c r="R40" i="9" s="1"/>
  <c r="O86" i="8"/>
  <c r="P86" i="8" s="1"/>
  <c r="Q86" i="8" s="1"/>
  <c r="O35" i="8"/>
  <c r="P35" i="8" s="1"/>
  <c r="Q35" i="8" s="1"/>
  <c r="O242" i="8"/>
  <c r="P242" i="8" s="1"/>
  <c r="Q242" i="8" s="1"/>
  <c r="O117" i="8"/>
  <c r="P117" i="8" s="1"/>
  <c r="Q117" i="8" s="1"/>
  <c r="O52" i="8"/>
  <c r="P52" i="8" s="1"/>
  <c r="Q52" i="8" s="1"/>
  <c r="O173" i="8"/>
  <c r="P173" i="8" s="1"/>
  <c r="Q173" i="8" s="1"/>
  <c r="O155" i="8"/>
  <c r="P155" i="8" s="1"/>
  <c r="Q155" i="8" s="1"/>
  <c r="O21" i="8"/>
  <c r="P21" i="8" s="1"/>
  <c r="Q21" i="8" s="1"/>
  <c r="O129" i="8"/>
  <c r="P129" i="8" s="1"/>
  <c r="Q129" i="8" s="1"/>
  <c r="O183" i="8"/>
  <c r="P183" i="8" s="1"/>
  <c r="Q183" i="8" s="1"/>
  <c r="O145" i="8"/>
  <c r="P145" i="8" s="1"/>
  <c r="Q145" i="8" s="1"/>
  <c r="O34" i="8"/>
  <c r="P34" i="8" s="1"/>
  <c r="Q34" i="8" s="1"/>
  <c r="O194" i="8"/>
  <c r="P194" i="8" s="1"/>
  <c r="Q194" i="8" s="1"/>
  <c r="O99" i="8"/>
  <c r="P99" i="8" s="1"/>
  <c r="Q99" i="8" s="1"/>
  <c r="O199" i="8"/>
  <c r="P199" i="8" s="1"/>
  <c r="Q199" i="8" s="1"/>
  <c r="O56" i="8"/>
  <c r="P56" i="8" s="1"/>
  <c r="Q56" i="8" s="1"/>
  <c r="O138" i="8"/>
  <c r="P138" i="8" s="1"/>
  <c r="Q138" i="8" s="1"/>
  <c r="O97" i="8"/>
  <c r="P97" i="8" s="1"/>
  <c r="Q97" i="8" s="1"/>
  <c r="O133" i="8"/>
  <c r="P133" i="8" s="1"/>
  <c r="Q133" i="8" s="1"/>
  <c r="K40" i="9" s="1"/>
  <c r="O17" i="8"/>
  <c r="P17" i="8" s="1"/>
  <c r="Q17" i="8" s="1"/>
  <c r="O100" i="8"/>
  <c r="P100" i="8" s="1"/>
  <c r="Q100" i="8" s="1"/>
  <c r="O130" i="8"/>
  <c r="P130" i="8" s="1"/>
  <c r="Q130" i="8" s="1"/>
  <c r="O46" i="8"/>
  <c r="P46" i="8" s="1"/>
  <c r="Q46" i="8" s="1"/>
  <c r="O88" i="8"/>
  <c r="P88" i="8" s="1"/>
  <c r="Q88" i="8" s="1"/>
  <c r="O70" i="8"/>
  <c r="P70" i="8" s="1"/>
  <c r="Q70" i="8" s="1"/>
  <c r="O15" i="8"/>
  <c r="P15" i="8" s="1"/>
  <c r="Q15" i="8" s="1"/>
  <c r="R34" i="9" s="1"/>
  <c r="O132" i="8"/>
  <c r="P132" i="8" s="1"/>
  <c r="Q132" i="8" s="1"/>
  <c r="O65" i="8"/>
  <c r="P65" i="8" s="1"/>
  <c r="Q65" i="8" s="1"/>
  <c r="O175" i="8"/>
  <c r="P175" i="8" s="1"/>
  <c r="Q175" i="8" s="1"/>
  <c r="O19" i="8"/>
  <c r="P19" i="8" s="1"/>
  <c r="Q19" i="8" s="1"/>
  <c r="O164" i="8"/>
  <c r="P164" i="8" s="1"/>
  <c r="Q164" i="8" s="1"/>
  <c r="O187" i="8"/>
  <c r="P187" i="8" s="1"/>
  <c r="Q187" i="8" s="1"/>
  <c r="R39" i="9" s="1"/>
  <c r="O193" i="8"/>
  <c r="P193" i="8" s="1"/>
  <c r="Q193" i="8" s="1"/>
  <c r="O22" i="8"/>
  <c r="P22" i="8" s="1"/>
  <c r="Q22" i="8" s="1"/>
  <c r="O174" i="8"/>
  <c r="P174" i="8" s="1"/>
  <c r="Q174" i="8" s="1"/>
  <c r="O142" i="8"/>
  <c r="P142" i="8" s="1"/>
  <c r="Q142" i="8" s="1"/>
  <c r="O3" i="8"/>
  <c r="P3" i="8" s="1"/>
  <c r="Q3" i="8" s="1"/>
  <c r="O104" i="8"/>
  <c r="P104" i="8" s="1"/>
  <c r="Q104" i="8" s="1"/>
  <c r="O190" i="8"/>
  <c r="P190" i="8" s="1"/>
  <c r="Q190" i="8" s="1"/>
  <c r="O75" i="8"/>
  <c r="P75" i="8" s="1"/>
  <c r="Q75" i="8" s="1"/>
  <c r="O93" i="8"/>
  <c r="P93" i="8" s="1"/>
  <c r="Q93" i="8" s="1"/>
  <c r="O159" i="8"/>
  <c r="P159" i="8" s="1"/>
  <c r="Q159" i="8" s="1"/>
  <c r="O153" i="8"/>
  <c r="P153" i="8" s="1"/>
  <c r="Q153" i="8" s="1"/>
  <c r="O50" i="8"/>
  <c r="P50" i="8" s="1"/>
  <c r="Q50" i="8" s="1"/>
  <c r="O67" i="8"/>
  <c r="P67" i="8" s="1"/>
  <c r="Q67" i="8" s="1"/>
  <c r="O118" i="8"/>
  <c r="P118" i="8" s="1"/>
  <c r="Q118" i="8" s="1"/>
  <c r="O18" i="8"/>
  <c r="P18" i="8" s="1"/>
  <c r="Q18" i="8" s="1"/>
  <c r="O91" i="8"/>
  <c r="P91" i="8" s="1"/>
  <c r="Q91" i="8" s="1"/>
  <c r="O131" i="8"/>
  <c r="P131" i="8" s="1"/>
  <c r="Q131" i="8" s="1"/>
  <c r="O28" i="8"/>
  <c r="P28" i="8" s="1"/>
  <c r="Q28" i="8" s="1"/>
  <c r="O112" i="8"/>
  <c r="P112" i="8" s="1"/>
  <c r="Q112" i="8" s="1"/>
  <c r="K15" i="9" s="1"/>
  <c r="O82" i="8"/>
  <c r="P82" i="8" s="1"/>
  <c r="Q82" i="8" s="1"/>
  <c r="O55" i="8"/>
  <c r="P55" i="8" s="1"/>
  <c r="Q55" i="8" s="1"/>
  <c r="O140" i="8"/>
  <c r="P140" i="8" s="1"/>
  <c r="Q140" i="8" s="1"/>
  <c r="O23" i="8"/>
  <c r="P23" i="8" s="1"/>
  <c r="Q23" i="8" s="1"/>
  <c r="O186" i="8"/>
  <c r="P186" i="8" s="1"/>
  <c r="Q186" i="8" s="1"/>
  <c r="O61" i="8"/>
  <c r="P61" i="8" s="1"/>
  <c r="Q61" i="8" s="1"/>
  <c r="O40" i="8"/>
  <c r="P40" i="8" s="1"/>
  <c r="Q40" i="8" s="1"/>
  <c r="O150" i="8"/>
  <c r="P150" i="8" s="1"/>
  <c r="Q150" i="8" s="1"/>
  <c r="O27" i="8"/>
  <c r="P27" i="8" s="1"/>
  <c r="Q27" i="8" s="1"/>
  <c r="O167" i="8"/>
  <c r="P167" i="8" s="1"/>
  <c r="Q167" i="8" s="1"/>
  <c r="O119" i="8"/>
  <c r="P119" i="8" s="1"/>
  <c r="Q119" i="8" s="1"/>
  <c r="O148" i="8"/>
  <c r="P148" i="8" s="1"/>
  <c r="Q148" i="8" s="1"/>
  <c r="O128" i="8"/>
  <c r="P128" i="8" s="1"/>
  <c r="Q128" i="8" s="1"/>
  <c r="O59" i="8"/>
  <c r="P59" i="8" s="1"/>
  <c r="Q59" i="8" s="1"/>
  <c r="O20" i="8"/>
  <c r="P20" i="8" s="1"/>
  <c r="Q20" i="8" s="1"/>
  <c r="O185" i="8"/>
  <c r="P185" i="8" s="1"/>
  <c r="Q185" i="8" s="1"/>
  <c r="O76" i="8"/>
  <c r="P76" i="8" s="1"/>
  <c r="Q76" i="8" s="1"/>
  <c r="O162" i="8"/>
  <c r="P162" i="8" s="1"/>
  <c r="Q162" i="8" s="1"/>
  <c r="O139" i="8"/>
  <c r="P139" i="8" s="1"/>
  <c r="Q139" i="8" s="1"/>
  <c r="O68" i="8"/>
  <c r="P68" i="8" s="1"/>
  <c r="Q68" i="8" s="1"/>
  <c r="P41" i="8"/>
  <c r="Q41" i="8" s="1"/>
  <c r="O172" i="8"/>
  <c r="P172" i="8" s="1"/>
  <c r="Q172" i="8" s="1"/>
  <c r="R35" i="9" s="1"/>
  <c r="O168" i="8"/>
  <c r="P168" i="8" s="1"/>
  <c r="Q168" i="8" s="1"/>
  <c r="R32" i="9" s="1"/>
  <c r="O192" i="8"/>
  <c r="P192" i="8" s="1"/>
  <c r="Q192" i="8" s="1"/>
  <c r="O111" i="8"/>
  <c r="P111" i="8" s="1"/>
  <c r="Q111" i="8" s="1"/>
  <c r="O189" i="8"/>
  <c r="P189" i="8" s="1"/>
  <c r="Q189" i="8" s="1"/>
  <c r="O80" i="8"/>
  <c r="P80" i="8" s="1"/>
  <c r="Q80" i="8" s="1"/>
  <c r="O165" i="8"/>
  <c r="P165" i="8" s="1"/>
  <c r="Q165" i="8" s="1"/>
  <c r="O13" i="8"/>
  <c r="P13" i="8" s="1"/>
  <c r="Q13" i="8" s="1"/>
  <c r="O57" i="8"/>
  <c r="P57" i="8" s="1"/>
  <c r="Q57" i="8" s="1"/>
  <c r="O98" i="8"/>
  <c r="P98" i="8" s="1"/>
  <c r="Q98" i="8" s="1"/>
  <c r="O90" i="8"/>
  <c r="P90" i="8" s="1"/>
  <c r="Q90" i="8" s="1"/>
  <c r="R38" i="9" s="1"/>
  <c r="O94" i="8"/>
  <c r="P94" i="8" s="1"/>
  <c r="Q94" i="8" s="1"/>
  <c r="O6" i="8"/>
  <c r="O158" i="8"/>
  <c r="P158" i="8" s="1"/>
  <c r="Q158" i="8" s="1"/>
  <c r="O156" i="8"/>
  <c r="P156" i="8" s="1"/>
  <c r="Q156" i="8" s="1"/>
  <c r="O29" i="8"/>
  <c r="P29" i="8" s="1"/>
  <c r="Q29" i="8" s="1"/>
  <c r="O146" i="8"/>
  <c r="P146" i="8" s="1"/>
  <c r="Q146" i="8" s="1"/>
  <c r="O180" i="8"/>
  <c r="P180" i="8" s="1"/>
  <c r="Q180" i="8" s="1"/>
  <c r="R26" i="9" s="1"/>
  <c r="O37" i="8"/>
  <c r="P37" i="8" s="1"/>
  <c r="Q37" i="8" s="1"/>
  <c r="R24" i="9" s="1"/>
  <c r="O45" i="8"/>
  <c r="P45" i="8" s="1"/>
  <c r="Q45" i="8" s="1"/>
  <c r="O51" i="8"/>
  <c r="P51" i="8" s="1"/>
  <c r="Q51" i="8" s="1"/>
  <c r="O170" i="8"/>
  <c r="P170" i="8" s="1"/>
  <c r="Q170" i="8" s="1"/>
  <c r="O95" i="8"/>
  <c r="P95" i="8" s="1"/>
  <c r="Q95" i="8" s="1"/>
  <c r="O184" i="8"/>
  <c r="P184" i="8" s="1"/>
  <c r="Q184" i="8" s="1"/>
  <c r="O30" i="8"/>
  <c r="P30" i="8" s="1"/>
  <c r="Q30" i="8" s="1"/>
  <c r="O53" i="8"/>
  <c r="P53" i="8" s="1"/>
  <c r="Q53" i="8" s="1"/>
  <c r="O196" i="8"/>
  <c r="P196" i="8" s="1"/>
  <c r="Q196" i="8" s="1"/>
  <c r="O163" i="8"/>
  <c r="P163" i="8" s="1"/>
  <c r="Q163" i="8" s="1"/>
  <c r="R33" i="9" s="1"/>
  <c r="O134" i="8"/>
  <c r="P134" i="8" s="1"/>
  <c r="Q134" i="8" s="1"/>
  <c r="O191" i="8"/>
  <c r="P191" i="8" s="1"/>
  <c r="Q191" i="8" s="1"/>
  <c r="R36" i="9" s="1"/>
  <c r="O200" i="8"/>
  <c r="P200" i="8" s="1"/>
  <c r="Q200" i="8" s="1"/>
  <c r="O36" i="8"/>
  <c r="P36" i="8" s="1"/>
  <c r="Q36" i="8" s="1"/>
  <c r="O127" i="8"/>
  <c r="P127" i="8" s="1"/>
  <c r="Q127" i="8" s="1"/>
  <c r="O152" i="8"/>
  <c r="P152" i="8" s="1"/>
  <c r="Q152" i="8" s="1"/>
  <c r="O44" i="8"/>
  <c r="P44" i="8" s="1"/>
  <c r="Q44" i="8" s="1"/>
  <c r="O143" i="8"/>
  <c r="P143" i="8" s="1"/>
  <c r="Q143" i="8" s="1"/>
  <c r="O9" i="8"/>
  <c r="P9" i="8" s="1"/>
  <c r="Q9" i="8" s="1"/>
  <c r="O60" i="8"/>
  <c r="P60" i="8" s="1"/>
  <c r="Q60" i="8" s="1"/>
  <c r="O101" i="8"/>
  <c r="P101" i="8" s="1"/>
  <c r="Q101" i="8" s="1"/>
  <c r="O157" i="8"/>
  <c r="P157" i="8" s="1"/>
  <c r="Q157" i="8" s="1"/>
  <c r="O176" i="8"/>
  <c r="P176" i="8" s="1"/>
  <c r="Q176" i="8" s="1"/>
  <c r="O26" i="8"/>
  <c r="P26" i="8" s="1"/>
  <c r="Q26" i="8" s="1"/>
  <c r="R25" i="9" s="1"/>
  <c r="O87" i="8"/>
  <c r="P87" i="8" s="1"/>
  <c r="Q87" i="8" s="1"/>
  <c r="O197" i="8"/>
  <c r="P197" i="8" s="1"/>
  <c r="Q197" i="8" s="1"/>
  <c r="O69" i="8"/>
  <c r="P69" i="8" s="1"/>
  <c r="Q69" i="8" s="1"/>
  <c r="O182" i="8"/>
  <c r="P182" i="8" s="1"/>
  <c r="Q182" i="8" s="1"/>
  <c r="O198" i="8"/>
  <c r="P198" i="8" s="1"/>
  <c r="Q198" i="8" s="1"/>
  <c r="O10" i="8"/>
  <c r="P10" i="8" s="1"/>
  <c r="Q10" i="8" s="1"/>
  <c r="K36" i="9" s="1"/>
  <c r="O141" i="8"/>
  <c r="P141" i="8" s="1"/>
  <c r="Q141" i="8" s="1"/>
  <c r="O89" i="8"/>
  <c r="P89" i="8" s="1"/>
  <c r="Q89" i="8" s="1"/>
  <c r="I36" i="6"/>
  <c r="K36" i="6"/>
  <c r="F36" i="6"/>
  <c r="H35" i="6" s="1"/>
  <c r="B32" i="6"/>
  <c r="C32" i="6"/>
  <c r="R23" i="9" l="1"/>
  <c r="R22" i="9"/>
  <c r="R18" i="9"/>
  <c r="R21" i="9"/>
  <c r="R30" i="9"/>
  <c r="R20" i="9"/>
  <c r="K26" i="9"/>
  <c r="R19" i="9"/>
  <c r="R28" i="9"/>
  <c r="R29" i="9"/>
  <c r="R17" i="9"/>
  <c r="R10" i="9"/>
  <c r="K35" i="9"/>
  <c r="K29" i="9"/>
  <c r="K33" i="9"/>
  <c r="K30" i="9"/>
  <c r="K32" i="9"/>
  <c r="K25" i="9"/>
  <c r="K20" i="9"/>
  <c r="K23" i="9"/>
  <c r="K22" i="9"/>
  <c r="K31" i="9"/>
  <c r="K24" i="9"/>
  <c r="K16" i="9"/>
  <c r="K28" i="9"/>
  <c r="K21" i="9"/>
  <c r="K13" i="9"/>
  <c r="K27" i="9"/>
  <c r="K14" i="9"/>
  <c r="K37" i="9"/>
  <c r="K12" i="9"/>
  <c r="K11" i="9"/>
  <c r="K5" i="9"/>
  <c r="K4" i="9"/>
  <c r="K8" i="9"/>
  <c r="O243" i="8"/>
  <c r="P6" i="8"/>
  <c r="Q6" i="8" s="1"/>
  <c r="H3" i="6"/>
  <c r="H7" i="6"/>
  <c r="H21" i="6"/>
  <c r="H9" i="6"/>
  <c r="H10" i="6"/>
  <c r="H4" i="6"/>
  <c r="H6" i="6"/>
  <c r="H31" i="6"/>
  <c r="H12" i="6"/>
  <c r="H20" i="6"/>
  <c r="H5" i="6"/>
  <c r="H34" i="6"/>
  <c r="H15" i="6"/>
  <c r="H19" i="6"/>
  <c r="H25" i="6"/>
  <c r="H11" i="6"/>
  <c r="H13" i="6"/>
  <c r="H23" i="6"/>
  <c r="H14" i="6"/>
  <c r="H16" i="6"/>
  <c r="H28" i="6"/>
  <c r="H27" i="6"/>
  <c r="H22" i="6"/>
  <c r="H33" i="6"/>
  <c r="H18" i="6"/>
  <c r="H24" i="6"/>
  <c r="H30" i="6"/>
  <c r="H29" i="6"/>
  <c r="H8" i="6"/>
  <c r="H2" i="6"/>
  <c r="H17" i="6"/>
  <c r="H26" i="6"/>
  <c r="H32" i="6"/>
  <c r="S134" i="2"/>
  <c r="CY130" i="5"/>
  <c r="CU114" i="5"/>
  <c r="CQ100" i="5"/>
  <c r="CI44" i="5"/>
  <c r="CM100" i="5"/>
  <c r="CE118" i="5"/>
  <c r="BS118" i="5"/>
  <c r="BO92" i="5"/>
  <c r="BK97" i="5"/>
  <c r="BG91" i="5"/>
  <c r="BC79" i="5"/>
  <c r="AY49" i="5"/>
  <c r="AU32" i="5"/>
  <c r="BW79" i="5"/>
  <c r="CA111" i="5"/>
  <c r="AQ85" i="5"/>
  <c r="AM58" i="5"/>
  <c r="AI33" i="5"/>
  <c r="AE33" i="5"/>
  <c r="AA19" i="5"/>
  <c r="W24" i="5"/>
  <c r="S24" i="5"/>
  <c r="O25" i="5"/>
  <c r="K19" i="5"/>
  <c r="C13" i="5"/>
  <c r="G26" i="5"/>
  <c r="B181" i="8"/>
  <c r="B176" i="8"/>
  <c r="B52" i="8"/>
  <c r="B197" i="8"/>
  <c r="B57" i="8"/>
  <c r="B135" i="8"/>
  <c r="B40" i="8"/>
  <c r="B107" i="8"/>
  <c r="B80" i="8"/>
  <c r="B17" i="8"/>
  <c r="B180" i="8"/>
  <c r="B45" i="8"/>
  <c r="B167" i="8"/>
  <c r="B100" i="8"/>
  <c r="B90" i="8"/>
  <c r="B59" i="8"/>
  <c r="B163" i="8"/>
  <c r="B71" i="8"/>
  <c r="B142" i="8"/>
  <c r="B62" i="8"/>
  <c r="B191" i="8"/>
  <c r="B170" i="8"/>
  <c r="B29" i="8"/>
  <c r="B67" i="8"/>
  <c r="B11" i="8"/>
  <c r="B50" i="8"/>
  <c r="B129" i="8"/>
  <c r="B23" i="8"/>
  <c r="B145" i="8"/>
  <c r="B148" i="8"/>
  <c r="B185" i="8"/>
  <c r="B92" i="8"/>
  <c r="B189" i="8"/>
  <c r="B13" i="8"/>
  <c r="B178" i="8"/>
  <c r="B150" i="8"/>
  <c r="B103" i="8"/>
  <c r="B123" i="8"/>
  <c r="B121" i="8"/>
  <c r="B35" i="8"/>
  <c r="B240" i="8"/>
  <c r="B5" i="8"/>
  <c r="B241" i="8"/>
  <c r="B179" i="8"/>
  <c r="B153" i="8"/>
  <c r="B154" i="8"/>
  <c r="B234" i="8"/>
  <c r="B195" i="8"/>
  <c r="B28" i="8"/>
  <c r="B188" i="8"/>
  <c r="B61" i="8"/>
  <c r="B166" i="8"/>
  <c r="B54" i="8"/>
  <c r="B72" i="8"/>
  <c r="B10" i="8"/>
  <c r="B134" i="8"/>
  <c r="B118" i="8"/>
  <c r="B56" i="8"/>
  <c r="B30" i="8"/>
  <c r="B101" i="8"/>
  <c r="B112" i="8"/>
  <c r="B47" i="8"/>
  <c r="B4" i="8"/>
  <c r="B119" i="8"/>
  <c r="B53" i="8"/>
  <c r="B51" i="8"/>
  <c r="B128" i="8"/>
  <c r="B208" i="8"/>
  <c r="B139" i="8"/>
  <c r="B84" i="8"/>
  <c r="B160" i="8"/>
  <c r="B175" i="8"/>
  <c r="B99" i="8"/>
  <c r="B33" i="8"/>
  <c r="B120" i="8"/>
  <c r="B14" i="8"/>
  <c r="B216" i="8"/>
  <c r="B96" i="8"/>
  <c r="B133" i="8"/>
  <c r="B164" i="8"/>
  <c r="B85" i="8"/>
  <c r="B115" i="8"/>
  <c r="B174" i="8"/>
  <c r="B161" i="8"/>
  <c r="B66" i="8"/>
  <c r="B102" i="8"/>
  <c r="B140" i="8"/>
  <c r="B44" i="8"/>
  <c r="B108" i="8"/>
  <c r="B136" i="8"/>
  <c r="B146" i="8"/>
  <c r="B48" i="8"/>
  <c r="B109" i="8"/>
  <c r="B93" i="8"/>
  <c r="B106" i="8"/>
  <c r="B169" i="8"/>
  <c r="B187" i="8"/>
  <c r="B78" i="8"/>
  <c r="B74" i="8"/>
  <c r="B25" i="8"/>
  <c r="B149" i="8"/>
  <c r="B144" i="8"/>
  <c r="B182" i="8"/>
  <c r="B200" i="8"/>
  <c r="B159" i="8"/>
  <c r="B172" i="8"/>
  <c r="B194" i="8"/>
  <c r="B21" i="8"/>
  <c r="B15" i="8"/>
  <c r="C184" i="4"/>
  <c r="H184" i="4"/>
  <c r="C183" i="4"/>
  <c r="H183" i="4"/>
  <c r="C182" i="4"/>
  <c r="H182" i="4"/>
  <c r="C181" i="4"/>
  <c r="H181" i="4"/>
  <c r="C180" i="4"/>
  <c r="H180" i="4"/>
  <c r="C179" i="4"/>
  <c r="H179" i="4"/>
  <c r="C178" i="4"/>
  <c r="H178" i="4"/>
  <c r="C177" i="4"/>
  <c r="H177" i="4"/>
  <c r="C176" i="4"/>
  <c r="H176" i="4"/>
  <c r="C175" i="4"/>
  <c r="H175" i="4"/>
  <c r="C174" i="4"/>
  <c r="H174" i="4"/>
  <c r="C173" i="4"/>
  <c r="H173" i="4"/>
  <c r="C172" i="4"/>
  <c r="H172" i="4"/>
  <c r="C171" i="4"/>
  <c r="H171" i="4"/>
  <c r="C170" i="4"/>
  <c r="H170" i="4"/>
  <c r="C169" i="4"/>
  <c r="H169" i="4"/>
  <c r="C168" i="4"/>
  <c r="H168" i="4"/>
  <c r="C167" i="4"/>
  <c r="H167" i="4"/>
  <c r="C166" i="4"/>
  <c r="H166" i="4"/>
  <c r="C165" i="4"/>
  <c r="H165" i="4"/>
  <c r="C164" i="4"/>
  <c r="H164" i="4"/>
  <c r="C163" i="4"/>
  <c r="H163" i="4"/>
  <c r="C162" i="4"/>
  <c r="H162" i="4"/>
  <c r="C161" i="4"/>
  <c r="H161" i="4"/>
  <c r="C160" i="4"/>
  <c r="H160" i="4"/>
  <c r="C159" i="4"/>
  <c r="H159" i="4"/>
  <c r="C158" i="4"/>
  <c r="H158" i="4"/>
  <c r="C157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C144" i="4"/>
  <c r="H144" i="4"/>
  <c r="C143" i="4"/>
  <c r="H143" i="4"/>
  <c r="C142" i="4"/>
  <c r="H142" i="4"/>
  <c r="C141" i="4"/>
  <c r="H141" i="4"/>
  <c r="C140" i="4"/>
  <c r="H140" i="4"/>
  <c r="C139" i="4"/>
  <c r="H139" i="4"/>
  <c r="C138" i="4"/>
  <c r="H138" i="4"/>
  <c r="C137" i="4"/>
  <c r="H137" i="4"/>
  <c r="C136" i="4"/>
  <c r="H136" i="4"/>
  <c r="C135" i="4"/>
  <c r="H135" i="4"/>
  <c r="C134" i="4"/>
  <c r="H134" i="4"/>
  <c r="H133" i="4"/>
  <c r="H132" i="4"/>
  <c r="H131" i="4"/>
  <c r="C130" i="4"/>
  <c r="H130" i="4"/>
  <c r="C129" i="4"/>
  <c r="H129" i="4"/>
  <c r="C128" i="4"/>
  <c r="H128" i="4"/>
  <c r="C127" i="4"/>
  <c r="H127" i="4"/>
  <c r="C126" i="4"/>
  <c r="H126" i="4"/>
  <c r="C125" i="4"/>
  <c r="H125" i="4"/>
  <c r="C124" i="4"/>
  <c r="H124" i="4"/>
  <c r="C123" i="4"/>
  <c r="H123" i="4"/>
  <c r="C122" i="4"/>
  <c r="H122" i="4"/>
  <c r="C121" i="4"/>
  <c r="H121" i="4"/>
  <c r="C120" i="4"/>
  <c r="H120" i="4"/>
  <c r="C119" i="4"/>
  <c r="H119" i="4"/>
  <c r="C118" i="4"/>
  <c r="H118" i="4"/>
  <c r="C117" i="4"/>
  <c r="H117" i="4"/>
  <c r="C116" i="4"/>
  <c r="H116" i="4"/>
  <c r="C115" i="4"/>
  <c r="H115" i="4"/>
  <c r="C114" i="4"/>
  <c r="H114" i="4"/>
  <c r="H113" i="4"/>
  <c r="H112" i="4"/>
  <c r="H111" i="4"/>
  <c r="C110" i="4"/>
  <c r="H110" i="4"/>
  <c r="C109" i="4"/>
  <c r="H109" i="4"/>
  <c r="C108" i="4"/>
  <c r="H108" i="4"/>
  <c r="C107" i="4"/>
  <c r="H107" i="4"/>
  <c r="H106" i="4"/>
  <c r="H105" i="4"/>
  <c r="H104" i="4"/>
  <c r="H103" i="4"/>
  <c r="C102" i="4"/>
  <c r="H102" i="4"/>
  <c r="C101" i="4"/>
  <c r="H101" i="4"/>
  <c r="C100" i="4"/>
  <c r="H100" i="4"/>
  <c r="C99" i="4"/>
  <c r="H99" i="4"/>
  <c r="C98" i="4"/>
  <c r="H98" i="4"/>
  <c r="C97" i="4"/>
  <c r="H97" i="4"/>
  <c r="C96" i="4"/>
  <c r="H96" i="4"/>
  <c r="C95" i="4"/>
  <c r="H95" i="4"/>
  <c r="C94" i="4"/>
  <c r="H94" i="4"/>
  <c r="C93" i="4"/>
  <c r="H93" i="4"/>
  <c r="H92" i="4"/>
  <c r="C91" i="4"/>
  <c r="H91" i="4"/>
  <c r="C90" i="4"/>
  <c r="H90" i="4"/>
  <c r="C89" i="4"/>
  <c r="H89" i="4"/>
  <c r="C88" i="4"/>
  <c r="H88" i="4"/>
  <c r="C87" i="4"/>
  <c r="H87" i="4"/>
  <c r="C86" i="4"/>
  <c r="H86" i="4"/>
  <c r="C85" i="4"/>
  <c r="H85" i="4"/>
  <c r="C84" i="4"/>
  <c r="H84" i="4"/>
  <c r="C83" i="4"/>
  <c r="H83" i="4"/>
  <c r="H82" i="4"/>
  <c r="H81" i="4"/>
  <c r="C80" i="4"/>
  <c r="H80" i="4"/>
  <c r="H79" i="4"/>
  <c r="H78" i="4"/>
  <c r="H77" i="4"/>
  <c r="C76" i="4"/>
  <c r="H76" i="4"/>
  <c r="C75" i="4"/>
  <c r="H75" i="4"/>
  <c r="H74" i="4"/>
  <c r="H73" i="4"/>
  <c r="H72" i="4"/>
  <c r="H71" i="4"/>
  <c r="H70" i="4"/>
  <c r="H69" i="4"/>
  <c r="H68" i="4"/>
  <c r="H67" i="4"/>
  <c r="H66" i="4"/>
  <c r="H65" i="4"/>
  <c r="H64" i="4"/>
  <c r="C63" i="4"/>
  <c r="H63" i="4"/>
  <c r="C62" i="4"/>
  <c r="H62" i="4"/>
  <c r="C61" i="4"/>
  <c r="H61" i="4"/>
  <c r="C60" i="4"/>
  <c r="H60" i="4"/>
  <c r="C59" i="4"/>
  <c r="H59" i="4"/>
  <c r="C58" i="4"/>
  <c r="H58" i="4"/>
  <c r="C57" i="4"/>
  <c r="H57" i="4"/>
  <c r="C56" i="4"/>
  <c r="H56" i="4"/>
  <c r="C55" i="4"/>
  <c r="H55" i="4"/>
  <c r="C54" i="4"/>
  <c r="H54" i="4"/>
  <c r="C53" i="4"/>
  <c r="H53" i="4"/>
  <c r="C52" i="4"/>
  <c r="H52" i="4"/>
  <c r="C51" i="4"/>
  <c r="H51" i="4"/>
  <c r="C50" i="4"/>
  <c r="H50" i="4"/>
  <c r="C49" i="4"/>
  <c r="H49" i="4"/>
  <c r="C48" i="4"/>
  <c r="H48" i="4"/>
  <c r="C47" i="4"/>
  <c r="H47" i="4"/>
  <c r="C46" i="4"/>
  <c r="H46" i="4"/>
  <c r="C45" i="4"/>
  <c r="H45" i="4"/>
  <c r="C44" i="4"/>
  <c r="H44" i="4"/>
  <c r="C43" i="4"/>
  <c r="H43" i="4"/>
  <c r="C42" i="4"/>
  <c r="H42" i="4"/>
  <c r="C41" i="4"/>
  <c r="H41" i="4"/>
  <c r="C40" i="4"/>
  <c r="H40" i="4"/>
  <c r="C39" i="4"/>
  <c r="H39" i="4"/>
  <c r="C38" i="4"/>
  <c r="H38" i="4"/>
  <c r="C37" i="4"/>
  <c r="H37" i="4"/>
  <c r="C36" i="4"/>
  <c r="H36" i="4"/>
  <c r="C35" i="4"/>
  <c r="H35" i="4"/>
  <c r="C34" i="4"/>
  <c r="H34" i="4"/>
  <c r="C33" i="4"/>
  <c r="H33" i="4"/>
  <c r="C32" i="4"/>
  <c r="H32" i="4"/>
  <c r="C31" i="4"/>
  <c r="H31" i="4"/>
  <c r="C30" i="4"/>
  <c r="H30" i="4"/>
  <c r="C29" i="4"/>
  <c r="H29" i="4"/>
  <c r="C28" i="4"/>
  <c r="H28" i="4"/>
  <c r="C27" i="4"/>
  <c r="H27" i="4"/>
  <c r="C26" i="4"/>
  <c r="H26" i="4"/>
  <c r="C25" i="4"/>
  <c r="H25" i="4"/>
  <c r="C24" i="4"/>
  <c r="H24" i="4"/>
  <c r="C23" i="4"/>
  <c r="H23" i="4"/>
  <c r="C22" i="4"/>
  <c r="H22" i="4"/>
  <c r="C21" i="4"/>
  <c r="H21" i="4"/>
  <c r="C20" i="4"/>
  <c r="H20" i="4"/>
  <c r="C16" i="4"/>
  <c r="C17" i="4"/>
  <c r="C18" i="4"/>
  <c r="C19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Q243" i="8" l="1"/>
  <c r="K34" i="9"/>
  <c r="B124" i="8"/>
  <c r="B204" i="8"/>
  <c r="C113" i="4"/>
  <c r="B98" i="8"/>
  <c r="C112" i="4"/>
  <c r="B82" i="8"/>
  <c r="C73" i="4"/>
  <c r="B24" i="8"/>
  <c r="C106" i="4"/>
  <c r="B46" i="8"/>
  <c r="B97" i="8"/>
  <c r="B127" i="8"/>
  <c r="C146" i="4"/>
  <c r="B18" i="8"/>
  <c r="C147" i="4"/>
  <c r="B125" i="8"/>
  <c r="C103" i="4"/>
  <c r="B65" i="8"/>
  <c r="C133" i="4"/>
  <c r="B192" i="8"/>
  <c r="C92" i="4"/>
  <c r="B88" i="8"/>
  <c r="C131" i="4"/>
  <c r="B36" i="8"/>
  <c r="C82" i="4"/>
  <c r="B41" i="8"/>
  <c r="C78" i="4"/>
  <c r="B27" i="8"/>
  <c r="C13" i="4"/>
  <c r="B168" i="8"/>
  <c r="B68" i="8"/>
  <c r="B9" i="8"/>
  <c r="O10" i="6"/>
  <c r="P10" i="6"/>
  <c r="R10" i="6"/>
  <c r="Q10" i="6"/>
  <c r="C156" i="4"/>
  <c r="O2" i="6"/>
  <c r="R7" i="6"/>
  <c r="P2" i="6"/>
  <c r="O8" i="6"/>
  <c r="Q2" i="6"/>
  <c r="P8" i="6"/>
  <c r="P5" i="6"/>
  <c r="Q3" i="6"/>
  <c r="O6" i="6"/>
  <c r="R4" i="6"/>
  <c r="P3" i="6"/>
  <c r="Q4" i="6"/>
  <c r="P6" i="6"/>
  <c r="R3" i="6"/>
  <c r="P4" i="6"/>
  <c r="Q5" i="6"/>
  <c r="O7" i="6"/>
  <c r="O4" i="6"/>
  <c r="Q6" i="6"/>
  <c r="P7" i="6"/>
  <c r="Q8" i="6"/>
  <c r="O5" i="6"/>
  <c r="Q7" i="6"/>
  <c r="R2" i="6"/>
  <c r="R5" i="6"/>
  <c r="O3" i="6"/>
  <c r="R6" i="6"/>
  <c r="R8" i="6"/>
  <c r="C66" i="4"/>
  <c r="C74" i="4"/>
  <c r="C81" i="4"/>
  <c r="C67" i="4"/>
  <c r="C68" i="4"/>
  <c r="C69" i="4"/>
  <c r="C71" i="4"/>
  <c r="C70" i="4"/>
  <c r="C64" i="4"/>
  <c r="C72" i="4"/>
  <c r="C65" i="4"/>
  <c r="O242" i="2"/>
  <c r="C14" i="4"/>
  <c r="C12" i="4"/>
  <c r="C15" i="4"/>
  <c r="C11" i="4"/>
  <c r="C2" i="4"/>
  <c r="C3" i="4"/>
  <c r="C6" i="4"/>
  <c r="C152" i="4"/>
  <c r="C148" i="4"/>
  <c r="C149" i="4"/>
  <c r="C150" i="4"/>
  <c r="C151" i="4"/>
  <c r="C145" i="4"/>
  <c r="C153" i="4"/>
  <c r="C104" i="4"/>
  <c r="C105" i="4"/>
  <c r="C10" i="4"/>
  <c r="C9" i="4"/>
  <c r="C8" i="4"/>
  <c r="C7" i="4"/>
  <c r="C5" i="4"/>
  <c r="C4" i="4"/>
  <c r="C79" i="4"/>
  <c r="C111" i="4"/>
  <c r="C77" i="4"/>
  <c r="C154" i="4"/>
  <c r="C155" i="4"/>
  <c r="C132" i="4"/>
  <c r="T3" i="6" l="1"/>
  <c r="T7" i="6"/>
  <c r="T5" i="6"/>
  <c r="S4" i="6"/>
  <c r="S3" i="6"/>
  <c r="T10" i="6"/>
  <c r="S10" i="6"/>
  <c r="T8" i="6"/>
  <c r="S5" i="6"/>
  <c r="T6" i="6"/>
  <c r="S2" i="6"/>
  <c r="T2" i="6"/>
  <c r="S6" i="6"/>
  <c r="S8" i="6"/>
  <c r="T4" i="6"/>
  <c r="S7" i="6"/>
  <c r="O9" i="6"/>
  <c r="T9" i="6" l="1"/>
  <c r="DW147" i="5"/>
  <c r="DW130" i="5"/>
  <c r="DW129" i="5"/>
  <c r="DW129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<sst xmlns="http://schemas.openxmlformats.org/spreadsheetml/2006/main" count="2367" uniqueCount="716">
  <si>
    <t>El Carmen</t>
  </si>
  <si>
    <t>Atuncela</t>
  </si>
  <si>
    <t>Borrero Ayerbe</t>
  </si>
  <si>
    <t>ID</t>
  </si>
  <si>
    <t>Corregimiento</t>
  </si>
  <si>
    <t>Veredas</t>
  </si>
  <si>
    <t>Area_km2</t>
  </si>
  <si>
    <t>Puerto Dagua</t>
  </si>
  <si>
    <t>292,13</t>
  </si>
  <si>
    <t>Km 26, Ambichinte, Pueblo Nuevo, El Vergel, Km 28, Agua Sucia, El Crucero, La Zulia y El Descanso</t>
  </si>
  <si>
    <t>204,95</t>
  </si>
  <si>
    <t>Cisneros</t>
  </si>
  <si>
    <t>La Guinea Baja y La Guinea Alta</t>
  </si>
  <si>
    <t>79,65</t>
  </si>
  <si>
    <t>La Clorinda, Las Tórtolas, Loma Linda, El Galpón y Bahondo</t>
  </si>
  <si>
    <t>367,07</t>
  </si>
  <si>
    <t>El Danubio</t>
  </si>
  <si>
    <t>Km 81 y Los Monos</t>
  </si>
  <si>
    <t>481,96</t>
  </si>
  <si>
    <t>El Limonar</t>
  </si>
  <si>
    <t>El Chilcal, Monterredondo, Honduras, El Tablazo, Consuegra, La Soledad y Junticas</t>
  </si>
  <si>
    <t>322,32</t>
  </si>
  <si>
    <t>El Naranjo</t>
  </si>
  <si>
    <t>La Reina, Peñas Gordas, La Victoria y Galeras</t>
  </si>
  <si>
    <t>112,25</t>
  </si>
  <si>
    <t>El Palmar</t>
  </si>
  <si>
    <t>Las Brisas, La Colonia, Centella, Puerto Cosson, Yerbabuena, La Virgen, La Pulida y Palo Alto</t>
  </si>
  <si>
    <t>274,05</t>
  </si>
  <si>
    <t>El Pinal</t>
  </si>
  <si>
    <t>Bolivia, Manantiales y El Zapote</t>
  </si>
  <si>
    <t>408,85</t>
  </si>
  <si>
    <t>El Queremal</t>
  </si>
  <si>
    <t>Las Camellas, La Rosita, Machado, El Almorzadero, El Tigre, Sendo, Potrerillo y Paraguitas</t>
  </si>
  <si>
    <t>979,1</t>
  </si>
  <si>
    <t>El Rucio</t>
  </si>
  <si>
    <t>La Samaria, Vista Hermosa y La Floresta</t>
  </si>
  <si>
    <t>276,9</t>
  </si>
  <si>
    <t>El Salado</t>
  </si>
  <si>
    <t>Piedra Pintada, San Antonio, El Aguacate y El Porvenir</t>
  </si>
  <si>
    <t>Jiguales</t>
  </si>
  <si>
    <t>135,52</t>
  </si>
  <si>
    <t>Juntas</t>
  </si>
  <si>
    <t>La Puerta, San Cristóbal, La Cedrera, La Siria y Sombrerillos</t>
  </si>
  <si>
    <t>416,5</t>
  </si>
  <si>
    <t>Kilómetro 18</t>
  </si>
  <si>
    <t>60,75</t>
  </si>
  <si>
    <t>La Cascada</t>
  </si>
  <si>
    <t>El Placer, La Mona y El Cauchal</t>
  </si>
  <si>
    <t>298,21</t>
  </si>
  <si>
    <t>La Elsa</t>
  </si>
  <si>
    <t>El Engano, Río Blanco, El Digua y Las Curvas</t>
  </si>
  <si>
    <t>1.244,6</t>
  </si>
  <si>
    <t>Loboguerrero</t>
  </si>
  <si>
    <t>La Yolomba y La Chapa</t>
  </si>
  <si>
    <t>286,8</t>
  </si>
  <si>
    <t>Los Alpes</t>
  </si>
  <si>
    <t>La Garza, Amapola, El Rosal y La Virgen</t>
  </si>
  <si>
    <t>234,7</t>
  </si>
  <si>
    <t>Los Cristales</t>
  </si>
  <si>
    <t>Tolda Seca, Vega Grande, Pepitas y El Hormiguero</t>
  </si>
  <si>
    <t>538,4</t>
  </si>
  <si>
    <t>Providencia</t>
  </si>
  <si>
    <t>La Esmeralda</t>
  </si>
  <si>
    <t>803,7</t>
  </si>
  <si>
    <t>San Bernardo</t>
  </si>
  <si>
    <t>El Jordán, El Jordancito, San Miguel, El Triunfo, El Diviso, Loma Alta, La Tigra, Ben Hur, San Luis y Tocotá</t>
  </si>
  <si>
    <t>338,27</t>
  </si>
  <si>
    <t>San Vicente</t>
  </si>
  <si>
    <t>El Pajal y San Joaquín</t>
  </si>
  <si>
    <t>457,72</t>
  </si>
  <si>
    <t>Santa María</t>
  </si>
  <si>
    <t>Siempreviva, Cerro Azul y Anegas</t>
  </si>
  <si>
    <t>320,41</t>
  </si>
  <si>
    <t>Villahermosa</t>
  </si>
  <si>
    <t>La Esperanza, Las Camelias- K. 95 y Las Delicias</t>
  </si>
  <si>
    <t>126,57</t>
  </si>
  <si>
    <t>Zabaletas</t>
  </si>
  <si>
    <t>Carrisales, Bella Vista, El Trapiche y La Velmira</t>
  </si>
  <si>
    <t>188,79</t>
  </si>
  <si>
    <t>Zelandia</t>
  </si>
  <si>
    <t>Aguas Lindas</t>
  </si>
  <si>
    <t>N° FACTURA</t>
  </si>
  <si>
    <t>FECHA</t>
  </si>
  <si>
    <t>TIPO FACTURA</t>
  </si>
  <si>
    <t>CLIENTE</t>
  </si>
  <si>
    <t>LUGAR ENVÍO</t>
  </si>
  <si>
    <t>DISTANCIA (km)</t>
  </si>
  <si>
    <t>PESO EST. (kg)</t>
  </si>
  <si>
    <t>Numero de Transportes</t>
  </si>
  <si>
    <t>VLR. TRANSPORTE</t>
  </si>
  <si>
    <t>VLR. TOTAL FACT.</t>
  </si>
  <si>
    <t>VLR. PRODUCTOS</t>
  </si>
  <si>
    <t>Local/Tercero (1/0)</t>
  </si>
  <si>
    <t>FORMA PAGO</t>
  </si>
  <si>
    <t>sai</t>
  </si>
  <si>
    <t>oscar narvaes</t>
  </si>
  <si>
    <t>transferencia</t>
  </si>
  <si>
    <t>sonia mendez</t>
  </si>
  <si>
    <t>gladis jordan</t>
  </si>
  <si>
    <t>palo alto</t>
  </si>
  <si>
    <t>efectivo</t>
  </si>
  <si>
    <t>manual</t>
  </si>
  <si>
    <t>jhon cruz</t>
  </si>
  <si>
    <t>joan solarte</t>
  </si>
  <si>
    <t>wilson marin</t>
  </si>
  <si>
    <t>el carmelo</t>
  </si>
  <si>
    <t>3,5</t>
  </si>
  <si>
    <t>diego zuluaga</t>
  </si>
  <si>
    <t>pirineos</t>
  </si>
  <si>
    <t>carlos gawes</t>
  </si>
  <si>
    <t>mauricio</t>
  </si>
  <si>
    <t>2,5</t>
  </si>
  <si>
    <t>transferenica</t>
  </si>
  <si>
    <t>eliana jareamillo</t>
  </si>
  <si>
    <t>10,2</t>
  </si>
  <si>
    <t>trasferencia</t>
  </si>
  <si>
    <t>NA</t>
  </si>
  <si>
    <t>brayan castrillo</t>
  </si>
  <si>
    <t>isabel castaño</t>
  </si>
  <si>
    <t>villa del toro</t>
  </si>
  <si>
    <t>tarjeta</t>
  </si>
  <si>
    <t>telenec</t>
  </si>
  <si>
    <t>la florida</t>
  </si>
  <si>
    <t>alfonso ortega</t>
  </si>
  <si>
    <t>oscar quiñonez</t>
  </si>
  <si>
    <t>vicente</t>
  </si>
  <si>
    <t>sandra palomino</t>
  </si>
  <si>
    <t>juan barado</t>
  </si>
  <si>
    <t>diego sarria</t>
  </si>
  <si>
    <t>soraya</t>
  </si>
  <si>
    <t>viviana</t>
  </si>
  <si>
    <t>villas del carmen</t>
  </si>
  <si>
    <t>monica pastrana</t>
  </si>
  <si>
    <t>mirna pesquen</t>
  </si>
  <si>
    <t>mario duran</t>
  </si>
  <si>
    <t>felipe mina</t>
  </si>
  <si>
    <t>julio daza</t>
  </si>
  <si>
    <t>las tortolas</t>
  </si>
  <si>
    <t>4,3</t>
  </si>
  <si>
    <t>stiven torres</t>
  </si>
  <si>
    <t>ferreteria el palmar</t>
  </si>
  <si>
    <t>antonio jimenes</t>
  </si>
  <si>
    <t>juan solarte</t>
  </si>
  <si>
    <t>fernando ceballo</t>
  </si>
  <si>
    <t>cesar</t>
  </si>
  <si>
    <t>la cristalina</t>
  </si>
  <si>
    <t>mireya lopez</t>
  </si>
  <si>
    <t>sebastian</t>
  </si>
  <si>
    <t>fabian</t>
  </si>
  <si>
    <t>limonar</t>
  </si>
  <si>
    <t>5,5</t>
  </si>
  <si>
    <t>victor</t>
  </si>
  <si>
    <t>jose correa</t>
  </si>
  <si>
    <t>mario camacho</t>
  </si>
  <si>
    <t>ade</t>
  </si>
  <si>
    <t>oscar osorio</t>
  </si>
  <si>
    <t>bomberos</t>
  </si>
  <si>
    <t>doris villarriaga</t>
  </si>
  <si>
    <t>san fernando</t>
  </si>
  <si>
    <t>luis enrique</t>
  </si>
  <si>
    <t>el diviso</t>
  </si>
  <si>
    <t>9,5</t>
  </si>
  <si>
    <t>jhon jairo</t>
  </si>
  <si>
    <t>KM 34</t>
  </si>
  <si>
    <t>VLR. TRANSPORTE C/U</t>
  </si>
  <si>
    <t>miriam gomez</t>
  </si>
  <si>
    <t>mirador</t>
  </si>
  <si>
    <t>katherine</t>
  </si>
  <si>
    <t>villa emilia</t>
  </si>
  <si>
    <t>robinson</t>
  </si>
  <si>
    <t>la cancha</t>
  </si>
  <si>
    <t>carlos arturo</t>
  </si>
  <si>
    <t>agua sucia</t>
  </si>
  <si>
    <t>2,1</t>
  </si>
  <si>
    <t>$4.564.800</t>
  </si>
  <si>
    <t>$4.204.800</t>
  </si>
  <si>
    <t>doris aice</t>
  </si>
  <si>
    <t>km 25</t>
  </si>
  <si>
    <t>sergio bautista</t>
  </si>
  <si>
    <t>pa la chingada</t>
  </si>
  <si>
    <t>eduardo olaus</t>
  </si>
  <si>
    <t>tocota finca</t>
  </si>
  <si>
    <t>9,6</t>
  </si>
  <si>
    <t>na</t>
  </si>
  <si>
    <t>martha rosero</t>
  </si>
  <si>
    <t>$1.915.000</t>
  </si>
  <si>
    <t>$1.595.000</t>
  </si>
  <si>
    <t>angui rengifo</t>
  </si>
  <si>
    <t>bahondo</t>
  </si>
  <si>
    <t>4,5</t>
  </si>
  <si>
    <t>jaime hemera</t>
  </si>
  <si>
    <t>km 37 x fegaso</t>
  </si>
  <si>
    <t>$1.784.000</t>
  </si>
  <si>
    <t>$1.504.000</t>
  </si>
  <si>
    <t>jose giraldo</t>
  </si>
  <si>
    <t>carlos montes</t>
  </si>
  <si>
    <t>alberto nieto</t>
  </si>
  <si>
    <t>la clorinda</t>
  </si>
  <si>
    <t>3,4</t>
  </si>
  <si>
    <t>rojas</t>
  </si>
  <si>
    <t>$1.393.600</t>
  </si>
  <si>
    <t>$1.363.600</t>
  </si>
  <si>
    <t>jhon nañez</t>
  </si>
  <si>
    <t>el palmar</t>
  </si>
  <si>
    <t>ibette</t>
  </si>
  <si>
    <t>monte rico</t>
  </si>
  <si>
    <t>guillermo</t>
  </si>
  <si>
    <t>jose londoño</t>
  </si>
  <si>
    <t>vasquez</t>
  </si>
  <si>
    <t>alto de las tortolas</t>
  </si>
  <si>
    <t>luis montes</t>
  </si>
  <si>
    <t>bosque detras clinica</t>
  </si>
  <si>
    <t>4,4</t>
  </si>
  <si>
    <t>jaime reyes</t>
  </si>
  <si>
    <t>tortolas</t>
  </si>
  <si>
    <t>4,8</t>
  </si>
  <si>
    <t>esperanza ortega</t>
  </si>
  <si>
    <t>el carmen</t>
  </si>
  <si>
    <t>alberto</t>
  </si>
  <si>
    <t>diviso vereda</t>
  </si>
  <si>
    <t>7,5</t>
  </si>
  <si>
    <t>sandra</t>
  </si>
  <si>
    <t>casa verde</t>
  </si>
  <si>
    <t>elizabeth</t>
  </si>
  <si>
    <t>raul castillo</t>
  </si>
  <si>
    <t>las villas el carmen</t>
  </si>
  <si>
    <t>jhonatan rengifo</t>
  </si>
  <si>
    <t>mauricio rojas</t>
  </si>
  <si>
    <t>alba lucia</t>
  </si>
  <si>
    <t>la zulia 3</t>
  </si>
  <si>
    <t>2,7</t>
  </si>
  <si>
    <t>monte redondo</t>
  </si>
  <si>
    <t>1,2</t>
  </si>
  <si>
    <t>maria victoria</t>
  </si>
  <si>
    <t>angelica camacho</t>
  </si>
  <si>
    <t>la zulia el 2</t>
  </si>
  <si>
    <t>3,2</t>
  </si>
  <si>
    <t>$1.940.400</t>
  </si>
  <si>
    <t>$1.910.400</t>
  </si>
  <si>
    <t>ansisar</t>
  </si>
  <si>
    <t>omar lozano</t>
  </si>
  <si>
    <t>jhon alex</t>
  </si>
  <si>
    <t>maria del carmen</t>
  </si>
  <si>
    <t>Martha Lucia Noreña</t>
  </si>
  <si>
    <t>la zulia et1</t>
  </si>
  <si>
    <t>Maria Amparo Aula</t>
  </si>
  <si>
    <t>el bosque</t>
  </si>
  <si>
    <t>Elizabeth Perlaza</t>
  </si>
  <si>
    <t>chipre finca</t>
  </si>
  <si>
    <t>$2.479.900</t>
  </si>
  <si>
    <t>$2.279.900</t>
  </si>
  <si>
    <t>Transferencia</t>
  </si>
  <si>
    <t>Carlos Torres</t>
  </si>
  <si>
    <t>el coscorron</t>
  </si>
  <si>
    <t>Tarjeta</t>
  </si>
  <si>
    <t>Guerardo Hernandez</t>
  </si>
  <si>
    <t>Fundación Shekina</t>
  </si>
  <si>
    <t>$1.605.000</t>
  </si>
  <si>
    <t>$1.485.000</t>
  </si>
  <si>
    <t>Guillermo Lozada</t>
  </si>
  <si>
    <t>Fidel Charria</t>
  </si>
  <si>
    <t>Nicolas Caicedo</t>
  </si>
  <si>
    <t>$1.630.800</t>
  </si>
  <si>
    <t>$1.570.800</t>
  </si>
  <si>
    <t>Sandra Viviana</t>
  </si>
  <si>
    <t>los bomberos</t>
  </si>
  <si>
    <t>$1.794.500</t>
  </si>
  <si>
    <t>$1.744.500</t>
  </si>
  <si>
    <t>2,2</t>
  </si>
  <si>
    <t>el queremal</t>
  </si>
  <si>
    <t>16,3</t>
  </si>
  <si>
    <t>$3.032.800</t>
  </si>
  <si>
    <t>$2.952.800</t>
  </si>
  <si>
    <t>Ismael Grao</t>
  </si>
  <si>
    <t>Tania Duque</t>
  </si>
  <si>
    <t>finca la cabaña</t>
  </si>
  <si>
    <t>Julio Daza</t>
  </si>
  <si>
    <t>$1.045.000</t>
  </si>
  <si>
    <t>la bomba</t>
  </si>
  <si>
    <t>$1.486.900</t>
  </si>
  <si>
    <t>$1.456.900</t>
  </si>
  <si>
    <t>Jose Gonzalez</t>
  </si>
  <si>
    <t>Oscar Narvaez</t>
  </si>
  <si>
    <t>el coscoron</t>
  </si>
  <si>
    <t>$1.435.000</t>
  </si>
  <si>
    <t>tocota</t>
  </si>
  <si>
    <t>7,8</t>
  </si>
  <si>
    <t>$1.479.400</t>
  </si>
  <si>
    <t>$1.419.400</t>
  </si>
  <si>
    <t>$1.044.500</t>
  </si>
  <si>
    <t>Multiples</t>
  </si>
  <si>
    <t>Viviana</t>
  </si>
  <si>
    <t>las villas del carmen</t>
  </si>
  <si>
    <t>Gustavo Chaux</t>
  </si>
  <si>
    <t>Monica Pastrana</t>
  </si>
  <si>
    <t>san jose del salado</t>
  </si>
  <si>
    <t>8,22</t>
  </si>
  <si>
    <t>$1.343.900</t>
  </si>
  <si>
    <t>$1.273.900</t>
  </si>
  <si>
    <t>Carlos Arturo</t>
  </si>
  <si>
    <t>$1.459.500</t>
  </si>
  <si>
    <t>$1.419.500</t>
  </si>
  <si>
    <t>Maria Del Carmen Astorquiza</t>
  </si>
  <si>
    <t>Kimios Cali Joyeria</t>
  </si>
  <si>
    <t>altos del Carmen</t>
  </si>
  <si>
    <t>3,7</t>
  </si>
  <si>
    <t>$1.130.700</t>
  </si>
  <si>
    <t>$1.080.700</t>
  </si>
  <si>
    <t>Jhoan</t>
  </si>
  <si>
    <t>el chirinquito</t>
  </si>
  <si>
    <t>Sandra Palomino</t>
  </si>
  <si>
    <t>Ferney Bernal</t>
  </si>
  <si>
    <t>azul y verde</t>
  </si>
  <si>
    <t>Jose Tuan</t>
  </si>
  <si>
    <t>William Moreno</t>
  </si>
  <si>
    <t>KM 34 Higuiales</t>
  </si>
  <si>
    <t>Aleyda Martinez</t>
  </si>
  <si>
    <t>$1.480.000</t>
  </si>
  <si>
    <t>$1.440.000</t>
  </si>
  <si>
    <t>Mirna Yesquen</t>
  </si>
  <si>
    <t>Jose Murillo</t>
  </si>
  <si>
    <t>$1.186.000</t>
  </si>
  <si>
    <t>$1.126.000</t>
  </si>
  <si>
    <t>Yeferson Gil</t>
  </si>
  <si>
    <t>Carlos Ortega</t>
  </si>
  <si>
    <t>$1.699.000</t>
  </si>
  <si>
    <t>$1.659.000</t>
  </si>
  <si>
    <t>Oscar Osorio</t>
  </si>
  <si>
    <t>Martha Rosero</t>
  </si>
  <si>
    <t>$1.704.900</t>
  </si>
  <si>
    <t>$1.544.900</t>
  </si>
  <si>
    <t>Sebastian Barragan</t>
  </si>
  <si>
    <t>el mirador</t>
  </si>
  <si>
    <t>las palmas</t>
  </si>
  <si>
    <t>Everardo Hernandez</t>
  </si>
  <si>
    <t>tania duque</t>
  </si>
  <si>
    <t>Distancia KM</t>
  </si>
  <si>
    <t>Articulo</t>
  </si>
  <si>
    <t>Codos 1/2 presion</t>
  </si>
  <si>
    <t>Vr unit</t>
  </si>
  <si>
    <t>Cant</t>
  </si>
  <si>
    <t>Vr. Total</t>
  </si>
  <si>
    <t>ID Producto</t>
  </si>
  <si>
    <t>Tee 1/2 presion</t>
  </si>
  <si>
    <t>Union 1/2 presion</t>
  </si>
  <si>
    <t>Semicodo 1/2 presion</t>
  </si>
  <si>
    <t>A.macho 1/2 presion</t>
  </si>
  <si>
    <t>Codos 1/2 Cpuc</t>
  </si>
  <si>
    <t>Tee 1/2 Cpuc</t>
  </si>
  <si>
    <t>Union 1/2 Cpuc</t>
  </si>
  <si>
    <t>Semicodo 1/2 Cpuc</t>
  </si>
  <si>
    <t>Tubo 1/2 Cpuc</t>
  </si>
  <si>
    <t>Codo salvanizado</t>
  </si>
  <si>
    <t>Cinta teflon peq.</t>
  </si>
  <si>
    <t>Soldadura Cpuc</t>
  </si>
  <si>
    <t>Soldadura puc(verde)</t>
  </si>
  <si>
    <t>Tubo conduitc 1/2 f</t>
  </si>
  <si>
    <t>B. Cemento Argos</t>
  </si>
  <si>
    <t>Corregimiento de envio</t>
  </si>
  <si>
    <t>Samuel Calle</t>
  </si>
  <si>
    <t xml:space="preserve">Balastro </t>
  </si>
  <si>
    <t>Costales arena</t>
  </si>
  <si>
    <t>Sulfato de aluminio</t>
  </si>
  <si>
    <t>Piedro Alumbre</t>
  </si>
  <si>
    <t>Cloros 91%</t>
  </si>
  <si>
    <t>Varilla corre 1/2</t>
  </si>
  <si>
    <t>Ladrillos</t>
  </si>
  <si>
    <t>Codal aluminio</t>
  </si>
  <si>
    <t>Malla electros 4mm</t>
  </si>
  <si>
    <t>Super board 6mm</t>
  </si>
  <si>
    <t>Super board 10mm</t>
  </si>
  <si>
    <t>Farol 10x20 rayado</t>
  </si>
  <si>
    <t>B. Estuco listo for</t>
  </si>
  <si>
    <t>Acronal galón</t>
  </si>
  <si>
    <t>Mt drenagruesa</t>
  </si>
  <si>
    <t>B. Cemento Marcos</t>
  </si>
  <si>
    <t>B. Pegafor *25n gris ceram</t>
  </si>
  <si>
    <t>Platina 3/4 X 3/16</t>
  </si>
  <si>
    <t>Angulo 3/4 X 1/8</t>
  </si>
  <si>
    <t>Angulo 1/a X 1/8</t>
  </si>
  <si>
    <t>Tanque 250 Lt</t>
  </si>
  <si>
    <t>Varilla corrug 1/4</t>
  </si>
  <si>
    <t>Escurridero lavaplatos Izq</t>
  </si>
  <si>
    <t>Banderolas 30x30</t>
  </si>
  <si>
    <t xml:space="preserve">   </t>
  </si>
  <si>
    <t>Laminas 595X30 Ancho</t>
  </si>
  <si>
    <t>Farol Rustico 9X18X24</t>
  </si>
  <si>
    <t>Alambre</t>
  </si>
  <si>
    <t>Varrillas corrug 3/8</t>
  </si>
  <si>
    <t>Tablas</t>
  </si>
  <si>
    <t>Lamina Panel Yeso</t>
  </si>
  <si>
    <t>Puntillas</t>
  </si>
  <si>
    <t>Cuartones 3X2</t>
  </si>
  <si>
    <t xml:space="preserve">Piedra </t>
  </si>
  <si>
    <t>B. Arena</t>
  </si>
  <si>
    <t>Broca 1/8 Lamina</t>
  </si>
  <si>
    <t>Farol Raclado</t>
  </si>
  <si>
    <t>Tubo Samt. Fino</t>
  </si>
  <si>
    <t>Union</t>
  </si>
  <si>
    <t>Codos</t>
  </si>
  <si>
    <t>Varrillas corrug 1/2</t>
  </si>
  <si>
    <t>Arena Mediana</t>
  </si>
  <si>
    <t>Alambre Negro</t>
  </si>
  <si>
    <t>Hierro 1/4</t>
  </si>
  <si>
    <t>Arena Gruesa</t>
  </si>
  <si>
    <t>Graba 1/2</t>
  </si>
  <si>
    <t>Tablon Fino</t>
  </si>
  <si>
    <t xml:space="preserve">Tabla </t>
  </si>
  <si>
    <t>Tubo Cuadra</t>
  </si>
  <si>
    <t>Tubo 3X1/2</t>
  </si>
  <si>
    <t>Teja UPUC Blanca</t>
  </si>
  <si>
    <t>Tornillo Capeble</t>
  </si>
  <si>
    <t>Canal Galvanizado</t>
  </si>
  <si>
    <t xml:space="preserve">Gancho </t>
  </si>
  <si>
    <t>Hexometro 5mt</t>
  </si>
  <si>
    <t>Hero</t>
  </si>
  <si>
    <t xml:space="preserve">Tubo galv </t>
  </si>
  <si>
    <t>Tapon Galv</t>
  </si>
  <si>
    <t>Hojilla 25X25</t>
  </si>
  <si>
    <t>Arena Fina</t>
  </si>
  <si>
    <t>Grava</t>
  </si>
  <si>
    <t xml:space="preserve">Cajas Puntillas </t>
  </si>
  <si>
    <t>Tubo Alcantarillado</t>
  </si>
  <si>
    <t>Ladrillo Limpio</t>
  </si>
  <si>
    <t>Arena</t>
  </si>
  <si>
    <t>Cal Agricola</t>
  </si>
  <si>
    <t>EXP</t>
  </si>
  <si>
    <t>Varrillas Corrug</t>
  </si>
  <si>
    <t>Lamina Blanco</t>
  </si>
  <si>
    <t>Omega</t>
  </si>
  <si>
    <t>Viqueta</t>
  </si>
  <si>
    <t>Perimetral P.paloma</t>
  </si>
  <si>
    <t>Tornillo estructura</t>
  </si>
  <si>
    <t>Tornillo cublent</t>
  </si>
  <si>
    <t>Caja Hexagonal</t>
  </si>
  <si>
    <t>Cunaleta 20X12</t>
  </si>
  <si>
    <t>Caja Sub</t>
  </si>
  <si>
    <t>Cinta Negra X18mt</t>
  </si>
  <si>
    <t>Punta Estna</t>
  </si>
  <si>
    <t>Chazo 1/4 con tornillo</t>
  </si>
  <si>
    <t>Super board 4m</t>
  </si>
  <si>
    <t>Tubos 3/4</t>
  </si>
  <si>
    <t>Curuas 3/4</t>
  </si>
  <si>
    <t>Tubos 2</t>
  </si>
  <si>
    <t>Uniones 2</t>
  </si>
  <si>
    <t>Lavadero 90X60</t>
  </si>
  <si>
    <t>Ducha electrica</t>
  </si>
  <si>
    <t>Soldadura blanca Delg</t>
  </si>
  <si>
    <t>Cuerpo Andamios</t>
  </si>
  <si>
    <t>D corte metal</t>
  </si>
  <si>
    <t>Dia Alquiler manta</t>
  </si>
  <si>
    <t>Manija</t>
  </si>
  <si>
    <t>Fluid</t>
  </si>
  <si>
    <t>Teja Importada</t>
  </si>
  <si>
    <t>Tubo 2X2 C-14</t>
  </si>
  <si>
    <t>Tubo 2X2 C-18</t>
  </si>
  <si>
    <t>TUBO 2X2C-16</t>
  </si>
  <si>
    <t>Union 3</t>
  </si>
  <si>
    <t>B. Cementos argos</t>
  </si>
  <si>
    <t>Varilla Roscurda 3/8</t>
  </si>
  <si>
    <t>Arandela 3/8</t>
  </si>
  <si>
    <t>Tuerca 3/8</t>
  </si>
  <si>
    <t>Teja Zinc imp 3mt</t>
  </si>
  <si>
    <t>Corta</t>
  </si>
  <si>
    <t>Tubo 2X1 C-16</t>
  </si>
  <si>
    <t>TUBO 4X1/2 C-16</t>
  </si>
  <si>
    <t>Teja trapet</t>
  </si>
  <si>
    <t>Tornillo techo</t>
  </si>
  <si>
    <t>Esmalte negro</t>
  </si>
  <si>
    <t>Botella Tinner</t>
  </si>
  <si>
    <t xml:space="preserve">Soldadura </t>
  </si>
  <si>
    <t>Disco Corte 7</t>
  </si>
  <si>
    <t>Angulo</t>
  </si>
  <si>
    <t>60X1/8</t>
  </si>
  <si>
    <t>Soldadura</t>
  </si>
  <si>
    <t xml:space="preserve">Tubo </t>
  </si>
  <si>
    <t>Tubo</t>
  </si>
  <si>
    <t>Anticorr</t>
  </si>
  <si>
    <t>Galon tinner</t>
  </si>
  <si>
    <t>Costal con Balasino</t>
  </si>
  <si>
    <t>Lamina Superboard</t>
  </si>
  <si>
    <t>Bastidor</t>
  </si>
  <si>
    <t>Amarras pequeñas</t>
  </si>
  <si>
    <t>Teja Azul 305</t>
  </si>
  <si>
    <t>Tela Construccion</t>
  </si>
  <si>
    <t>Brocas Lamina</t>
  </si>
  <si>
    <t>Tornillo</t>
  </si>
  <si>
    <t>Monteredondo</t>
  </si>
  <si>
    <t>X</t>
  </si>
  <si>
    <t>Y</t>
  </si>
  <si>
    <t>Segmentos (KM)</t>
  </si>
  <si>
    <t>Valor del transporte/KM</t>
  </si>
  <si>
    <t>La Zulia 1</t>
  </si>
  <si>
    <t>Tierras blancas</t>
  </si>
  <si>
    <t>La recta</t>
  </si>
  <si>
    <t>La Zulia 3</t>
  </si>
  <si>
    <t>La Zulia 2</t>
  </si>
  <si>
    <t>Cositas ricas</t>
  </si>
  <si>
    <t>Pa la chingada</t>
  </si>
  <si>
    <t>Mirador Bellavista</t>
  </si>
  <si>
    <t>Campamento Salomon</t>
  </si>
  <si>
    <t>Chipre</t>
  </si>
  <si>
    <t>Tocota</t>
  </si>
  <si>
    <t>El diviso</t>
  </si>
  <si>
    <t>Bahondo</t>
  </si>
  <si>
    <t>Tortolas</t>
  </si>
  <si>
    <t>La clorinda</t>
  </si>
  <si>
    <t>El bosque</t>
  </si>
  <si>
    <t>Los bomberos</t>
  </si>
  <si>
    <t>Agua Sucia</t>
  </si>
  <si>
    <t>El Carmelo</t>
  </si>
  <si>
    <t>Altos de las Tortolas</t>
  </si>
  <si>
    <t>San Miguel</t>
  </si>
  <si>
    <t>El palmar</t>
  </si>
  <si>
    <t>KM 37</t>
  </si>
  <si>
    <t>San Fernando</t>
  </si>
  <si>
    <t>KM 40</t>
  </si>
  <si>
    <t>Fecha</t>
  </si>
  <si>
    <t>Total de envios</t>
  </si>
  <si>
    <t>Valor</t>
  </si>
  <si>
    <t>Nombre</t>
  </si>
  <si>
    <t>Agua Sucia</t>
  </si>
  <si>
    <t>Altos tortolas</t>
  </si>
  <si>
    <t>El Carmelo</t>
  </si>
  <si>
    <t>La Clorinda</t>
  </si>
  <si>
    <t>Los bomberos</t>
  </si>
  <si>
    <t>El Bosque</t>
  </si>
  <si>
    <t>KM 37</t>
  </si>
  <si>
    <t>Parcelacion San Fernando</t>
  </si>
  <si>
    <t>KM 40</t>
  </si>
  <si>
    <t>Parcelación Monte Rico</t>
  </si>
  <si>
    <t>El Palmar</t>
  </si>
  <si>
    <t>El Diviso</t>
  </si>
  <si>
    <t>La Zulia 1</t>
  </si>
  <si>
    <t>La Zulia 2</t>
  </si>
  <si>
    <t>La Zulia 3</t>
  </si>
  <si>
    <t>Parcelación Pirineos</t>
  </si>
  <si>
    <t>La recta</t>
  </si>
  <si>
    <t>San miguel</t>
  </si>
  <si>
    <t>Tierras blancas</t>
  </si>
  <si>
    <t>Pa la chingada</t>
  </si>
  <si>
    <t>Cositas ricas</t>
  </si>
  <si>
    <t>Numero de envios</t>
  </si>
  <si>
    <t>Valor envio</t>
  </si>
  <si>
    <t>Promedio</t>
  </si>
  <si>
    <t>Pirineos</t>
  </si>
  <si>
    <t>Distancia (KM)</t>
  </si>
  <si>
    <t>Valor Tran</t>
  </si>
  <si>
    <t>%</t>
  </si>
  <si>
    <t>KM 25</t>
  </si>
  <si>
    <t>Distancia total ida y vuelta</t>
  </si>
  <si>
    <t>Altos del Carmen</t>
  </si>
  <si>
    <t>Carmen</t>
  </si>
  <si>
    <t>San Jose del Salado</t>
  </si>
  <si>
    <t>El Coscorron</t>
  </si>
  <si>
    <t>Parcelacion la Cristalina</t>
  </si>
  <si>
    <t>Total de transportes</t>
  </si>
  <si>
    <t>Valor total de transporte</t>
  </si>
  <si>
    <t>COSTEO ABC – ACTIVITY BASED COSTING · TRIPLE AAA</t>
  </si>
  <si>
    <t>Metodología: Kaplan &amp; Cooper (1998) adaptada a transporte PYME colombiano (Mora García, 2008)</t>
  </si>
  <si>
    <t>DRIVER 1 – COSTOS POR ACTIVIDAD DE VIAJE</t>
  </si>
  <si>
    <t>Rubro</t>
  </si>
  <si>
    <t>Monto Mensual</t>
  </si>
  <si>
    <t>Clasificación</t>
  </si>
  <si>
    <t>Justificación</t>
  </si>
  <si>
    <t>Conductor – salario+prest. (2)</t>
  </si>
  <si>
    <t>Costo Fijo</t>
  </si>
  <si>
    <t>Personal debe pagarse cada mes</t>
  </si>
  <si>
    <t>Ayudante – salario+prest. (2)</t>
  </si>
  <si>
    <t>Bocato</t>
  </si>
  <si>
    <t>Minicargador</t>
  </si>
  <si>
    <t>TOTAL COSTOS FIJOS (Driver 1)</t>
  </si>
  <si>
    <t>67.13% del total</t>
  </si>
  <si>
    <t>÷ Viajes estimados al mes</t>
  </si>
  <si>
    <t>Envios en el mes de noviembre</t>
  </si>
  <si>
    <t>CF POR VIAJE (costo fijo de salir una vez)</t>
  </si>
  <si>
    <t>DRIVER 2 – COSTOS POR KM RECORRIDO (variables con la distancia)</t>
  </si>
  <si>
    <t>ACPM / Diesel (2 vehículos)</t>
  </si>
  <si>
    <t>Costo Variable</t>
  </si>
  <si>
    <t>A mayor km, mayor consumo</t>
  </si>
  <si>
    <t>Mantenimiento (2 vehículos)</t>
  </si>
  <si>
    <t>Semi-Variable</t>
  </si>
  <si>
    <t>Se intensifica con el uso del vehículo</t>
  </si>
  <si>
    <t>TOTAL COSTOS VARIABLES (Driver 2)</t>
  </si>
  <si>
    <t>32.87% del total</t>
  </si>
  <si>
    <t>21% son costos VARIABLES — crecen con los km recorridos</t>
  </si>
  <si>
    <t>× Km promedio por viaje (solo ida)</t>
  </si>
  <si>
    <t>Promedio calculado de la base de noviembre</t>
  </si>
  <si>
    <t>× Factor 2 (vehículo regresa vacío desde destino)</t>
  </si>
  <si>
    <t>Km totales recorridos al mes</t>
  </si>
  <si>
    <t>CV POR KM (costo variable por cada km adicional)</t>
  </si>
  <si>
    <t>Por cada km extra de distancia, este es el costo adicional</t>
  </si>
  <si>
    <t>RESUMEN ABC – FÓRMULA DE COSTO POR ENVÍO</t>
  </si>
  <si>
    <t>Ingrese la distancia del envío (km ida)</t>
  </si>
  <si>
    <t>← Ejemplo: Limonar 5.5 km</t>
  </si>
  <si>
    <t>Peso estimado del envío (kg)</t>
  </si>
  <si>
    <t>← Ferretería: promedio estimado 45 kg</t>
  </si>
  <si>
    <t>Factor peso (recargo si &gt;50 kg)</t>
  </si>
  <si>
    <t>Mora García (2008): recargo proporcional al exceso de peso</t>
  </si>
  <si>
    <t>Número de viajes / transportes</t>
  </si>
  <si>
    <t>Componente 1 – Costo fijo del viaje</t>
  </si>
  <si>
    <t>CF/viaje × número de transportes</t>
  </si>
  <si>
    <t>Componente 2 – Costo variable por km</t>
  </si>
  <si>
    <t>CV/km × distancia×2 × factor peso × transportes</t>
  </si>
  <si>
    <t>COSTO ABC TOTAL DEL ENVÍO</t>
  </si>
  <si>
    <t>Kaplan &amp; Cooper: suma de todos los drivers de costo</t>
  </si>
  <si>
    <t>VLR. Transporte unitario</t>
  </si>
  <si>
    <t>Costo fijo</t>
  </si>
  <si>
    <t>Costo Total</t>
  </si>
  <si>
    <t>Ganancia/Perdida</t>
  </si>
  <si>
    <t>Numero de Facturas</t>
  </si>
  <si>
    <t xml:space="preserve">Margen </t>
  </si>
  <si>
    <t>Margen de productos</t>
  </si>
  <si>
    <t>Perdida o ganancia de margen</t>
  </si>
  <si>
    <t>2025-11-15</t>
  </si>
  <si>
    <t>Edilson Vargas</t>
  </si>
  <si>
    <t>2025-11-26</t>
  </si>
  <si>
    <t>Luis Fernando</t>
  </si>
  <si>
    <t>2025-11-29</t>
  </si>
  <si>
    <t>San miguel</t>
  </si>
  <si>
    <t>2025-11-04</t>
  </si>
  <si>
    <t>2025-11-18</t>
  </si>
  <si>
    <t>Robinson Muñoz</t>
  </si>
  <si>
    <t>2025-11-17</t>
  </si>
  <si>
    <t>2025-11-25</t>
  </si>
  <si>
    <t>2025-11-06</t>
  </si>
  <si>
    <t>Viviana Torres</t>
  </si>
  <si>
    <t>2025-11-13</t>
  </si>
  <si>
    <t>Olga Patricia</t>
  </si>
  <si>
    <t>2025-11-01</t>
  </si>
  <si>
    <t>2025-11-21</t>
  </si>
  <si>
    <t>Gloria Amparo</t>
  </si>
  <si>
    <t>Km 28</t>
  </si>
  <si>
    <t>Antonio Jimenez</t>
  </si>
  <si>
    <t>Altos tortolas</t>
  </si>
  <si>
    <t>2025-11-11</t>
  </si>
  <si>
    <t>Esperanza Ortega</t>
  </si>
  <si>
    <t>Diana Mosquera</t>
  </si>
  <si>
    <t>El Diviso</t>
  </si>
  <si>
    <t>Maria Del Carmen</t>
  </si>
  <si>
    <t>2025-11-20</t>
  </si>
  <si>
    <t>Amparo Rodriguez</t>
  </si>
  <si>
    <t>2025-11-08</t>
  </si>
  <si>
    <t>2025-11-12</t>
  </si>
  <si>
    <t>El Bosque</t>
  </si>
  <si>
    <t>Soraya Vargas</t>
  </si>
  <si>
    <t>Parcelacion San Fernando</t>
  </si>
  <si>
    <t>2025-11-22</t>
  </si>
  <si>
    <t>2025-11-27</t>
  </si>
  <si>
    <t>Cecilia Morales</t>
  </si>
  <si>
    <t>Mario Duran</t>
  </si>
  <si>
    <t>2025-11-10</t>
  </si>
  <si>
    <t>2025-11-05</t>
  </si>
  <si>
    <t>2025-11-07</t>
  </si>
  <si>
    <t>La Clorinda</t>
  </si>
  <si>
    <t>2025-11-24</t>
  </si>
  <si>
    <t>Parcelación Pirineos</t>
  </si>
  <si>
    <t>2025-11-28</t>
  </si>
  <si>
    <t>Parcelación Monte Rico</t>
  </si>
  <si>
    <t xml:space="preserve">Nombre </t>
  </si>
  <si>
    <t>Distancia</t>
  </si>
  <si>
    <t>El queremal</t>
  </si>
  <si>
    <t>Palo alto</t>
  </si>
  <si>
    <t>Azul y verde</t>
  </si>
  <si>
    <t xml:space="preserve">Las villas del carmen </t>
  </si>
  <si>
    <t xml:space="preserve">Parcelaón las palmas </t>
  </si>
  <si>
    <t xml:space="preserve">KM 24 </t>
  </si>
  <si>
    <t xml:space="preserve">Finca la cristalina </t>
  </si>
  <si>
    <t>La bomba</t>
  </si>
  <si>
    <t>Parcelación Monterico</t>
  </si>
  <si>
    <t>Parcelación El bosque</t>
  </si>
  <si>
    <t>El limonar</t>
  </si>
  <si>
    <t>El parque</t>
  </si>
  <si>
    <t>KM 26</t>
  </si>
  <si>
    <t>MK 26</t>
  </si>
  <si>
    <t>KM 28</t>
  </si>
  <si>
    <t>KM 27</t>
  </si>
  <si>
    <t>Parcelación Ambichinte</t>
  </si>
  <si>
    <t xml:space="preserve">Salida al carmen </t>
  </si>
  <si>
    <t xml:space="preserve">Parcelación Ambichinte </t>
  </si>
  <si>
    <t>Villa del toro</t>
  </si>
  <si>
    <t>La florida</t>
  </si>
  <si>
    <t xml:space="preserve">Casa verde </t>
  </si>
  <si>
    <t>Casa verde</t>
  </si>
  <si>
    <t xml:space="preserve">La cabaña </t>
  </si>
  <si>
    <t>Villa emilia</t>
  </si>
  <si>
    <t>El chiringuito</t>
  </si>
  <si>
    <t>El chilcal</t>
  </si>
  <si>
    <t>Panamericano</t>
  </si>
  <si>
    <t xml:space="preserve">Las playas </t>
  </si>
  <si>
    <t xml:space="preserve">Saliendo del carmen </t>
  </si>
  <si>
    <t>Villa saman</t>
  </si>
  <si>
    <t xml:space="preserve">Villahermosa </t>
  </si>
  <si>
    <t>VillaHermosa</t>
  </si>
  <si>
    <t>Valor promedio de transporte por corregimiento</t>
  </si>
  <si>
    <t>Distancia Promedio por corregimiento</t>
  </si>
  <si>
    <t>Perdida promedio de margen</t>
  </si>
  <si>
    <t>Valor promedio del costo calculo con ABC</t>
  </si>
  <si>
    <t>Columna1</t>
  </si>
  <si>
    <t>Ubicación</t>
  </si>
  <si>
    <t>Envios</t>
  </si>
  <si>
    <t>Total valor del transporte</t>
  </si>
  <si>
    <t>Total de venta</t>
  </si>
  <si>
    <t>Valor promedio de transporte</t>
  </si>
  <si>
    <t>G/P promedio Margen</t>
  </si>
  <si>
    <t>Lugar</t>
  </si>
  <si>
    <t>Palo Alto</t>
  </si>
  <si>
    <t>Parcelacion la cristalina</t>
  </si>
  <si>
    <t>Altos de las tortolas</t>
  </si>
  <si>
    <t>Villa Saman</t>
  </si>
  <si>
    <t>san miguel</t>
  </si>
  <si>
    <t>Km 26</t>
  </si>
  <si>
    <t>Km 27</t>
  </si>
  <si>
    <t>Km 25</t>
  </si>
  <si>
    <t>cositas ricas</t>
  </si>
  <si>
    <t>Agua sucia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</si>
</sst>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??_-;_-@_-"/>
    <numFmt numFmtId="167" formatCode="0.000"/>
    <numFmt numFmtId="168" formatCode="\$#,##0;&quot;($&quot;#,##0\);\-"/>
    <numFmt numFmtId="169" formatCode="#,##0;\(#,##0\);\-"/>
    <numFmt numFmtId="170" formatCode="0.0&quot; km&quot;"/>
    <numFmt numFmtId="171" formatCode="0\x"/>
    <numFmt numFmtId="172" formatCode="#,##0&quot; km/mes&quot;"/>
    <numFmt numFmtId="173" formatCode="\$#,##0&quot;/km&quot;"/>
    <numFmt numFmtId="174" formatCode="0&quot; kg&quot;"/>
    <numFmt numFmtId="175" formatCode="0.000\x"/>
    <numFmt numFmtId="176" formatCode="dd/mm/yyyy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3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37474F"/>
      <name val="Calibri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0"/>
      <color rgb="FF434343"/>
      <name val="Roboto"/>
    </font>
    <font>
      <b/>
      <sz val="9"/>
      <color theme="6"/>
      <name val="Aptos Display"/>
      <family val="2"/>
      <scheme val="major"/>
    </font>
    <font>
      <sz val="10"/>
      <color theme="9" tint="-0.249977111117893"/>
      <name val="Arial"/>
      <family val="2"/>
    </font>
    <font>
      <sz val="11"/>
      <name val="Aptos Narrow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FFFFFF"/>
      <name val="Calibri"/>
      <family val="2"/>
    </font>
    <font>
      <sz val="10"/>
      <color rgb="FFFFFFFF"/>
      <name val="Calibri"/>
      <family val="2"/>
    </font>
    <font>
      <sz val="9"/>
      <color rgb="FFFFFFFF"/>
      <name val="Calibri"/>
      <family val="2"/>
    </font>
    <font>
      <b/>
      <sz val="11"/>
      <color rgb="FF0000FF"/>
      <name val="Calibri"/>
      <family val="2"/>
    </font>
    <font>
      <sz val="9"/>
      <color rgb="FF0000FF"/>
      <name val="Calibri"/>
      <family val="2"/>
    </font>
    <font>
      <sz val="10"/>
      <color rgb="FF555555"/>
      <name val="Calibri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FFF176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117A65"/>
        <bgColor rgb="FF008080"/>
      </patternFill>
    </fill>
    <fill>
      <patternFill patternType="solid">
        <fgColor rgb="FF003366"/>
        <bgColor rgb="FF2C3E50"/>
      </patternFill>
    </fill>
    <fill>
      <patternFill patternType="solid">
        <fgColor rgb="FF5B2C6F"/>
        <bgColor rgb="FF444444"/>
      </patternFill>
    </fill>
    <fill>
      <patternFill patternType="solid">
        <fgColor rgb="FF2C3E50"/>
        <bgColor rgb="FF333333"/>
      </patternFill>
    </fill>
    <fill>
      <patternFill patternType="solid">
        <fgColor rgb="FFFFFFFF"/>
        <bgColor rgb="FFF8F9FA"/>
      </patternFill>
    </fill>
    <fill>
      <patternFill patternType="solid">
        <fgColor rgb="FFE8DAEF"/>
        <bgColor rgb="FFFADBD8"/>
      </patternFill>
    </fill>
    <fill>
      <patternFill patternType="solid">
        <fgColor rgb="FFF2F2F2"/>
        <bgColor rgb="FFF0F4FF"/>
      </patternFill>
    </fill>
    <fill>
      <patternFill patternType="solid">
        <fgColor rgb="FFD6EAF8"/>
        <bgColor rgb="FFD1F2EB"/>
      </patternFill>
    </fill>
    <fill>
      <patternFill patternType="solid">
        <fgColor rgb="FFD1F2EB"/>
        <bgColor rgb="FFD5F5E3"/>
      </patternFill>
    </fill>
    <fill>
      <patternFill patternType="solid">
        <fgColor rgb="FFFDEBD0"/>
        <bgColor rgb="FFFFF3CD"/>
      </patternFill>
    </fill>
    <fill>
      <patternFill patternType="solid">
        <fgColor rgb="FFF2F7F4"/>
      </patternFill>
    </fill>
    <fill>
      <patternFill patternType="solid">
        <fgColor rgb="FFFFFFFF"/>
      </patternFill>
    </fill>
    <fill>
      <patternFill patternType="solid">
        <fgColor rgb="FF00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CCCCCC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  <border>
      <left/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0E0E0"/>
      </bottom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2" fillId="0" borderId="0" xfId="0" applyFont="1"/>
    <xf numFmtId="2" fontId="0" fillId="0" borderId="0" xfId="0" applyNumberFormat="1"/>
    <xf numFmtId="0" fontId="6" fillId="0" borderId="1" xfId="0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5" fillId="5" borderId="3" xfId="0" applyFont="1" applyFill="1" applyBorder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wrapText="1"/>
    </xf>
    <xf numFmtId="166" fontId="6" fillId="0" borderId="1" xfId="1" applyNumberFormat="1" applyFont="1" applyBorder="1" applyAlignment="1">
      <alignment horizontal="center" wrapText="1"/>
    </xf>
    <xf numFmtId="166" fontId="6" fillId="0" borderId="4" xfId="1" applyNumberFormat="1" applyFont="1" applyBorder="1" applyAlignment="1">
      <alignment horizontal="center" wrapText="1"/>
    </xf>
    <xf numFmtId="14" fontId="0" fillId="0" borderId="0" xfId="0" applyNumberFormat="1"/>
    <xf numFmtId="14" fontId="8" fillId="8" borderId="5" xfId="0" applyNumberFormat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vertical="center" wrapText="1"/>
    </xf>
    <xf numFmtId="164" fontId="8" fillId="8" borderId="5" xfId="0" applyNumberFormat="1" applyFont="1" applyFill="1" applyBorder="1" applyAlignment="1">
      <alignment horizontal="center" vertical="center" wrapText="1"/>
    </xf>
    <xf numFmtId="14" fontId="8" fillId="9" borderId="6" xfId="0" applyNumberFormat="1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vertical="center" wrapText="1"/>
    </xf>
    <xf numFmtId="164" fontId="8" fillId="9" borderId="6" xfId="0" applyNumberFormat="1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 wrapText="1"/>
    </xf>
    <xf numFmtId="0" fontId="4" fillId="7" borderId="11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 wrapText="1"/>
    </xf>
    <xf numFmtId="14" fontId="8" fillId="8" borderId="14" xfId="0" applyNumberFormat="1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vertical="center" wrapText="1"/>
    </xf>
    <xf numFmtId="164" fontId="8" fillId="8" borderId="14" xfId="0" applyNumberFormat="1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 wrapText="1"/>
    </xf>
    <xf numFmtId="165" fontId="0" fillId="0" borderId="0" xfId="1" applyFont="1"/>
    <xf numFmtId="2" fontId="0" fillId="0" borderId="0" xfId="1" applyNumberFormat="1" applyFont="1"/>
    <xf numFmtId="14" fontId="0" fillId="0" borderId="0" xfId="0" applyNumberForma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0" fontId="8" fillId="11" borderId="7" xfId="0" applyFont="1" applyFill="1" applyBorder="1" applyAlignment="1">
      <alignment horizontal="center" vertical="center" wrapText="1"/>
    </xf>
    <xf numFmtId="14" fontId="8" fillId="11" borderId="5" xfId="0" applyNumberFormat="1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/>
    </xf>
    <xf numFmtId="164" fontId="8" fillId="11" borderId="5" xfId="0" applyNumberFormat="1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0" fillId="11" borderId="0" xfId="0" applyFill="1"/>
    <xf numFmtId="0" fontId="8" fillId="11" borderId="8" xfId="0" applyFont="1" applyFill="1" applyBorder="1" applyAlignment="1">
      <alignment horizontal="center" vertical="center" wrapText="1"/>
    </xf>
    <xf numFmtId="14" fontId="8" fillId="11" borderId="6" xfId="0" applyNumberFormat="1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center" vertical="center"/>
    </xf>
    <xf numFmtId="164" fontId="8" fillId="11" borderId="6" xfId="0" applyNumberFormat="1" applyFont="1" applyFill="1" applyBorder="1" applyAlignment="1">
      <alignment horizontal="center" vertical="center" wrapText="1"/>
    </xf>
    <xf numFmtId="166" fontId="6" fillId="0" borderId="4" xfId="0" applyNumberFormat="1" applyFont="1" applyBorder="1" applyAlignment="1">
      <alignment horizontal="center" wrapText="1"/>
    </xf>
    <xf numFmtId="166" fontId="6" fillId="0" borderId="1" xfId="0" applyNumberFormat="1" applyFont="1" applyBorder="1" applyAlignment="1">
      <alignment horizontal="center" wrapText="1"/>
    </xf>
    <xf numFmtId="166" fontId="6" fillId="0" borderId="1" xfId="0" applyNumberFormat="1" applyFont="1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7" fillId="12" borderId="24" xfId="0" applyFont="1" applyFill="1" applyBorder="1" applyAlignment="1">
      <alignment horizontal="center"/>
    </xf>
    <xf numFmtId="0" fontId="7" fillId="12" borderId="25" xfId="0" applyFont="1" applyFill="1" applyBorder="1" applyAlignment="1">
      <alignment horizontal="center"/>
    </xf>
    <xf numFmtId="0" fontId="7" fillId="12" borderId="26" xfId="0" applyFont="1" applyFill="1" applyBorder="1" applyAlignment="1">
      <alignment horizontal="center"/>
    </xf>
    <xf numFmtId="165" fontId="6" fillId="0" borderId="1" xfId="1" applyFont="1" applyBorder="1" applyAlignment="1">
      <alignment horizontal="center" wrapText="1"/>
    </xf>
    <xf numFmtId="0" fontId="11" fillId="0" borderId="0" xfId="0" applyFont="1"/>
    <xf numFmtId="49" fontId="4" fillId="3" borderId="3" xfId="0" applyNumberFormat="1" applyFont="1" applyFill="1" applyBorder="1" applyAlignment="1">
      <alignment horizontal="center" wrapText="1"/>
    </xf>
    <xf numFmtId="49" fontId="6" fillId="0" borderId="4" xfId="0" applyNumberFormat="1" applyFont="1" applyBorder="1" applyAlignment="1">
      <alignment horizontal="center" wrapText="1"/>
    </xf>
    <xf numFmtId="167" fontId="0" fillId="0" borderId="0" xfId="1" applyNumberFormat="1" applyFont="1"/>
    <xf numFmtId="165" fontId="1" fillId="0" borderId="0" xfId="1" applyFont="1"/>
    <xf numFmtId="166" fontId="6" fillId="0" borderId="4" xfId="0" applyNumberFormat="1" applyFont="1" applyBorder="1" applyAlignment="1">
      <alignment wrapText="1"/>
    </xf>
    <xf numFmtId="10" fontId="0" fillId="0" borderId="0" xfId="2" applyNumberFormat="1" applyFont="1"/>
    <xf numFmtId="0" fontId="0" fillId="0" borderId="0" xfId="0" applyAlignment="1">
      <alignment wrapText="1"/>
    </xf>
    <xf numFmtId="167" fontId="0" fillId="0" borderId="0" xfId="0" applyNumberFormat="1"/>
    <xf numFmtId="0" fontId="6" fillId="11" borderId="4" xfId="0" applyFont="1" applyFill="1" applyBorder="1" applyAlignment="1">
      <alignment horizontal="center" wrapText="1"/>
    </xf>
    <xf numFmtId="14" fontId="6" fillId="11" borderId="4" xfId="0" applyNumberFormat="1" applyFont="1" applyFill="1" applyBorder="1" applyAlignment="1">
      <alignment horizontal="center" wrapText="1"/>
    </xf>
    <xf numFmtId="0" fontId="6" fillId="11" borderId="1" xfId="0" applyFont="1" applyFill="1" applyBorder="1" applyAlignment="1">
      <alignment horizontal="center" wrapText="1"/>
    </xf>
    <xf numFmtId="0" fontId="6" fillId="11" borderId="4" xfId="0" applyFont="1" applyFill="1" applyBorder="1" applyAlignment="1">
      <alignment wrapText="1"/>
    </xf>
    <xf numFmtId="166" fontId="6" fillId="11" borderId="4" xfId="1" applyNumberFormat="1" applyFont="1" applyFill="1" applyBorder="1" applyAlignment="1">
      <alignment horizontal="center" wrapText="1"/>
    </xf>
    <xf numFmtId="166" fontId="6" fillId="11" borderId="1" xfId="1" applyNumberFormat="1" applyFont="1" applyFill="1" applyBorder="1" applyAlignment="1">
      <alignment horizontal="center" wrapText="1"/>
    </xf>
    <xf numFmtId="166" fontId="6" fillId="11" borderId="4" xfId="0" applyNumberFormat="1" applyFont="1" applyFill="1" applyBorder="1" applyAlignment="1">
      <alignment wrapText="1"/>
    </xf>
    <xf numFmtId="14" fontId="6" fillId="11" borderId="1" xfId="0" applyNumberFormat="1" applyFont="1" applyFill="1" applyBorder="1" applyAlignment="1">
      <alignment horizontal="center" wrapText="1"/>
    </xf>
    <xf numFmtId="0" fontId="6" fillId="11" borderId="1" xfId="0" applyFont="1" applyFill="1" applyBorder="1" applyAlignment="1">
      <alignment wrapText="1"/>
    </xf>
    <xf numFmtId="166" fontId="6" fillId="11" borderId="1" xfId="0" applyNumberFormat="1" applyFont="1" applyFill="1" applyBorder="1" applyAlignment="1">
      <alignment wrapText="1"/>
    </xf>
    <xf numFmtId="166" fontId="6" fillId="11" borderId="1" xfId="0" applyNumberFormat="1" applyFont="1" applyFill="1" applyBorder="1" applyAlignment="1">
      <alignment horizontal="center" wrapText="1"/>
    </xf>
    <xf numFmtId="167" fontId="0" fillId="0" borderId="0" xfId="0" applyNumberFormat="1" applyAlignment="1">
      <alignment wrapText="1"/>
    </xf>
    <xf numFmtId="0" fontId="13" fillId="17" borderId="28" xfId="0" applyFont="1" applyFill="1" applyBorder="1" applyAlignment="1">
      <alignment horizontal="center" vertical="center"/>
    </xf>
    <xf numFmtId="0" fontId="14" fillId="18" borderId="28" xfId="0" applyFont="1" applyFill="1" applyBorder="1" applyAlignment="1">
      <alignment horizontal="left" vertical="center"/>
    </xf>
    <xf numFmtId="168" fontId="14" fillId="18" borderId="28" xfId="0" applyNumberFormat="1" applyFont="1" applyFill="1" applyBorder="1" applyAlignment="1">
      <alignment horizontal="right" vertical="center"/>
    </xf>
    <xf numFmtId="0" fontId="15" fillId="19" borderId="28" xfId="0" applyFont="1" applyFill="1" applyBorder="1" applyAlignment="1">
      <alignment horizontal="center" vertical="center"/>
    </xf>
    <xf numFmtId="0" fontId="16" fillId="18" borderId="28" xfId="0" applyFont="1" applyFill="1" applyBorder="1" applyAlignment="1">
      <alignment horizontal="left" vertical="center"/>
    </xf>
    <xf numFmtId="0" fontId="14" fillId="20" borderId="28" xfId="0" applyFont="1" applyFill="1" applyBorder="1" applyAlignment="1">
      <alignment horizontal="left" vertical="center"/>
    </xf>
    <xf numFmtId="168" fontId="14" fillId="20" borderId="28" xfId="0" applyNumberFormat="1" applyFont="1" applyFill="1" applyBorder="1" applyAlignment="1">
      <alignment horizontal="right" vertical="center"/>
    </xf>
    <xf numFmtId="0" fontId="12" fillId="16" borderId="28" xfId="0" applyFont="1" applyFill="1" applyBorder="1" applyAlignment="1">
      <alignment horizontal="left" vertical="center"/>
    </xf>
    <xf numFmtId="168" fontId="17" fillId="16" borderId="28" xfId="0" applyNumberFormat="1" applyFont="1" applyFill="1" applyBorder="1" applyAlignment="1">
      <alignment horizontal="right" vertical="center"/>
    </xf>
    <xf numFmtId="0" fontId="18" fillId="16" borderId="28" xfId="0" applyFont="1" applyFill="1" applyBorder="1" applyAlignment="1">
      <alignment horizontal="center" vertical="center"/>
    </xf>
    <xf numFmtId="0" fontId="19" fillId="16" borderId="28" xfId="0" applyFont="1" applyFill="1" applyBorder="1" applyAlignment="1">
      <alignment horizontal="left" vertical="center"/>
    </xf>
    <xf numFmtId="0" fontId="14" fillId="21" borderId="28" xfId="0" applyFont="1" applyFill="1" applyBorder="1" applyAlignment="1">
      <alignment horizontal="left" vertical="center"/>
    </xf>
    <xf numFmtId="169" fontId="20" fillId="21" borderId="28" xfId="0" applyNumberFormat="1" applyFont="1" applyFill="1" applyBorder="1" applyAlignment="1">
      <alignment horizontal="right" vertical="center"/>
    </xf>
    <xf numFmtId="0" fontId="21" fillId="21" borderId="28" xfId="0" applyFont="1" applyFill="1" applyBorder="1" applyAlignment="1">
      <alignment horizontal="left" vertical="center"/>
    </xf>
    <xf numFmtId="0" fontId="16" fillId="21" borderId="28" xfId="0" applyFont="1" applyFill="1" applyBorder="1" applyAlignment="1">
      <alignment horizontal="left" vertical="center"/>
    </xf>
    <xf numFmtId="0" fontId="12" fillId="15" borderId="28" xfId="0" applyFont="1" applyFill="1" applyBorder="1" applyAlignment="1">
      <alignment horizontal="left" vertical="center"/>
    </xf>
    <xf numFmtId="168" fontId="3" fillId="16" borderId="28" xfId="0" applyNumberFormat="1" applyFont="1" applyFill="1" applyBorder="1" applyAlignment="1">
      <alignment horizontal="right" vertical="center"/>
    </xf>
    <xf numFmtId="0" fontId="15" fillId="22" borderId="28" xfId="0" applyFont="1" applyFill="1" applyBorder="1" applyAlignment="1">
      <alignment horizontal="center" vertical="center"/>
    </xf>
    <xf numFmtId="0" fontId="16" fillId="20" borderId="28" xfId="0" applyFont="1" applyFill="1" applyBorder="1" applyAlignment="1">
      <alignment horizontal="left" vertical="center"/>
    </xf>
    <xf numFmtId="0" fontId="12" fillId="14" borderId="28" xfId="0" applyFont="1" applyFill="1" applyBorder="1" applyAlignment="1">
      <alignment horizontal="left" vertical="center"/>
    </xf>
    <xf numFmtId="168" fontId="17" fillId="14" borderId="28" xfId="0" applyNumberFormat="1" applyFont="1" applyFill="1" applyBorder="1" applyAlignment="1">
      <alignment horizontal="right" vertical="center"/>
    </xf>
    <xf numFmtId="0" fontId="18" fillId="14" borderId="28" xfId="0" applyFont="1" applyFill="1" applyBorder="1" applyAlignment="1">
      <alignment horizontal="center" vertical="center"/>
    </xf>
    <xf numFmtId="0" fontId="19" fillId="14" borderId="28" xfId="0" applyFont="1" applyFill="1" applyBorder="1" applyAlignment="1">
      <alignment horizontal="left" vertical="center"/>
    </xf>
    <xf numFmtId="170" fontId="20" fillId="21" borderId="28" xfId="0" applyNumberFormat="1" applyFont="1" applyFill="1" applyBorder="1" applyAlignment="1">
      <alignment horizontal="right" vertical="center"/>
    </xf>
    <xf numFmtId="0" fontId="22" fillId="20" borderId="28" xfId="0" applyFont="1" applyFill="1" applyBorder="1" applyAlignment="1">
      <alignment horizontal="left" vertical="center"/>
    </xf>
    <xf numFmtId="171" fontId="14" fillId="20" borderId="28" xfId="0" applyNumberFormat="1" applyFont="1" applyFill="1" applyBorder="1" applyAlignment="1">
      <alignment horizontal="right" vertical="center"/>
    </xf>
    <xf numFmtId="0" fontId="15" fillId="20" borderId="28" xfId="0" applyFont="1" applyFill="1" applyBorder="1" applyAlignment="1">
      <alignment horizontal="left" vertical="center"/>
    </xf>
    <xf numFmtId="172" fontId="14" fillId="20" borderId="28" xfId="0" applyNumberFormat="1" applyFont="1" applyFill="1" applyBorder="1" applyAlignment="1">
      <alignment horizontal="right" vertical="center"/>
    </xf>
    <xf numFmtId="173" fontId="3" fillId="14" borderId="28" xfId="0" applyNumberFormat="1" applyFont="1" applyFill="1" applyBorder="1" applyAlignment="1">
      <alignment horizontal="right" vertical="center"/>
    </xf>
    <xf numFmtId="0" fontId="16" fillId="23" borderId="28" xfId="0" applyFont="1" applyFill="1" applyBorder="1" applyAlignment="1">
      <alignment horizontal="left" vertical="center"/>
    </xf>
    <xf numFmtId="174" fontId="20" fillId="21" borderId="28" xfId="0" applyNumberFormat="1" applyFont="1" applyFill="1" applyBorder="1" applyAlignment="1">
      <alignment horizontal="right" vertical="center"/>
    </xf>
    <xf numFmtId="175" fontId="14" fillId="20" borderId="28" xfId="0" applyNumberFormat="1" applyFont="1" applyFill="1" applyBorder="1" applyAlignment="1">
      <alignment horizontal="right" vertical="center"/>
    </xf>
    <xf numFmtId="168" fontId="3" fillId="15" borderId="28" xfId="0" applyNumberFormat="1" applyFont="1" applyFill="1" applyBorder="1" applyAlignment="1">
      <alignment horizontal="right" vertical="center"/>
    </xf>
    <xf numFmtId="0" fontId="19" fillId="15" borderId="28" xfId="0" applyFont="1" applyFill="1" applyBorder="1" applyAlignment="1">
      <alignment horizontal="left" vertical="center"/>
    </xf>
    <xf numFmtId="0" fontId="10" fillId="13" borderId="4" xfId="0" applyFont="1" applyFill="1" applyBorder="1" applyAlignment="1">
      <alignment horizontal="center" wrapText="1"/>
    </xf>
    <xf numFmtId="0" fontId="4" fillId="4" borderId="29" xfId="0" applyFont="1" applyFill="1" applyBorder="1" applyAlignment="1">
      <alignment horizontal="center" wrapText="1"/>
    </xf>
    <xf numFmtId="0" fontId="4" fillId="4" borderId="30" xfId="0" applyFont="1" applyFill="1" applyBorder="1" applyAlignment="1">
      <alignment horizontal="center" wrapText="1"/>
    </xf>
    <xf numFmtId="166" fontId="6" fillId="0" borderId="31" xfId="1" applyNumberFormat="1" applyFont="1" applyBorder="1" applyAlignment="1">
      <alignment horizontal="center" wrapText="1"/>
    </xf>
    <xf numFmtId="0" fontId="0" fillId="0" borderId="29" xfId="0" applyBorder="1"/>
    <xf numFmtId="0" fontId="0" fillId="0" borderId="29" xfId="0" applyBorder="1" applyAlignment="1">
      <alignment wrapText="1"/>
    </xf>
    <xf numFmtId="10" fontId="6" fillId="0" borderId="31" xfId="2" applyNumberFormat="1" applyFont="1" applyBorder="1" applyAlignment="1">
      <alignment horizontal="center" wrapText="1"/>
    </xf>
    <xf numFmtId="10" fontId="6" fillId="0" borderId="1" xfId="2" applyNumberFormat="1" applyFont="1" applyBorder="1" applyAlignment="1">
      <alignment horizontal="center" wrapText="1"/>
    </xf>
    <xf numFmtId="10" fontId="6" fillId="0" borderId="4" xfId="2" applyNumberFormat="1" applyFont="1" applyBorder="1" applyAlignment="1">
      <alignment horizontal="center" wrapText="1"/>
    </xf>
    <xf numFmtId="0" fontId="6" fillId="24" borderId="1" xfId="0" applyFont="1" applyFill="1" applyBorder="1" applyAlignment="1">
      <alignment horizontal="center" wrapText="1"/>
    </xf>
    <xf numFmtId="0" fontId="6" fillId="25" borderId="1" xfId="0" applyFont="1" applyFill="1" applyBorder="1" applyAlignment="1">
      <alignment horizontal="center" wrapText="1"/>
    </xf>
    <xf numFmtId="14" fontId="6" fillId="24" borderId="1" xfId="0" applyNumberFormat="1" applyFont="1" applyFill="1" applyBorder="1" applyAlignment="1">
      <alignment horizontal="center" wrapText="1"/>
    </xf>
    <xf numFmtId="14" fontId="6" fillId="25" borderId="1" xfId="0" applyNumberFormat="1" applyFont="1" applyFill="1" applyBorder="1" applyAlignment="1">
      <alignment horizontal="center" wrapText="1"/>
    </xf>
    <xf numFmtId="0" fontId="6" fillId="24" borderId="1" xfId="0" applyFont="1" applyFill="1" applyBorder="1" applyAlignment="1">
      <alignment wrapText="1"/>
    </xf>
    <xf numFmtId="0" fontId="6" fillId="25" borderId="1" xfId="0" applyFont="1" applyFill="1" applyBorder="1" applyAlignment="1">
      <alignment wrapText="1"/>
    </xf>
    <xf numFmtId="166" fontId="6" fillId="24" borderId="1" xfId="1" applyNumberFormat="1" applyFont="1" applyFill="1" applyBorder="1" applyAlignment="1">
      <alignment horizontal="center" wrapText="1"/>
    </xf>
    <xf numFmtId="166" fontId="6" fillId="25" borderId="1" xfId="1" applyNumberFormat="1" applyFont="1" applyFill="1" applyBorder="1" applyAlignment="1">
      <alignment horizontal="center" wrapText="1"/>
    </xf>
    <xf numFmtId="0" fontId="23" fillId="26" borderId="32" xfId="0" applyFont="1" applyFill="1" applyBorder="1" applyAlignment="1">
      <alignment horizontal="center" wrapText="1"/>
    </xf>
    <xf numFmtId="0" fontId="23" fillId="26" borderId="33" xfId="0" applyFont="1" applyFill="1" applyBorder="1" applyAlignment="1">
      <alignment horizontal="center" wrapText="1"/>
    </xf>
    <xf numFmtId="0" fontId="23" fillId="26" borderId="33" xfId="0" applyFont="1" applyFill="1" applyBorder="1" applyAlignment="1">
      <alignment horizontal="center" vertical="center"/>
    </xf>
    <xf numFmtId="0" fontId="24" fillId="0" borderId="34" xfId="0" applyFont="1" applyBorder="1" applyAlignment="1">
      <alignment wrapText="1"/>
    </xf>
    <xf numFmtId="0" fontId="24" fillId="0" borderId="35" xfId="0" applyFont="1" applyBorder="1" applyAlignment="1">
      <alignment horizontal="right" wrapText="1"/>
    </xf>
    <xf numFmtId="10" fontId="24" fillId="0" borderId="35" xfId="0" applyNumberFormat="1" applyFont="1" applyBorder="1" applyAlignment="1">
      <alignment horizontal="right" wrapText="1"/>
    </xf>
    <xf numFmtId="164" fontId="24" fillId="0" borderId="35" xfId="0" applyNumberFormat="1" applyFont="1" applyBorder="1" applyAlignment="1">
      <alignment wrapText="1"/>
    </xf>
    <xf numFmtId="0" fontId="24" fillId="0" borderId="36" xfId="0" applyFont="1" applyBorder="1" applyAlignment="1">
      <alignment wrapText="1"/>
    </xf>
    <xf numFmtId="0" fontId="24" fillId="0" borderId="1" xfId="0" applyFont="1" applyBorder="1" applyAlignment="1">
      <alignment horizontal="right" wrapText="1"/>
    </xf>
    <xf numFmtId="10" fontId="24" fillId="0" borderId="1" xfId="0" applyNumberFormat="1" applyFont="1" applyBorder="1" applyAlignment="1">
      <alignment horizontal="right" wrapText="1"/>
    </xf>
    <xf numFmtId="164" fontId="24" fillId="0" borderId="1" xfId="0" applyNumberFormat="1" applyFont="1" applyBorder="1" applyAlignment="1">
      <alignment wrapText="1"/>
    </xf>
    <xf numFmtId="0" fontId="7" fillId="12" borderId="24" xfId="0" applyFont="1" applyFill="1" applyBorder="1"/>
    <xf numFmtId="0" fontId="7" fillId="12" borderId="16" xfId="0" applyFont="1" applyFill="1" applyBorder="1"/>
    <xf numFmtId="0" fontId="0" fillId="0" borderId="1" xfId="0" applyBorder="1" applyAlignment="1">
      <alignment horizontal="center" wrapText="1"/>
    </xf>
    <xf numFmtId="0" fontId="7" fillId="0" borderId="0" xfId="0" applyFont="1"/>
    <xf numFmtId="0" fontId="6" fillId="24" borderId="4" xfId="0" applyFont="1" applyFill="1" applyBorder="1" applyAlignment="1">
      <alignment horizontal="center" wrapText="1"/>
    </xf>
    <xf numFmtId="14" fontId="6" fillId="24" borderId="4" xfId="0" applyNumberFormat="1" applyFont="1" applyFill="1" applyBorder="1" applyAlignment="1">
      <alignment horizontal="center" wrapText="1"/>
    </xf>
    <xf numFmtId="0" fontId="7" fillId="12" borderId="1" xfId="0" applyFont="1" applyFill="1" applyBorder="1"/>
    <xf numFmtId="0" fontId="6" fillId="0" borderId="24" xfId="0" applyFont="1" applyBorder="1" applyAlignment="1">
      <alignment horizontal="center" wrapText="1"/>
    </xf>
    <xf numFmtId="0" fontId="6" fillId="0" borderId="16" xfId="0" applyFont="1" applyBorder="1" applyAlignment="1">
      <alignment horizontal="center" wrapText="1"/>
    </xf>
    <xf numFmtId="0" fontId="6" fillId="11" borderId="24" xfId="0" applyFont="1" applyFill="1" applyBorder="1" applyAlignment="1">
      <alignment horizontal="center" wrapText="1"/>
    </xf>
    <xf numFmtId="0" fontId="7" fillId="12" borderId="4" xfId="0" applyFont="1" applyFill="1" applyBorder="1"/>
    <xf numFmtId="0" fontId="6" fillId="24" borderId="24" xfId="0" applyFont="1" applyFill="1" applyBorder="1" applyAlignment="1">
      <alignment horizontal="center" wrapText="1"/>
    </xf>
    <xf numFmtId="0" fontId="6" fillId="25" borderId="24" xfId="0" applyFont="1" applyFill="1" applyBorder="1" applyAlignment="1">
      <alignment horizontal="center" wrapText="1"/>
    </xf>
    <xf numFmtId="0" fontId="6" fillId="24" borderId="4" xfId="0" applyFont="1" applyFill="1" applyBorder="1" applyAlignment="1">
      <alignment wrapText="1"/>
    </xf>
    <xf numFmtId="166" fontId="6" fillId="24" borderId="4" xfId="1" applyNumberFormat="1" applyFont="1" applyFill="1" applyBorder="1" applyAlignment="1">
      <alignment horizontal="center" wrapText="1"/>
    </xf>
    <xf numFmtId="165" fontId="6" fillId="0" borderId="4" xfId="0" applyNumberFormat="1" applyFont="1" applyBorder="1" applyAlignment="1">
      <alignment horizontal="center" wrapText="1"/>
    </xf>
    <xf numFmtId="10" fontId="6" fillId="0" borderId="4" xfId="0" applyNumberFormat="1" applyFont="1" applyBorder="1" applyAlignment="1">
      <alignment horizontal="center" wrapText="1"/>
    </xf>
    <xf numFmtId="0" fontId="0" fillId="28" borderId="37" xfId="0" applyFill="1" applyBorder="1"/>
    <xf numFmtId="0" fontId="0" fillId="0" borderId="37" xfId="0" applyBorder="1"/>
    <xf numFmtId="176" fontId="6" fillId="0" borderId="1" xfId="0" applyNumberFormat="1" applyFont="1" applyBorder="1" applyAlignment="1">
      <alignment horizontal="center" wrapText="1"/>
    </xf>
    <xf numFmtId="176" fontId="6" fillId="0" borderId="4" xfId="0" applyNumberFormat="1" applyFont="1" applyBorder="1" applyAlignment="1">
      <alignment horizontal="center" wrapText="1"/>
    </xf>
    <xf numFmtId="0" fontId="6" fillId="25" borderId="4" xfId="0" applyFont="1" applyFill="1" applyBorder="1" applyAlignment="1">
      <alignment horizontal="center" wrapText="1"/>
    </xf>
    <xf numFmtId="14" fontId="6" fillId="25" borderId="4" xfId="0" applyNumberFormat="1" applyFont="1" applyFill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7" fillId="12" borderId="0" xfId="0" applyFont="1" applyFill="1"/>
    <xf numFmtId="0" fontId="6" fillId="25" borderId="0" xfId="0" applyFont="1" applyFill="1" applyAlignment="1">
      <alignment horizontal="center" wrapText="1"/>
    </xf>
    <xf numFmtId="0" fontId="0" fillId="0" borderId="1" xfId="0" applyBorder="1"/>
    <xf numFmtId="166" fontId="6" fillId="11" borderId="4" xfId="0" applyNumberFormat="1" applyFont="1" applyFill="1" applyBorder="1" applyAlignment="1">
      <alignment horizontal="center" wrapText="1"/>
    </xf>
    <xf numFmtId="0" fontId="6" fillId="25" borderId="4" xfId="0" applyFont="1" applyFill="1" applyBorder="1" applyAlignment="1">
      <alignment wrapText="1"/>
    </xf>
    <xf numFmtId="166" fontId="6" fillId="25" borderId="4" xfId="1" applyNumberFormat="1" applyFont="1" applyFill="1" applyBorder="1" applyAlignment="1">
      <alignment horizontal="center" wrapText="1"/>
    </xf>
    <xf numFmtId="165" fontId="6" fillId="0" borderId="4" xfId="1" applyFont="1" applyBorder="1" applyAlignment="1">
      <alignment horizontal="center" wrapText="1"/>
    </xf>
    <xf numFmtId="0" fontId="0" fillId="0" borderId="4" xfId="0" applyBorder="1"/>
    <xf numFmtId="0" fontId="6" fillId="24" borderId="16" xfId="0" applyFont="1" applyFill="1" applyBorder="1" applyAlignment="1">
      <alignment horizontal="center" wrapText="1"/>
    </xf>
    <xf numFmtId="0" fontId="25" fillId="27" borderId="38" xfId="0" applyFont="1" applyFill="1" applyBorder="1"/>
    <xf numFmtId="0" fontId="0" fillId="0" borderId="39" xfId="0" applyBorder="1"/>
    <xf numFmtId="10" fontId="0" fillId="0" borderId="0" xfId="0" applyNumberFormat="1"/>
    <xf numFmtId="0" fontId="3" fillId="14" borderId="27" xfId="0" applyFont="1" applyFill="1" applyBorder="1" applyAlignment="1">
      <alignment horizontal="center" vertical="center"/>
    </xf>
    <xf numFmtId="0" fontId="4" fillId="15" borderId="27" xfId="0" applyFont="1" applyFill="1" applyBorder="1" applyAlignment="1">
      <alignment horizontal="center" vertical="center"/>
    </xf>
    <xf numFmtId="0" fontId="12" fillId="16" borderId="27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/>
    </xf>
    <xf numFmtId="0" fontId="7" fillId="12" borderId="25" xfId="0" applyFont="1" applyFill="1" applyBorder="1" applyAlignment="1">
      <alignment horizontal="center"/>
    </xf>
    <xf numFmtId="0" fontId="7" fillId="12" borderId="26" xfId="0" applyFont="1" applyFill="1" applyBorder="1" applyAlignment="1">
      <alignment horizontal="center"/>
    </xf>
    <xf numFmtId="0" fontId="7" fillId="12" borderId="16" xfId="0" applyFont="1" applyFill="1" applyBorder="1" applyAlignment="1">
      <alignment horizontal="center"/>
    </xf>
    <xf numFmtId="0" fontId="7" fillId="12" borderId="17" xfId="0" applyFont="1" applyFill="1" applyBorder="1" applyAlignment="1">
      <alignment horizontal="center"/>
    </xf>
    <xf numFmtId="0" fontId="7" fillId="12" borderId="18" xfId="0" applyFont="1" applyFill="1" applyBorder="1" applyAlignment="1">
      <alignment horizontal="center"/>
    </xf>
    <xf numFmtId="0" fontId="0" fillId="0" borderId="0" xfId="0" applyNumberFormat="1"/>
    <xf numFmtId="165" fontId="0" fillId="0" borderId="0" xfId="0" applyNumberFormat="1" applyFont="1"/>
    <xf numFmtId="10" fontId="0" fillId="0" borderId="0" xfId="0" applyNumberFormat="1" applyFont="1"/>
    <xf numFmtId="166" fontId="0" fillId="0" borderId="0" xfId="0" applyNumberFormat="1"/>
    <xf numFmtId="4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1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5" formatCode="_-&quot;$&quot;* #,##0.00_-;\-&quot;$&quot;* #,##0.0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theme="6"/>
      </font>
      <fill>
        <patternFill>
          <bgColor theme="9" tint="0.39994506668294322"/>
        </patternFill>
      </fill>
    </dxf>
    <dxf>
      <numFmt numFmtId="14" formatCode="0.00%"/>
    </dxf>
    <dxf>
      <numFmt numFmtId="165" formatCode="_-&quot;$&quot;* #,##0.00_-;\-&quot;$&quot;* #,##0.00_-;_-&quot;$&quot;* &quot;-&quot;??_-;_-@_-"/>
    </dxf>
    <dxf>
      <numFmt numFmtId="165" formatCode="_-&quot;$&quot;* #,##0.00_-;\-&quot;$&quot;* #,##0.00_-;_-&quot;$&quot;* &quot;-&quot;??_-;_-@_-"/>
    </dxf>
    <dxf>
      <numFmt numFmtId="167" formatCode="0.000"/>
      <alignment horizontal="general" vertical="bottom" textRotation="0" wrapText="1" indent="0" justifyLastLine="0" shrinkToFit="0" readingOrder="0"/>
    </dxf>
    <dxf>
      <numFmt numFmtId="165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0" formatCode="@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d/mm/yyyy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/>
      </border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* #,##0.00_-;\-&quot;$&quot;* #,##0.00_-;_-&quot;$&quot;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* #,##0.00_-;\-&quot;$&quot;* #,##0.00_-;_-&quot;$&quot;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76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0" formatCode="General"/>
    </dxf>
    <dxf>
      <border outline="0">
        <top style="medium">
          <color rgb="FFCCCCCC"/>
        </top>
      </border>
    </dxf>
    <dxf>
      <border outline="0">
        <bottom style="medium">
          <color rgb="FFE0E0E0"/>
        </bottom>
      </border>
    </dxf>
    <dxf>
      <border outline="0"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numFmt numFmtId="176" formatCode="dd/mm/yyyy"/>
    </dxf>
    <dxf>
      <numFmt numFmtId="176" formatCode="dd/mm/yyyy"/>
    </dxf>
    <dxf>
      <numFmt numFmtId="176" formatCode="dd/mm/yyyy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&quot;$&quot;#,##0.00;[Red]\-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&quot;$&quot;#,##0.00;[Red]\-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64" formatCode="&quot;$&quot;#,##0.00;[Red]\-&quot;$&quot;#,##0.0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F6F8F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176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284E3F"/>
        </top>
        <bottom style="medium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rgb="FF284E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Calibri"/>
        <family val="2"/>
        <scheme val="none"/>
      </font>
      <fill>
        <patternFill patternType="solid">
          <fgColor indexed="64"/>
          <bgColor rgb="FF356854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border diagonalUp="0" diagonalDown="0" outline="0">
        <left style="medium">
          <color indexed="64"/>
        </left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4" formatCode="0.00%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6" formatCode="_-&quot;$&quot;* #,##0_-;\-&quot;$&quot;* #,##0_-;_-&quot;$&quot;* &quot;-&quot;??_-;_-@_-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numFmt numFmtId="0" formatCode="General"/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9" tint="-0.249977111117893"/>
        <name val="Arial"/>
        <family val="2"/>
        <scheme val="none"/>
      </font>
      <fill>
        <patternFill patternType="solid">
          <fgColor theme="9" tint="0.79998168889431442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CCCCCC"/>
        </top>
      </border>
    </dxf>
    <dxf>
      <border outline="0">
        <bottom style="medium">
          <color rgb="FFE0E0E0"/>
        </bottom>
      </border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* #,##0.00_-;\-&quot;$&quot;* #,##0.00_-;_-&quot;$&quot;* &quot;-&quot;??_-;_-@_-"/>
    </dxf>
    <dxf>
      <numFmt numFmtId="167" formatCode="0.000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167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7" formatCode="0.000"/>
    </dxf>
    <dxf>
      <numFmt numFmtId="165" formatCode="_-&quot;$&quot;* #,##0.00_-;\-&quot;$&quot;* #,##0.00_-;_-&quot;$&quot;* &quot;-&quot;??_-;_-@_-"/>
    </dxf>
    <dxf>
      <numFmt numFmtId="14" formatCode="0.00%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&quot;$&quot;* #,##0.00_-;\-&quot;$&quot;* #,##0.00_-;_-&quot;$&quot;* &quot;-&quot;??_-;_-@_-"/>
    </dxf>
    <dxf>
      <numFmt numFmtId="0" formatCode="General"/>
    </dxf>
    <dxf>
      <numFmt numFmtId="0" formatCode="General"/>
    </dxf>
    <dxf>
      <numFmt numFmtId="176" formatCode="dd/mm/yyyy"/>
    </dxf>
    <dxf>
      <numFmt numFmtId="17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6D2CAA-8448-4336-944C-AB42067B5F5F}" name="Tabla2" displayName="Tabla2" ref="A1:D28" totalsRowShown="0">
  <autoFilter ref="A1:D28" xr:uid="{7B6D2CAA-8448-4336-944C-AB42067B5F5F}"/>
  <tableColumns count="4">
    <tableColumn id="1" xr3:uid="{7F5AA5AE-32D4-404D-841B-CC4DA6CA5A77}" name="ID"/>
    <tableColumn id="2" xr3:uid="{347D8CB0-E5E9-4184-9AE4-67567B4063EE}" name="Corregimiento"/>
    <tableColumn id="3" xr3:uid="{90689221-25B1-4C18-B25B-11F649A27966}" name="Veredas"/>
    <tableColumn id="4" xr3:uid="{2CF88288-0923-445D-8F3C-B5E844BD8D89}" name="Area_km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1D9077B-D54E-446F-BA4B-62CBA7D182AC}" name="Tabla4" displayName="Tabla4" ref="A1:C32" totalsRowCount="1">
  <autoFilter ref="A1:C31" xr:uid="{A1D9077B-D54E-446F-BA4B-62CBA7D182AC}"/>
  <tableColumns count="3">
    <tableColumn id="1" xr3:uid="{CE560AF7-FDD9-4BF5-A002-F3F424BF0D39}" name="Fecha" dataDxfId="150" totalsRowDxfId="149"/>
    <tableColumn id="2" xr3:uid="{3327907B-0E46-451F-8AC0-5E7DD6ED7520}" name="Total de envios" totalsRowFunction="sum" dataDxfId="148" totalsRowDxfId="147">
      <calculatedColumnFormula>COUNTIF(Tabla3[FECHA],Tabla4[[#This Row],[Fecha]])</calculatedColumnFormula>
    </tableColumn>
    <tableColumn id="3" xr3:uid="{6B79F3AA-0E11-4315-8591-B413A2DE51CF}" name="Valor" totalsRowFunction="sum" totalsRowDxfId="146" dataCellStyle="Moneda" totalsRowCellStyle="Moneda">
      <calculatedColumnFormula>SUMIF(Tabla3[FECHA],Tabla4[[#This Row],[Fecha]],Tabla3[VLR. TRANSPORTE])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4401E2-DEC7-4C5B-BCF7-3447D7218315}" name="Tabla6" displayName="Tabla6" ref="E1:L36" totalsRowCount="1">
  <autoFilter ref="E1:L35" xr:uid="{B84401E2-DEC7-4C5B-BCF7-3447D7218315}"/>
  <sortState xmlns:xlrd2="http://schemas.microsoft.com/office/spreadsheetml/2017/richdata2" ref="E2:L34">
    <sortCondition descending="1" ref="F1:F34"/>
  </sortState>
  <tableColumns count="8">
    <tableColumn id="1" xr3:uid="{7F47891E-84A5-46BE-B37A-1EE6FFA94183}" name="Nombre"/>
    <tableColumn id="2" xr3:uid="{05EDC79F-CC9E-4C56-884E-4A9CFEBAB56C}" name="Numero de Facturas" totalsRowFunction="sum" dataDxfId="145">
      <calculatedColumnFormula>COUNTIF(Tabla3[LUGAR ENVÍO],Tabla6[[#This Row],[Nombre]])</calculatedColumnFormula>
    </tableColumn>
    <tableColumn id="8" xr3:uid="{18A2D9C1-5732-4DBD-8928-22A2A1047E5C}" name="Numero de envios" totalsRowFunction="sum" dataDxfId="144">
      <calculatedColumnFormula>SUMIF(Tabla3[LUGAR ENVÍO],Tabla6[[#This Row],[Nombre]],Tabla3[Numero de Transportes])</calculatedColumnFormula>
    </tableColumn>
    <tableColumn id="7" xr3:uid="{38B17D2A-D142-48F0-8C62-712767B3D494}" name="%" dataDxfId="143" dataCellStyle="Porcentaje">
      <calculatedColumnFormula>Tabla6[[#This Row],[Numero de Facturas]]/Tabla6[[#Totals],[Numero de Facturas]]</calculatedColumnFormula>
    </tableColumn>
    <tableColumn id="3" xr3:uid="{FC4C3C0A-5A87-4266-8A8B-F8AC9838500A}" name="Valor envio" totalsRowFunction="sum" totalsRowDxfId="142" dataCellStyle="Moneda">
      <calculatedColumnFormula>SUMIF(Tabla3[LUGAR ENVÍO],Tabla6[[#This Row],[Nombre]],Tabla3[VLR. TRANSPORTE])</calculatedColumnFormula>
    </tableColumn>
    <tableColumn id="4" xr3:uid="{D328AD88-557D-4576-A0AB-B330B809E819}" name="Promedio" dataCellStyle="Moneda">
      <calculatedColumnFormula>AVERAGEIF(Tabla3[LUGAR ENVÍO],Tabla6[[#This Row],[Nombre]],Tabla3[VLR. TRANSPORTE])</calculatedColumnFormula>
    </tableColumn>
    <tableColumn id="6" xr3:uid="{8221C55A-D9DC-48F5-BDE1-4A0E12592893}" name="Distancia (KM)" totalsRowFunction="average" dataDxfId="141" totalsRowDxfId="140" dataCellStyle="Moneda">
      <calculatedColumnFormula>Tabla6[[#This Row],[Distancia total ida y vuelta]]/Tabla6[[#This Row],[Numero de Facturas]]</calculatedColumnFormula>
    </tableColumn>
    <tableColumn id="5" xr3:uid="{2B49D14A-22D4-4542-8F96-5AC9777D6529}" name="Distancia total ida y vuelta" totalsRowFunction="average" dataDxfId="139">
      <calculatedColumnFormula>SUMIF(Tabla3[LUGAR ENVÍO],Tabla6[[#This Row],[Nombre]],Tabla3[DISTANCIA (km)])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79DB70-63EE-4CF1-A835-E5CDB98C5568}" name="Tabla7" displayName="Tabla7" ref="N1:T9" totalsRowCount="1">
  <autoFilter ref="N1:T8" xr:uid="{0279DB70-63EE-4CF1-A835-E5CDB98C5568}"/>
  <sortState xmlns:xlrd2="http://schemas.microsoft.com/office/spreadsheetml/2017/richdata2" ref="N2:T8">
    <sortCondition descending="1" ref="O1:O8"/>
  </sortState>
  <tableColumns count="7">
    <tableColumn id="1" xr3:uid="{D6435DAB-4AD9-4777-815B-37D3521A545E}" name="Corregimiento"/>
    <tableColumn id="2" xr3:uid="{5FF6AE21-E8F3-45B8-818E-25E70859AC8E}" name="Total de transportes" totalsRowFunction="custom" dataDxfId="138">
      <calculatedColumnFormula>COUNTIF(Tabla3[Corregimiento],Tabla7[[#This Row],[Corregimiento]])</calculatedColumnFormula>
      <totalsRowFormula>SUM(Tabla7[Total de transportes])</totalsRowFormula>
    </tableColumn>
    <tableColumn id="3" xr3:uid="{A881D1BB-B992-4B08-B316-215A4AA853CF}" name="Valor total de transporte" totalsRowDxfId="24" dataCellStyle="Moneda">
      <calculatedColumnFormula>SUMIF(Tabla3[Corregimiento],Tabla7[[#This Row],[Corregimiento]],Tabla3[VLR. TRANSPORTE])</calculatedColumnFormula>
    </tableColumn>
    <tableColumn id="5" xr3:uid="{D017EBCC-6356-413F-854D-7BE2F322DE65}" name="Distancia Promedio por corregimiento" dataDxfId="137" totalsRowDxfId="23" dataCellStyle="Moneda">
      <calculatedColumnFormula>AVERAGEIF(Tabla3[Corregimiento],Tabla7[[#This Row],[Corregimiento]],Tabla3[DISTANCIA (km)])</calculatedColumnFormula>
    </tableColumn>
    <tableColumn id="4" xr3:uid="{26E44AF4-88D4-414D-8B78-35E7EDDEF75A}" name="Valor promedio de transporte por corregimiento" totalsRowDxfId="22" dataCellStyle="Moneda">
      <calculatedColumnFormula>AVERAGEIF(Tabla3[Corregimiento],Tabla7[[#This Row],[Corregimiento]],Tabla3[Valor Tran])</calculatedColumnFormula>
    </tableColumn>
    <tableColumn id="7" xr3:uid="{DABC7122-6DCC-41A5-AB37-54CE40496C9F}" name="Valor promedio del costo calculo con ABC" dataDxfId="136" totalsRowDxfId="21" dataCellStyle="Moneda">
      <calculatedColumnFormula>AVERAGEIF(Tabla8[Corregimiento],Tabla7[[#This Row],[Corregimiento]],Tabla8[Costo Total])</calculatedColumnFormula>
    </tableColumn>
    <tableColumn id="6" xr3:uid="{C63284E4-B6FC-44F2-8E02-191FCE01A6AA}" name="Perdida promedio de margen" totalsRowFunction="average" dataDxfId="135" totalsRowDxfId="20" dataCellStyle="Porcentaje">
      <calculatedColumnFormula>AVERAGEIF(Tabla8[Corregimiento],Tabla7[[#This Row],[Corregimiento]],Tabla8[Perdida o ganancia de margen])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E06D3B-21BB-4AEF-B8AF-D2EBC30403C4}" name="Tabla3" displayName="Tabla3" ref="A1:Q242" totalsRowCount="1" dataDxfId="82" headerRowBorderDxfId="80" tableBorderDxfId="81" totalsRowBorderDxfId="79">
  <autoFilter ref="A1:Q241" xr:uid="{E2E06D3B-21BB-4AEF-B8AF-D2EBC30403C4}">
    <filterColumn colId="6">
      <filters>
        <filter val="Borrero Ayerbe"/>
      </filters>
    </filterColumn>
  </autoFilter>
  <sortState xmlns:xlrd2="http://schemas.microsoft.com/office/spreadsheetml/2017/richdata2" ref="A2:Q241">
    <sortCondition descending="1" ref="E1:E241"/>
  </sortState>
  <tableColumns count="17">
    <tableColumn id="1" xr3:uid="{A8B22617-30BB-4055-A4C5-CE0D4191E8C9}" name="N° FACTURA" totalsRowFunction="count" dataDxfId="69" totalsRowDxfId="41"/>
    <tableColumn id="2" xr3:uid="{501573C8-6F21-4940-B952-49522B57B0AF}" name="FECHA" dataDxfId="68" totalsRowDxfId="40"/>
    <tableColumn id="3" xr3:uid="{655CF106-C513-4E41-BE06-8D9D32708A19}" name="TIPO FACTURA" dataDxfId="67" totalsRowDxfId="39"/>
    <tableColumn id="4" xr3:uid="{3E6B2EAA-3EFF-4BE4-83EB-2DA3FE50E6B0}" name="CLIENTE" dataDxfId="66" totalsRowDxfId="38"/>
    <tableColumn id="5" xr3:uid="{96C90EC8-6683-47A9-ADC6-E5695ABCD02D}" name="LUGAR ENVÍO" dataDxfId="65" totalsRowDxfId="37"/>
    <tableColumn id="15" xr3:uid="{6753E0DE-2523-49C5-A25B-AEB88594B37C}" name="ID" totalsRowFunction="countNums" dataDxfId="64" totalsRowDxfId="36"/>
    <tableColumn id="14" xr3:uid="{9EB55501-3F45-491A-923A-347162E9AD47}" name="Corregimiento" dataDxfId="63" totalsRowDxfId="35">
      <calculatedColumnFormula>_xlfn.XLOOKUP(Tabla3[[#This Row],[ID]],Tabla2[ID],Tabla2[Corregimiento],"NA")</calculatedColumnFormula>
    </tableColumn>
    <tableColumn id="6" xr3:uid="{A2DAB833-3E28-4F71-BFD0-3873C01CA00F}" name="DISTANCIA (km)" totalsRowFunction="average" dataDxfId="62" totalsRowDxfId="34">
      <calculatedColumnFormula>_xlfn.XLOOKUP(Tabla3[[#This Row],[LUGAR ENVÍO]],Tabla9[[Nombre ]],Tabla9[Distancia],"NA")</calculatedColumnFormula>
    </tableColumn>
    <tableColumn id="16" xr3:uid="{0FCAEC86-CD4A-4F58-8A80-78C4F2F0CD02}" name="Valor del transporte/KM" totalsRowFunction="max" dataDxfId="61" totalsRowDxfId="33">
      <calculatedColumnFormula>Tabla3[[#This Row],[Valor Tran]]/(Tabla3[[#This Row],[DISTANCIA (km)]]*2)</calculatedColumnFormula>
    </tableColumn>
    <tableColumn id="7" xr3:uid="{9948706A-C85C-4B90-A76D-2B1A227BD32F}" name="PESO EST. (kg)" dataDxfId="60" totalsRowDxfId="32"/>
    <tableColumn id="8" xr3:uid="{E65CD089-E812-44EF-9157-87E832B365EC}" name="Numero de Transportes" dataDxfId="59" totalsRowDxfId="31"/>
    <tableColumn id="9" xr3:uid="{6BFCDF3C-41A8-4196-B9A0-BEB31E1C0C25}" name="VLR. TRANSPORTE" totalsRowFunction="sum" dataDxfId="58" totalsRowDxfId="30" dataCellStyle="Moneda"/>
    <tableColumn id="17" xr3:uid="{3D314179-95C7-4256-82D8-A90F27B981F8}" name="Valor Tran" dataDxfId="57" totalsRowDxfId="29" dataCellStyle="Moneda">
      <calculatedColumnFormula>Tabla3[[#This Row],[VLR. TRANSPORTE]]/Tabla3[[#This Row],[Numero de Transportes]]</calculatedColumnFormula>
    </tableColumn>
    <tableColumn id="10" xr3:uid="{958AADDB-2C5B-4B80-9A85-EC4E9F5458CB}" name="VLR. TOTAL FACT." totalsRowFunction="sum" dataDxfId="56" totalsRowDxfId="28" dataCellStyle="Moneda"/>
    <tableColumn id="11" xr3:uid="{A8D285CD-47A4-43AA-85D4-19EA352BD2C6}" name="VLR. PRODUCTOS" totalsRowFunction="sum" dataDxfId="55" totalsRowDxfId="27" dataCellStyle="Moneda">
      <calculatedColumnFormula>Tabla3[[#This Row],[VLR. TOTAL FACT.]]-Tabla3[[#This Row],[VLR. TRANSPORTE]]</calculatedColumnFormula>
    </tableColumn>
    <tableColumn id="12" xr3:uid="{086CC4E2-90CA-4EF1-9064-36ED8C5952FE}" name="Local/Tercero (1/0)" dataDxfId="54" totalsRowDxfId="26"/>
    <tableColumn id="13" xr3:uid="{15AECC53-562A-43E5-B5D9-830B0B490639}" name="FORMA PAGO" dataDxfId="53" totalsRowDxfId="25"/>
  </tableColumns>
  <tableStyleInfo name="TableStyleLight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165E8E-944C-4456-9968-284BA5C7BDD8}" name="Tabla9" displayName="Tabla9" ref="A1:C65" totalsRowCount="1">
  <autoFilter ref="A1:C64" xr:uid="{9F165E8E-944C-4456-9968-284BA5C7BDD8}"/>
  <sortState xmlns:xlrd2="http://schemas.microsoft.com/office/spreadsheetml/2017/richdata2" ref="A2:C64">
    <sortCondition descending="1" ref="B1:B64"/>
  </sortState>
  <tableColumns count="3">
    <tableColumn id="1" xr3:uid="{95FCE081-B61C-4514-9B54-F8267751EC44}" name="Nombre " dataDxfId="110" totalsRowDxfId="109"/>
    <tableColumn id="3" xr3:uid="{077983F9-58DE-4A62-89E9-171F4D236C6E}" name="Numero de envios" dataDxfId="108" totalsRowDxfId="107">
      <calculatedColumnFormula>COUNTIF(Tabla3[LUGAR ENVÍO],Tabla9[[#This Row],[Nombre ]])</calculatedColumnFormula>
    </tableColumn>
    <tableColumn id="2" xr3:uid="{6199A3FF-D788-47ED-B9D5-729981DFD625}" name="Distancia" totalsRowFunction="avera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2D0CA00-A9F9-498E-9652-906765FBCE42}" name="Tabla11" displayName="Tabla11" ref="F3:K5" totalsRowShown="0">
  <autoFilter ref="F3:K5" xr:uid="{22D0CA00-A9F9-498E-9652-906765FBCE42}"/>
  <tableColumns count="6">
    <tableColumn id="1" xr3:uid="{F4DBFB1C-D0FF-4D60-856A-BFE327283B32}" name="Ubicación"/>
    <tableColumn id="2" xr3:uid="{59FEF625-D4A7-499F-9001-A28A9BD8D84A}" name="Envios" dataDxfId="78">
      <calculatedColumnFormula>COUNTIF(Tabla3[LUGAR ENVÍO],Tabla11[[#This Row],[Ubicación]])</calculatedColumnFormula>
    </tableColumn>
    <tableColumn id="3" xr3:uid="{E1CDE084-581F-48A0-8D7A-42A2A227BC9A}" name="Total valor del transporte" dataCellStyle="Moneda">
      <calculatedColumnFormula>SUMIF(Tabla3[LUGAR ENVÍO],Tabla11[[#This Row],[Ubicación]],Tabla3[VLR. TRANSPORTE])</calculatedColumnFormula>
    </tableColumn>
    <tableColumn id="4" xr3:uid="{E405F181-B938-4011-8B3F-EE38FCBA89D8}" name="Valor promedio de transporte" dataCellStyle="Moneda">
      <calculatedColumnFormula>AVERAGEIF(Tabla3[LUGAR ENVÍO],Tabla11[[#This Row],[Ubicación]],Tabla3[VLR. TRANSPORTE])</calculatedColumnFormula>
    </tableColumn>
    <tableColumn id="5" xr3:uid="{CB944F8C-FA3C-4D5E-807E-99085A792E1A}" name="Total de venta" dataCellStyle="Moneda">
      <calculatedColumnFormula>SUMIF(Tabla3[LUGAR ENVÍO],Tabla11[[#This Row],[Ubicación]],Tabla3[VLR. TOTAL FACT.])</calculatedColumnFormula>
    </tableColumn>
    <tableColumn id="6" xr3:uid="{7B88437D-A6AA-4CA1-92E3-2BCD63011265}" name="G/P promedio Margen" dataDxfId="76" dataCellStyle="Porcentaje">
      <calculatedColumnFormula>AVERAGEIF(Tabla8[Lugar],Tabla11[[#This Row],[Ubicación]],Tabla8[Perdida o ganancia de margen])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9FCF9C-F8DA-4493-9DBF-C144F9623D8E}" name="Tabla1113" displayName="Tabla1113" ref="F7:K8" totalsRowShown="0">
  <autoFilter ref="F7:K8" xr:uid="{C19FCF9C-F8DA-4493-9DBF-C144F9623D8E}"/>
  <tableColumns count="6">
    <tableColumn id="1" xr3:uid="{BF524196-6743-4CD0-8C66-67B8FD757B37}" name="Ubicación"/>
    <tableColumn id="2" xr3:uid="{9759887D-7E71-4775-A93A-FD0C10DF5274}" name="Envios" dataDxfId="75">
      <calculatedColumnFormula>COUNTIF(Tabla3[LUGAR ENVÍO],Tabla1113[[#This Row],[Ubicación]])</calculatedColumnFormula>
    </tableColumn>
    <tableColumn id="3" xr3:uid="{E060B642-43A7-437B-9E94-471F5A3C17C5}" name="Total valor del transporte" dataCellStyle="Moneda">
      <calculatedColumnFormula>SUMIF(Tabla3[LUGAR ENVÍO],Tabla1113[[#This Row],[Ubicación]],Tabla3[VLR. TRANSPORTE])</calculatedColumnFormula>
    </tableColumn>
    <tableColumn id="4" xr3:uid="{4AE0CF87-7978-4B3A-A8D2-957DF3B42AE2}" name="Valor promedio de transporte" dataCellStyle="Moneda">
      <calculatedColumnFormula>AVERAGEIF(Tabla3[LUGAR ENVÍO],Tabla1113[[#This Row],[Ubicación]],Tabla3[VLR. TRANSPORTE])</calculatedColumnFormula>
    </tableColumn>
    <tableColumn id="5" xr3:uid="{4121C4E6-6AE8-4BAB-83A1-31A20C5FE2DC}" name="Total de venta" dataCellStyle="Moneda">
      <calculatedColumnFormula>SUMIF(Tabla3[LUGAR ENVÍO],Tabla1113[[#This Row],[Ubicación]],Tabla3[VLR. TOTAL FACT.])</calculatedColumnFormula>
    </tableColumn>
    <tableColumn id="6" xr3:uid="{A9B0873A-F7FD-4B3F-AF53-52313EA92EF2}" name="G/P promedio Margen" dataDxfId="74" dataCellStyle="Porcentaje">
      <calculatedColumnFormula>AVERAGEIF(Tabla8[Lugar],Tabla1113[[#This Row],[Ubicación]],Tabla8[Perdida o ganancia de margen])</calculatedColumnFormula>
    </tableColumn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74A005-FC11-448A-B49B-434DF24D7B40}" name="Tabla111314" displayName="Tabla111314" ref="F10:K17" totalsRowShown="0">
  <autoFilter ref="F10:K17" xr:uid="{0B74A005-FC11-448A-B49B-434DF24D7B40}"/>
  <sortState xmlns:xlrd2="http://schemas.microsoft.com/office/spreadsheetml/2017/richdata2" ref="F11:K17">
    <sortCondition descending="1" ref="G10:G17"/>
  </sortState>
  <tableColumns count="6">
    <tableColumn id="1" xr3:uid="{308ACF9E-3FAF-469B-B9AA-50267AB8F0DC}" name="Ubicación"/>
    <tableColumn id="2" xr3:uid="{16DB90A2-8A96-47E3-BABB-1452384C137C}" name="Envios" dataDxfId="73">
      <calculatedColumnFormula>COUNTIF(Tabla3[LUGAR ENVÍO],Tabla111314[[#This Row],[Ubicación]])</calculatedColumnFormula>
    </tableColumn>
    <tableColumn id="3" xr3:uid="{2A239A74-86B7-4D63-8E64-8D9399DD8221}" name="Total valor del transporte" dataCellStyle="Moneda">
      <calculatedColumnFormula>SUMIF(Tabla3[LUGAR ENVÍO],Tabla111314[[#This Row],[Ubicación]],Tabla3[VLR. TRANSPORTE])</calculatedColumnFormula>
    </tableColumn>
    <tableColumn id="4" xr3:uid="{AFD23A64-8E70-486F-BEB5-EA06DC959F98}" name="Valor promedio de transporte" dataCellStyle="Moneda">
      <calculatedColumnFormula>AVERAGEIF(Tabla3[LUGAR ENVÍO],Tabla111314[[#This Row],[Ubicación]],Tabla3[VLR. TRANSPORTE])</calculatedColumnFormula>
    </tableColumn>
    <tableColumn id="5" xr3:uid="{A7FAC65D-3129-4C52-9854-235D18353CA3}" name="Total de venta" dataCellStyle="Moneda">
      <calculatedColumnFormula>SUMIF(Tabla3[LUGAR ENVÍO],Tabla111314[[#This Row],[Ubicación]],Tabla3[VLR. TOTAL FACT.])</calculatedColumnFormula>
    </tableColumn>
    <tableColumn id="6" xr3:uid="{95D039D9-101C-4A8F-B5D6-DC8488CFB9FF}" name="G/P promedio Margen" dataDxfId="72" dataCellStyle="Porcentaje">
      <calculatedColumnFormula>AVERAGEIF(Tabla8[Lugar],Tabla111314[[#This Row],[Ubicación]],Tabla8[Perdida o ganancia de margen])</calculatedColumnFormula>
    </tableColumn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FE6688A-5751-45C2-A27D-5A63B27DD2FC}" name="Tabla11131415" displayName="Tabla11131415" ref="F19:K41" totalsRowCount="1">
  <autoFilter ref="F19:K40" xr:uid="{CFE6688A-5751-45C2-A27D-5A63B27DD2FC}"/>
  <sortState xmlns:xlrd2="http://schemas.microsoft.com/office/spreadsheetml/2017/richdata2" ref="F20:K40">
    <sortCondition descending="1" ref="G19:G40"/>
  </sortState>
  <tableColumns count="6">
    <tableColumn id="1" xr3:uid="{9F74D576-C23D-4900-8C7A-622D7549DA83}" name="Ubicación"/>
    <tableColumn id="2" xr3:uid="{3AF9796B-9251-446F-895A-74972D7386A3}" name="Envios" totalsRowFunction="custom" dataDxfId="71" totalsRowDxfId="52">
      <calculatedColumnFormula>COUNTIF(Tabla3[LUGAR ENVÍO],Tabla11131415[[#This Row],[Ubicación]])</calculatedColumnFormula>
      <totalsRowFormula>SUM(Tabla11131415[Envios])</totalsRowFormula>
    </tableColumn>
    <tableColumn id="3" xr3:uid="{0766B312-4237-42F6-9BE8-7D745A330A83}" name="Total valor del transporte" totalsRowDxfId="51" dataCellStyle="Moneda">
      <calculatedColumnFormula>SUMIF(Tabla3[LUGAR ENVÍO],Tabla11131415[[#This Row],[Ubicación]],Tabla3[VLR. TRANSPORTE])</calculatedColumnFormula>
    </tableColumn>
    <tableColumn id="4" xr3:uid="{7F70FA39-37CE-4174-AB77-07741362FF53}" name="Valor promedio de transporte" totalsRowDxfId="50" dataCellStyle="Moneda">
      <calculatedColumnFormula>AVERAGEIF(Tabla3[LUGAR ENVÍO],Tabla11131415[[#This Row],[Ubicación]],Tabla3[VLR. TRANSPORTE])</calculatedColumnFormula>
    </tableColumn>
    <tableColumn id="5" xr3:uid="{69B217D0-5ECB-4895-9718-75401AF74CA1}" name="Total de venta" totalsRowDxfId="49" dataCellStyle="Moneda">
      <calculatedColumnFormula>SUMIF(Tabla3[LUGAR ENVÍO],Tabla11131415[[#This Row],[Ubicación]],Tabla3[VLR. TOTAL FACT.])</calculatedColumnFormula>
    </tableColumn>
    <tableColumn id="6" xr3:uid="{8EA02108-A7BE-47AD-9323-7452BC4D0244}" name="G/P promedio Margen" dataDxfId="70" totalsRowDxfId="48" dataCellStyle="Porcentaje">
      <calculatedColumnFormula>AVERAGEIF(Tabla8[Lugar],Tabla11131415[[#This Row],[Ubicación]],Tabla8[Perdida o ganancia de margen])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86CF4AD-C6B4-493B-8498-1A15FCA38AD2}" name="Tabla1116" displayName="Tabla1116" ref="M9:R10" totalsRowShown="0">
  <autoFilter ref="M9:R10" xr:uid="{386CF4AD-C6B4-493B-8498-1A15FCA38AD2}"/>
  <tableColumns count="6">
    <tableColumn id="1" xr3:uid="{1687CCCC-3E58-4BA7-B7FE-42866D565047}" name="Ubicación"/>
    <tableColumn id="2" xr3:uid="{20F271FD-2C1D-43EA-8E10-2C77230EA65B}" name="Envios" dataDxfId="47">
      <calculatedColumnFormula>COUNTIF(Tabla3[LUGAR ENVÍO],Tabla1116[[#This Row],[Ubicación]])</calculatedColumnFormula>
    </tableColumn>
    <tableColumn id="3" xr3:uid="{62591965-7B9E-4A50-9499-F5D46E431B6E}" name="Total valor del transporte" dataCellStyle="Moneda">
      <calculatedColumnFormula>SUMIF(Tabla3[LUGAR ENVÍO],Tabla1116[[#This Row],[Ubicación]],Tabla3[VLR. TRANSPORTE])</calculatedColumnFormula>
    </tableColumn>
    <tableColumn id="4" xr3:uid="{41371DC3-F8CF-44DE-A9E9-4935495C99AE}" name="Valor promedio de transporte" dataCellStyle="Moneda">
      <calculatedColumnFormula>AVERAGEIF(Tabla3[LUGAR ENVÍO],Tabla1116[[#This Row],[Ubicación]],Tabla3[VLR. TRANSPORTE])</calculatedColumnFormula>
    </tableColumn>
    <tableColumn id="5" xr3:uid="{63B10A7E-B705-4124-91A5-10E27BF12460}" name="Total de venta" dataCellStyle="Moneda">
      <calculatedColumnFormula>SUMIF(Tabla3[LUGAR ENVÍO],Tabla1116[[#This Row],[Ubicación]],Tabla3[VLR. TOTAL FACT.])</calculatedColumnFormula>
    </tableColumn>
    <tableColumn id="6" xr3:uid="{E3784BD2-D698-48E5-8F61-19A597D1BBA7}" name="G/P promedio Margen" dataDxfId="46" dataCellStyle="Porcentaje">
      <calculatedColumnFormula>AVERAGEIF(Tabla8[Lugar],Tabla1116[[#This Row],[Ubicación]],Tabla8[Perdida o ganancia de margen])</calculatedColumnFormula>
    </tableColumn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026FECA-5464-46D4-B27E-B0B86A601D4B}" name="Tabla111617" displayName="Tabla111617" ref="M13:R14" totalsRowShown="0">
  <autoFilter ref="M13:R14" xr:uid="{C026FECA-5464-46D4-B27E-B0B86A601D4B}"/>
  <tableColumns count="6">
    <tableColumn id="1" xr3:uid="{F585AAA1-2586-4B84-B793-45ED7ABFB782}" name="Ubicación"/>
    <tableColumn id="2" xr3:uid="{9CB603AF-B63A-4BF5-8297-4CE8583C7793}" name="Envios" dataDxfId="45">
      <calculatedColumnFormula>COUNTIF(Tabla3[LUGAR ENVÍO],Tabla111617[[#This Row],[Ubicación]])</calculatedColumnFormula>
    </tableColumn>
    <tableColumn id="3" xr3:uid="{F70DECE1-9D81-40D9-91AD-D835AC508C03}" name="Total valor del transporte" dataCellStyle="Moneda">
      <calculatedColumnFormula>SUMIF(Tabla3[LUGAR ENVÍO],Tabla111617[[#This Row],[Ubicación]],Tabla3[VLR. TRANSPORTE])</calculatedColumnFormula>
    </tableColumn>
    <tableColumn id="4" xr3:uid="{24B0FF23-202C-44C9-A223-96FC564BD6DC}" name="Valor promedio de transporte" dataCellStyle="Moneda">
      <calculatedColumnFormula>AVERAGEIF(Tabla3[LUGAR ENVÍO],Tabla111617[[#This Row],[Ubicación]],Tabla3[VLR. TRANSPORTE])</calculatedColumnFormula>
    </tableColumn>
    <tableColumn id="5" xr3:uid="{7F77243D-3CEE-4717-A4A2-40310344EB78}" name="Total de venta" dataCellStyle="Moneda">
      <calculatedColumnFormula>SUMIF(Tabla3[LUGAR ENVÍO],Tabla111617[[#This Row],[Ubicación]],Tabla3[VLR. TOTAL FACT.])</calculatedColumnFormula>
    </tableColumn>
    <tableColumn id="6" xr3:uid="{B847ABE2-414C-44FC-B256-012E542CADB6}" name="G/P promedio Margen" dataDxfId="44" dataCellStyle="Porcentaje">
      <calculatedColumnFormula>AVERAGEIF(Tabla8[Lugar],Tabla111617[[#This Row],[Ubicación]],Tabla8[Perdida o ganancia de margen])</calculatedColumnFormula>
    </tableColumn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BD51CCD-860F-41B4-B499-08EBE7DA0BCB}" name="Tabla11161718" displayName="Tabla11161718" ref="M16:R40" totalsRowShown="0">
  <autoFilter ref="M16:R40" xr:uid="{6BD51CCD-860F-41B4-B499-08EBE7DA0BCB}"/>
  <sortState xmlns:xlrd2="http://schemas.microsoft.com/office/spreadsheetml/2017/richdata2" ref="M17:R40">
    <sortCondition descending="1" ref="N16:N40"/>
  </sortState>
  <tableColumns count="6">
    <tableColumn id="1" xr3:uid="{8F62825E-03DF-40FE-8122-AF5C3B3D0D47}" name="Ubicación"/>
    <tableColumn id="2" xr3:uid="{31FB97DC-253D-44F7-AF49-25AA2A6FBBE9}" name="Envios" dataDxfId="43">
      <calculatedColumnFormula>COUNTIF(Tabla3[LUGAR ENVÍO],Tabla11161718[[#This Row],[Ubicación]])</calculatedColumnFormula>
    </tableColumn>
    <tableColumn id="3" xr3:uid="{91CC5C74-ACAA-4B0C-95BD-769E3F4E00A5}" name="Total valor del transporte" dataCellStyle="Moneda">
      <calculatedColumnFormula>SUMIF(Tabla3[LUGAR ENVÍO],Tabla11161718[[#This Row],[Ubicación]],Tabla3[VLR. TRANSPORTE])</calculatedColumnFormula>
    </tableColumn>
    <tableColumn id="4" xr3:uid="{1AE96664-0B44-4E53-8BC2-E126FD890591}" name="Valor promedio de transporte" dataCellStyle="Moneda">
      <calculatedColumnFormula>AVERAGEIF(Tabla3[LUGAR ENVÍO],Tabla11161718[[#This Row],[Ubicación]],Tabla3[VLR. TRANSPORTE])</calculatedColumnFormula>
    </tableColumn>
    <tableColumn id="5" xr3:uid="{53B729A4-9443-4AAD-B765-B1A1DA5D9841}" name="Total de venta" dataCellStyle="Moneda">
      <calculatedColumnFormula>SUMIF(Tabla3[LUGAR ENVÍO],Tabla11161718[[#This Row],[Ubicación]],Tabla3[VLR. TOTAL FACT.])</calculatedColumnFormula>
    </tableColumn>
    <tableColumn id="6" xr3:uid="{174B7728-47E8-4946-9A44-1B3EEC5091C3}" name="G/P promedio Margen" dataDxfId="42" dataCellStyle="Porcentaje">
      <calculatedColumnFormula>AVERAGEIF(Tabla8[Lugar],Tabla11161718[[#This Row],[Ubicación]],Tabla8[Perdida o ganancia de margen])</calculatedColumnFormula>
    </tableColumn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3EDE99-FD54-432E-849B-FF02740949E7}" name="Tabla8" displayName="Tabla8" ref="A2:Q243" totalsRowCount="1" headerRowBorderDxfId="134" tableBorderDxfId="133" totalsRowBorderDxfId="132">
  <autoFilter ref="A2:Q242" xr:uid="{2E3EDE99-FD54-432E-849B-FF02740949E7}"/>
  <sortState xmlns:xlrd2="http://schemas.microsoft.com/office/spreadsheetml/2017/richdata2" ref="A3:Q242">
    <sortCondition descending="1" ref="I2:I242"/>
  </sortState>
  <tableColumns count="17">
    <tableColumn id="1" xr3:uid="{CE9D8FA1-6912-4103-92CE-F91408693854}" name="N° FACTURA" totalsRowFunction="countNums" dataDxfId="131" totalsRowDxfId="17"/>
    <tableColumn id="2" xr3:uid="{5EB5D8D0-3F6B-4551-B922-70DB03B5D43D}" name="Corregimiento" dataDxfId="130" totalsRowDxfId="16">
      <calculatedColumnFormula>_xlfn.XLOOKUP(Tabla8[[#This Row],[N° FACTURA]],Tabla3[N° FACTURA],Tabla3[Corregimiento],"NA")</calculatedColumnFormula>
    </tableColumn>
    <tableColumn id="16" xr3:uid="{A1C4CA74-7936-4608-AD24-0430AB9420BC}" name="Lugar" dataDxfId="77" totalsRowDxfId="15">
      <calculatedColumnFormula>_xlfn.XLOOKUP(Tabla8[[#This Row],[N° FACTURA]],Tabla3[N° FACTURA],Tabla3[LUGAR ENVÍO],"NA")</calculatedColumnFormula>
    </tableColumn>
    <tableColumn id="3" xr3:uid="{7E93EF4C-1BD2-4FB0-9A8E-3BE0334039F6}" name="DISTANCIA (km)" dataDxfId="129" totalsRowDxfId="14">
      <calculatedColumnFormula>_xlfn.XLOOKUP(Tabla8[[#This Row],[N° FACTURA]],Tabla3[N° FACTURA],Tabla3[DISTANCIA (km)],"NA")</calculatedColumnFormula>
    </tableColumn>
    <tableColumn id="4" xr3:uid="{F8F2AB46-E2EF-4ADA-B707-D788AB223E46}" name="Numero de Transportes" dataDxfId="128" totalsRowDxfId="13"/>
    <tableColumn id="5" xr3:uid="{F48E4860-2261-4129-ADEA-6A62B62689EB}" name="VLR. TRANSPORTE" totalsRowFunction="sum" dataDxfId="127" totalsRowDxfId="12" dataCellStyle="Moneda">
      <calculatedColumnFormula>_xlfn.XLOOKUP(Tabla8[[#This Row],[N° FACTURA]],Tabla3[N° FACTURA],Tabla3[VLR. TRANSPORTE],"NA")</calculatedColumnFormula>
    </tableColumn>
    <tableColumn id="6" xr3:uid="{A5F88834-D207-4779-BB58-CE96157ECEEB}" name="VLR. Transporte unitario" totalsRowFunction="average" dataDxfId="126" totalsRowDxfId="11" dataCellStyle="Moneda">
      <calculatedColumnFormula>Tabla8[[#This Row],[VLR. TRANSPORTE]]/Tabla8[[#This Row],[Numero de Transportes]]</calculatedColumnFormula>
    </tableColumn>
    <tableColumn id="7" xr3:uid="{29319518-0B4C-4795-B4E0-5127D0C97EDE}" name="VLR. TOTAL FACT." dataDxfId="125" totalsRowDxfId="10" dataCellStyle="Moneda"/>
    <tableColumn id="8" xr3:uid="{E27626D1-D160-45B8-BF2E-C323590F4DC5}" name="VLR. PRODUCTOS" dataDxfId="124" totalsRowDxfId="9" dataCellStyle="Moneda">
      <calculatedColumnFormula>Tabla8[[#This Row],[VLR. TOTAL FACT.]]-Tabla8[[#This Row],[VLR. TRANSPORTE]]</calculatedColumnFormula>
    </tableColumn>
    <tableColumn id="9" xr3:uid="{83A1D252-4C9A-42FB-9A02-66964CD59DA6}" name="Margen de productos" totalsRowFunction="sum" dataDxfId="123" totalsRowDxfId="0" dataCellStyle="Moneda">
      <calculatedColumnFormula>Tabla8[[#This Row],[VLR. PRODUCTOS]]*0.2</calculatedColumnFormula>
    </tableColumn>
    <tableColumn id="10" xr3:uid="{47D726C3-B94A-4900-8848-4AF2C5A4EB0F}" name="Costo fijo" dataDxfId="122" totalsRowDxfId="8" dataCellStyle="Moneda">
      <calculatedColumnFormula>'ABC COSTEO'!B$11</calculatedColumnFormula>
    </tableColumn>
    <tableColumn id="11" xr3:uid="{A0B96C26-11A2-446D-B5F4-0EB2168285ED}" name="Costo Variable" dataDxfId="121" totalsRowDxfId="7" dataCellStyle="Moneda">
      <calculatedColumnFormula>Tabla8[[#This Row],[DISTANCIA (km)]]*2*'ABC COSTEO'!B$21</calculatedColumnFormula>
    </tableColumn>
    <tableColumn id="12" xr3:uid="{51BE2C5B-F98B-4FF3-AB51-EA935B6A4C5D}" name="Costo Total" totalsRowFunction="average" dataDxfId="120" totalsRowDxfId="6" dataCellStyle="Moneda">
      <calculatedColumnFormula>Tabla8[[#This Row],[Costo Variable]]+Tabla8[[#This Row],[Costo fijo]]</calculatedColumnFormula>
    </tableColumn>
    <tableColumn id="17" xr3:uid="{D8F870A5-5B54-4DF3-BA3B-78D3CB32F67D}" name="Columna1" totalsRowFunction="sum" dataDxfId="2" totalsRowDxfId="1" dataCellStyle="Moneda">
      <calculatedColumnFormula>Tabla8[[#This Row],[Costo Total]]*Tabla8[[#This Row],[Numero de Transportes]]</calculatedColumnFormula>
    </tableColumn>
    <tableColumn id="13" xr3:uid="{2FE52AFA-ECA4-42E2-8C68-5F189C20E7C7}" name="Ganancia/Perdida" totalsRowFunction="custom" dataDxfId="119" totalsRowDxfId="5" dataCellStyle="Moneda">
      <calculatedColumnFormula>(Tabla8[[#This Row],[VLR. Transporte unitario]]-Tabla8[[#This Row],[Costo Total]])*Tabla8[[#This Row],[Numero de Transportes]]</calculatedColumnFormula>
      <totalsRowFormula>SUM(Tabla8[Ganancia/Perdida])</totalsRowFormula>
    </tableColumn>
    <tableColumn id="14" xr3:uid="{1943B81D-BE1A-4F6C-9A90-D652EAC0A7A7}" name="Margen " dataDxfId="118" totalsRowDxfId="4" dataCellStyle="Moneda">
      <calculatedColumnFormula>Tabla8[[#This Row],[Margen de productos]]+Tabla8[[#This Row],[Ganancia/Perdida]]</calculatedColumnFormula>
    </tableColumn>
    <tableColumn id="15" xr3:uid="{71684E8E-CEA3-44BF-B1D3-D3FF5D7E9262}" name="Perdida o ganancia de margen" totalsRowFunction="average" dataDxfId="117" totalsRowDxfId="3" dataCellStyle="Porcentaje">
      <calculatedColumnFormula>(Tabla8[[#This Row],[Margen ]]/Tabla8[[#This Row],[Margen de productos]])-1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23C47B-C269-48D2-8D68-0151E7F70940}" name="Tabla10" displayName="Tabla10" ref="A245:A253" totalsRowShown="0" headerRowDxfId="116" dataDxfId="114" headerRowBorderDxfId="115" tableBorderDxfId="113" totalsRowBorderDxfId="112">
  <autoFilter ref="A245:A253" xr:uid="{5B23C47B-C269-48D2-8D68-0151E7F70940}"/>
  <tableColumns count="1">
    <tableColumn id="1" xr3:uid="{B3D637E3-9C8B-46BE-B04E-E41DC6A6C7FB}" name="Corregimiento" dataDxfId="111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2BE416-CB6B-47DF-9003-3531074BBE8C}" name="Diego" displayName="Diego" ref="A1:O90" totalsRowShown="0" headerRowDxfId="106" dataDxfId="104" headerRowBorderDxfId="105" tableBorderDxfId="103" totalsRowBorderDxfId="102">
  <autoFilter ref="A1:O90" xr:uid="{6D2BE416-CB6B-47DF-9003-3531074BBE8C}"/>
  <tableColumns count="15">
    <tableColumn id="1" xr3:uid="{8DF349DE-159C-4A16-B7D1-B9E6CFCF532A}" name="N° FACTURA" dataDxfId="101"/>
    <tableColumn id="2" xr3:uid="{920F4318-3AB7-4183-8279-58ED01A4F013}" name="FECHA" dataDxfId="100"/>
    <tableColumn id="3" xr3:uid="{29F62172-2B0E-440B-B897-14C78625F862}" name="TIPO FACTURA" dataDxfId="99"/>
    <tableColumn id="4" xr3:uid="{81DD9CB2-C6EB-4321-93DC-2D425618ED33}" name="CLIENTE" dataDxfId="98"/>
    <tableColumn id="5" xr3:uid="{345806E8-D572-4CB3-93D5-D9F3BDCA474E}" name="LUGAR ENVÍO" dataDxfId="97"/>
    <tableColumn id="15" xr3:uid="{3B670659-E4FD-4C54-B13B-DED7EBCB22CE}" name="ID" dataDxfId="96"/>
    <tableColumn id="14" xr3:uid="{22D0FD79-DD2A-4A32-9027-954D583BC942}" name="Corregimiento" dataDxfId="95">
      <calculatedColumnFormula>_xlfn.XLOOKUP(Diego[[#This Row],[ID]],Tabla2[ID],Tabla2[Corregimiento],"NA")</calculatedColumnFormula>
    </tableColumn>
    <tableColumn id="16" xr3:uid="{6C2B3BC9-DDDB-4336-8104-A4E9DB7B1802}" name="Distancia KM" dataDxfId="94"/>
    <tableColumn id="7" xr3:uid="{A46930D6-D37E-406A-A49A-AF60F94A3D1E}" name="PESO EST. (kg)" dataDxfId="93"/>
    <tableColumn id="8" xr3:uid="{84F1DAA0-4A01-4140-9379-B8D1D07AD74F}" name="Numero de Transportes" dataDxfId="92"/>
    <tableColumn id="9" xr3:uid="{866F0D0D-E9B2-4BC7-A751-30DB46AF129E}" name="VLR. TRANSPORTE C/U" dataDxfId="91"/>
    <tableColumn id="10" xr3:uid="{BED45EAE-1FCE-4485-870C-513EC00A2F5A}" name="VLR. TOTAL FACT." dataDxfId="90"/>
    <tableColumn id="11" xr3:uid="{53034D12-366D-48A1-8CEC-BE250A8E5E2A}" name="VLR. PRODUCTOS" dataDxfId="89"/>
    <tableColumn id="12" xr3:uid="{D0139A81-233A-44FF-BBD2-0B837A140B80}" name="Local/Tercero (1/0)" dataDxfId="88"/>
    <tableColumn id="13" xr3:uid="{764F2105-AB1C-455B-B201-AA373CEA83C6}" name="FORMA PAGO" dataDxfId="87"/>
  </tableColumns>
  <tableStyleInfo name="TableStyleLight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9D2A581-8AAD-4BE6-B263-7826B963F97B}" name="Tabla5" displayName="Tabla5" ref="A1:H184" totalsRowShown="0" headerRowDxfId="86">
  <autoFilter ref="A1:H184" xr:uid="{59D2A581-8AAD-4BE6-B263-7826B963F97B}"/>
  <tableColumns count="8">
    <tableColumn id="1" xr3:uid="{D68BC952-8181-4800-A037-7DA06D920593}" name="N° FACTURA"/>
    <tableColumn id="2" xr3:uid="{7A10A9A2-42F0-4CBF-A233-628D58075BE8}" name="FECHA" dataDxfId="85"/>
    <tableColumn id="8" xr3:uid="{6D716F1C-062E-485B-B2E0-A6FEA020DFD3}" name="Corregimiento de envio" dataDxfId="84">
      <calculatedColumnFormula>_xlfn.XLOOKUP(Tabla5[[#This Row],[N° FACTURA]],Tabla3[N° FACTURA],Tabla3[Corregimiento],"NA")</calculatedColumnFormula>
    </tableColumn>
    <tableColumn id="3" xr3:uid="{CB0672D6-1DC2-4306-8960-CFCF7162AED7}" name="ID Producto" dataDxfId="83"/>
    <tableColumn id="4" xr3:uid="{1D576ABD-6A53-4913-890F-EF3B4368F9A5}" name="Articulo"/>
    <tableColumn id="5" xr3:uid="{53CC7A3F-E5F2-408B-99E9-A9F5A37C2AC0}" name="Vr unit" dataCellStyle="Moneda"/>
    <tableColumn id="6" xr3:uid="{F0012060-4E20-4D96-A084-85651CDA7D89}" name="Cant"/>
    <tableColumn id="7" xr3:uid="{4E729FC0-167E-46FC-88E5-B4C4BF763C3E}" name="Vr. Total" dataCellStyle="Moneda">
      <calculatedColumnFormula>F2*G2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3.xml"/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DFAD-37B0-41B8-AE81-3BC570C698FD}">
  <dimension ref="A1:D28"/>
  <sheetViews>
    <sheetView showOutlineSymbols="0" showWhiteSpace="0" topLeftCell="A13" workbookViewId="0">
      <selection activeCell="C22" sqref="C22"/>
    </sheetView>
  </sheetViews>
  <sheetFormatPr baseColWidth="10" defaultRowHeight="14.4" x14ac:dyDescent="0.3"/>
  <cols>
    <col min="1" max="1" width="14" customWidth="1"/>
    <col min="2" max="2" width="14.33203125" customWidth="1"/>
    <col min="3" max="3" width="83.218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 t="s">
        <v>1</v>
      </c>
      <c r="C2" s="2" t="s">
        <v>7</v>
      </c>
      <c r="D2" s="2" t="s">
        <v>8</v>
      </c>
    </row>
    <row r="3" spans="1:4" x14ac:dyDescent="0.3">
      <c r="A3" s="1">
        <v>2</v>
      </c>
      <c r="B3" t="s">
        <v>2</v>
      </c>
      <c r="C3" s="2" t="s">
        <v>9</v>
      </c>
      <c r="D3" s="2" t="s">
        <v>10</v>
      </c>
    </row>
    <row r="4" spans="1:4" x14ac:dyDescent="0.3">
      <c r="A4">
        <v>3</v>
      </c>
      <c r="B4" t="s">
        <v>11</v>
      </c>
      <c r="C4" s="2" t="s">
        <v>12</v>
      </c>
      <c r="D4" s="2" t="s">
        <v>13</v>
      </c>
    </row>
    <row r="5" spans="1:4" x14ac:dyDescent="0.3">
      <c r="A5">
        <v>4</v>
      </c>
      <c r="B5" t="s">
        <v>0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  <row r="8" spans="1:4" x14ac:dyDescent="0.3">
      <c r="A8">
        <v>7</v>
      </c>
      <c r="B8" t="s">
        <v>22</v>
      </c>
      <c r="C8" t="s">
        <v>23</v>
      </c>
      <c r="D8" t="s">
        <v>24</v>
      </c>
    </row>
    <row r="9" spans="1:4" x14ac:dyDescent="0.3">
      <c r="A9">
        <v>8</v>
      </c>
      <c r="B9" t="s">
        <v>25</v>
      </c>
      <c r="C9" t="s">
        <v>26</v>
      </c>
      <c r="D9" t="s">
        <v>27</v>
      </c>
    </row>
    <row r="10" spans="1:4" x14ac:dyDescent="0.3">
      <c r="A10">
        <v>9</v>
      </c>
      <c r="B10" t="s">
        <v>28</v>
      </c>
      <c r="C10" t="s">
        <v>29</v>
      </c>
      <c r="D10" t="s">
        <v>30</v>
      </c>
    </row>
    <row r="11" spans="1:4" x14ac:dyDescent="0.3">
      <c r="A11">
        <v>10</v>
      </c>
      <c r="B11" s="1" t="s">
        <v>31</v>
      </c>
      <c r="C11" t="s">
        <v>32</v>
      </c>
      <c r="D11" t="s">
        <v>33</v>
      </c>
    </row>
    <row r="12" spans="1:4" x14ac:dyDescent="0.3">
      <c r="A12">
        <v>11</v>
      </c>
      <c r="B12" t="s">
        <v>34</v>
      </c>
      <c r="C12" t="s">
        <v>35</v>
      </c>
      <c r="D12" t="s">
        <v>36</v>
      </c>
    </row>
    <row r="13" spans="1:4" x14ac:dyDescent="0.3">
      <c r="A13">
        <v>12</v>
      </c>
      <c r="B13" t="s">
        <v>37</v>
      </c>
      <c r="C13" t="s">
        <v>38</v>
      </c>
      <c r="D13">
        <v>195</v>
      </c>
    </row>
    <row r="14" spans="1:4" x14ac:dyDescent="0.3">
      <c r="A14">
        <v>13</v>
      </c>
      <c r="B14" t="s">
        <v>39</v>
      </c>
      <c r="D14" t="s">
        <v>40</v>
      </c>
    </row>
    <row r="15" spans="1:4" x14ac:dyDescent="0.3">
      <c r="A15">
        <v>14</v>
      </c>
      <c r="B15" t="s">
        <v>41</v>
      </c>
      <c r="C15" t="s">
        <v>42</v>
      </c>
      <c r="D15" t="s">
        <v>43</v>
      </c>
    </row>
    <row r="16" spans="1:4" x14ac:dyDescent="0.3">
      <c r="A16">
        <v>15</v>
      </c>
      <c r="B16" t="s">
        <v>44</v>
      </c>
      <c r="D16" t="s">
        <v>45</v>
      </c>
    </row>
    <row r="17" spans="1:4" x14ac:dyDescent="0.3">
      <c r="A17">
        <v>16</v>
      </c>
      <c r="B17" t="s">
        <v>46</v>
      </c>
      <c r="C17" t="s">
        <v>47</v>
      </c>
      <c r="D17" t="s">
        <v>48</v>
      </c>
    </row>
    <row r="18" spans="1:4" x14ac:dyDescent="0.3">
      <c r="A18">
        <v>17</v>
      </c>
      <c r="B18" t="s">
        <v>49</v>
      </c>
      <c r="C18" t="s">
        <v>50</v>
      </c>
      <c r="D18" t="s">
        <v>51</v>
      </c>
    </row>
    <row r="19" spans="1:4" x14ac:dyDescent="0.3">
      <c r="A19">
        <v>18</v>
      </c>
      <c r="B19" t="s">
        <v>52</v>
      </c>
      <c r="C19" t="s">
        <v>53</v>
      </c>
      <c r="D19" t="s">
        <v>54</v>
      </c>
    </row>
    <row r="20" spans="1:4" x14ac:dyDescent="0.3">
      <c r="A20">
        <v>19</v>
      </c>
      <c r="B20" t="s">
        <v>55</v>
      </c>
      <c r="C20" t="s">
        <v>56</v>
      </c>
      <c r="D20" t="s">
        <v>57</v>
      </c>
    </row>
    <row r="21" spans="1:4" x14ac:dyDescent="0.3">
      <c r="A21">
        <v>20</v>
      </c>
      <c r="B21" t="s">
        <v>58</v>
      </c>
      <c r="C21" t="s">
        <v>59</v>
      </c>
      <c r="D21" t="s">
        <v>60</v>
      </c>
    </row>
    <row r="22" spans="1:4" x14ac:dyDescent="0.3">
      <c r="A22">
        <v>21</v>
      </c>
      <c r="B22" t="s">
        <v>61</v>
      </c>
      <c r="C22" t="s">
        <v>62</v>
      </c>
      <c r="D22" t="s">
        <v>63</v>
      </c>
    </row>
    <row r="23" spans="1:4" x14ac:dyDescent="0.3">
      <c r="A23">
        <v>22</v>
      </c>
      <c r="B23" t="s">
        <v>64</v>
      </c>
      <c r="C23" t="s">
        <v>65</v>
      </c>
      <c r="D23" t="s">
        <v>66</v>
      </c>
    </row>
    <row r="24" spans="1:4" x14ac:dyDescent="0.3">
      <c r="A24">
        <v>23</v>
      </c>
      <c r="B24" t="s">
        <v>67</v>
      </c>
      <c r="C24" t="s">
        <v>68</v>
      </c>
      <c r="D24" t="s">
        <v>69</v>
      </c>
    </row>
    <row r="25" spans="1:4" x14ac:dyDescent="0.3">
      <c r="A25">
        <v>24</v>
      </c>
      <c r="B25" t="s">
        <v>70</v>
      </c>
      <c r="C25" t="s">
        <v>71</v>
      </c>
      <c r="D25" t="s">
        <v>72</v>
      </c>
    </row>
    <row r="26" spans="1:4" x14ac:dyDescent="0.3">
      <c r="A26">
        <v>25</v>
      </c>
      <c r="B26" t="s">
        <v>73</v>
      </c>
      <c r="C26" t="s">
        <v>74</v>
      </c>
      <c r="D26" t="s">
        <v>75</v>
      </c>
    </row>
    <row r="27" spans="1:4" x14ac:dyDescent="0.3">
      <c r="A27">
        <v>26</v>
      </c>
      <c r="B27" t="s">
        <v>76</v>
      </c>
      <c r="C27" t="s">
        <v>77</v>
      </c>
      <c r="D27" t="s">
        <v>78</v>
      </c>
    </row>
    <row r="28" spans="1:4" x14ac:dyDescent="0.3">
      <c r="A28">
        <v>27</v>
      </c>
      <c r="B28" t="s">
        <v>79</v>
      </c>
      <c r="C28" t="s">
        <v>80</v>
      </c>
      <c r="D28">
        <v>430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5195-E9CB-47BC-B097-A9AAAAF70F2F}">
  <dimension ref="A1:D30"/>
  <sheetViews>
    <sheetView showOutlineSymbols="0" showWhiteSpace="0" topLeftCell="A10" workbookViewId="0">
      <selection activeCell="A35" sqref="A35"/>
    </sheetView>
  </sheetViews>
  <sheetFormatPr baseColWidth="10" defaultRowHeight="14.4" x14ac:dyDescent="0.3"/>
  <cols>
    <col min="1" max="1" width="43.6640625" bestFit="1" customWidth="1"/>
    <col min="2" max="2" width="13.5546875" bestFit="1" customWidth="1"/>
    <col min="3" max="3" width="13.6640625" bestFit="1" customWidth="1"/>
    <col min="4" max="4" width="41.44140625" bestFit="1" customWidth="1"/>
  </cols>
  <sheetData>
    <row r="1" spans="1:4" ht="36" customHeight="1" x14ac:dyDescent="0.3">
      <c r="A1" s="201" t="s">
        <v>558</v>
      </c>
      <c r="B1" s="201"/>
      <c r="C1" s="201"/>
      <c r="D1" s="201"/>
    </row>
    <row r="2" spans="1:4" x14ac:dyDescent="0.3">
      <c r="A2" s="202" t="s">
        <v>559</v>
      </c>
      <c r="B2" s="202"/>
      <c r="C2" s="202"/>
      <c r="D2" s="202"/>
    </row>
    <row r="4" spans="1:4" ht="37.5" customHeight="1" x14ac:dyDescent="0.3">
      <c r="A4" s="203" t="s">
        <v>560</v>
      </c>
      <c r="B4" s="203"/>
      <c r="C4" s="203"/>
      <c r="D4" s="203"/>
    </row>
    <row r="5" spans="1:4" x14ac:dyDescent="0.3">
      <c r="A5" s="103" t="s">
        <v>561</v>
      </c>
      <c r="B5" s="103" t="s">
        <v>562</v>
      </c>
      <c r="C5" s="103" t="s">
        <v>563</v>
      </c>
      <c r="D5" s="103" t="s">
        <v>564</v>
      </c>
    </row>
    <row r="6" spans="1:4" x14ac:dyDescent="0.3">
      <c r="A6" s="104" t="s">
        <v>565</v>
      </c>
      <c r="B6" s="105">
        <v>5124456</v>
      </c>
      <c r="C6" s="106" t="s">
        <v>566</v>
      </c>
      <c r="D6" s="107" t="s">
        <v>567</v>
      </c>
    </row>
    <row r="7" spans="1:4" x14ac:dyDescent="0.3">
      <c r="A7" s="108" t="s">
        <v>568</v>
      </c>
      <c r="B7" s="109">
        <v>4594580</v>
      </c>
      <c r="C7" s="106" t="s">
        <v>566</v>
      </c>
      <c r="D7" s="107" t="s">
        <v>567</v>
      </c>
    </row>
    <row r="8" spans="1:4" ht="18" x14ac:dyDescent="0.3">
      <c r="A8" s="108" t="s">
        <v>569</v>
      </c>
      <c r="B8" s="109">
        <v>58666.67</v>
      </c>
      <c r="C8" s="106" t="s">
        <v>566</v>
      </c>
      <c r="D8" s="107" t="s">
        <v>570</v>
      </c>
    </row>
    <row r="9" spans="1:4" ht="38.25" customHeight="1" x14ac:dyDescent="0.3">
      <c r="A9" s="110" t="s">
        <v>571</v>
      </c>
      <c r="B9" s="111">
        <f>SUM(B6:B8)</f>
        <v>9777702.6699999999</v>
      </c>
      <c r="C9" s="112" t="s">
        <v>572</v>
      </c>
      <c r="D9" s="113"/>
    </row>
    <row r="10" spans="1:4" x14ac:dyDescent="0.3">
      <c r="A10" s="114" t="s">
        <v>573</v>
      </c>
      <c r="B10" s="115">
        <f>COUNT(Tabla3[N° FACTURA])</f>
        <v>240</v>
      </c>
      <c r="C10" s="116"/>
      <c r="D10" s="117" t="s">
        <v>574</v>
      </c>
    </row>
    <row r="11" spans="1:4" ht="21.75" x14ac:dyDescent="0.3">
      <c r="A11" s="118" t="s">
        <v>575</v>
      </c>
      <c r="B11" s="119">
        <f>IFERROR(B9/B10,0)</f>
        <v>40740.427791666669</v>
      </c>
    </row>
    <row r="13" spans="1:4" ht="32.25" customHeight="1" x14ac:dyDescent="0.3">
      <c r="A13" s="204" t="s">
        <v>576</v>
      </c>
      <c r="B13" s="204"/>
      <c r="C13" s="204"/>
      <c r="D13" s="204"/>
    </row>
    <row r="14" spans="1:4" x14ac:dyDescent="0.3">
      <c r="A14" s="103" t="s">
        <v>561</v>
      </c>
      <c r="B14" s="103" t="s">
        <v>562</v>
      </c>
      <c r="C14" s="103" t="s">
        <v>563</v>
      </c>
      <c r="D14" s="103" t="s">
        <v>564</v>
      </c>
    </row>
    <row r="15" spans="1:4" x14ac:dyDescent="0.3">
      <c r="A15" s="104" t="s">
        <v>577</v>
      </c>
      <c r="B15" s="105">
        <v>1893969</v>
      </c>
      <c r="C15" s="120" t="s">
        <v>578</v>
      </c>
      <c r="D15" s="107" t="s">
        <v>579</v>
      </c>
    </row>
    <row r="16" spans="1:4" x14ac:dyDescent="0.3">
      <c r="A16" s="108" t="s">
        <v>580</v>
      </c>
      <c r="B16" s="109">
        <v>1000000</v>
      </c>
      <c r="C16" s="120" t="s">
        <v>581</v>
      </c>
      <c r="D16" s="121" t="s">
        <v>582</v>
      </c>
    </row>
    <row r="17" spans="1:4" ht="36.75" customHeight="1" x14ac:dyDescent="0.3">
      <c r="A17" s="122" t="s">
        <v>583</v>
      </c>
      <c r="B17" s="123">
        <f>SUM(B15:B16)</f>
        <v>2893969</v>
      </c>
      <c r="C17" s="124" t="s">
        <v>584</v>
      </c>
      <c r="D17" s="125" t="s">
        <v>585</v>
      </c>
    </row>
    <row r="18" spans="1:4" x14ac:dyDescent="0.3">
      <c r="A18" s="114" t="s">
        <v>586</v>
      </c>
      <c r="B18" s="126">
        <f>AVERAGE(Tabla3[DISTANCIA (km)])</f>
        <v>4.4318196833333303</v>
      </c>
      <c r="C18" s="116"/>
      <c r="D18" s="117" t="s">
        <v>587</v>
      </c>
    </row>
    <row r="19" spans="1:4" x14ac:dyDescent="0.3">
      <c r="A19" s="127" t="s">
        <v>588</v>
      </c>
      <c r="B19" s="128">
        <v>2</v>
      </c>
    </row>
    <row r="20" spans="1:4" x14ac:dyDescent="0.3">
      <c r="A20" s="129" t="s">
        <v>589</v>
      </c>
      <c r="B20" s="130">
        <f>B10*B18*2</f>
        <v>2127.2734479999986</v>
      </c>
    </row>
    <row r="21" spans="1:4" ht="17.399999999999999" x14ac:dyDescent="0.3">
      <c r="A21" s="122" t="s">
        <v>590</v>
      </c>
      <c r="B21" s="131">
        <f>IFERROR(B17/B20,0)</f>
        <v>1360.4123168654348</v>
      </c>
      <c r="D21" s="125" t="s">
        <v>591</v>
      </c>
    </row>
    <row r="23" spans="1:4" x14ac:dyDescent="0.3">
      <c r="A23" s="205" t="s">
        <v>592</v>
      </c>
      <c r="B23" s="205"/>
      <c r="C23" s="205"/>
      <c r="D23" s="205"/>
    </row>
    <row r="24" spans="1:4" x14ac:dyDescent="0.3">
      <c r="A24" s="114" t="s">
        <v>593</v>
      </c>
      <c r="B24" s="126">
        <v>5.5</v>
      </c>
      <c r="D24" s="132" t="s">
        <v>594</v>
      </c>
    </row>
    <row r="25" spans="1:4" x14ac:dyDescent="0.3">
      <c r="A25" s="114" t="s">
        <v>595</v>
      </c>
      <c r="B25" s="133">
        <v>45</v>
      </c>
      <c r="D25" s="132" t="s">
        <v>596</v>
      </c>
    </row>
    <row r="26" spans="1:4" x14ac:dyDescent="0.3">
      <c r="A26" s="108" t="s">
        <v>597</v>
      </c>
      <c r="B26" s="134">
        <f>IF(B25&gt;50,1+(B25-50)*0.002,1)</f>
        <v>1</v>
      </c>
      <c r="D26" s="107" t="s">
        <v>598</v>
      </c>
    </row>
    <row r="27" spans="1:4" x14ac:dyDescent="0.3">
      <c r="A27" s="114" t="s">
        <v>599</v>
      </c>
      <c r="B27" s="115">
        <v>1</v>
      </c>
    </row>
    <row r="28" spans="1:4" x14ac:dyDescent="0.3">
      <c r="A28" s="108" t="s">
        <v>600</v>
      </c>
      <c r="B28" s="109">
        <f>IFERROR(B9/B10*B27,0)</f>
        <v>40740.427791666669</v>
      </c>
      <c r="D28" s="107" t="s">
        <v>601</v>
      </c>
    </row>
    <row r="29" spans="1:4" x14ac:dyDescent="0.3">
      <c r="A29" s="108" t="s">
        <v>602</v>
      </c>
      <c r="B29" s="109">
        <f>B24*2*IFERROR(4787938/B20,0)*B26*B27</f>
        <v>24758.132552031006</v>
      </c>
      <c r="D29" s="107" t="s">
        <v>603</v>
      </c>
    </row>
    <row r="30" spans="1:4" ht="17.399999999999999" x14ac:dyDescent="0.3">
      <c r="A30" s="118" t="s">
        <v>604</v>
      </c>
      <c r="B30" s="135">
        <f>B28+B29</f>
        <v>65498.560343697674</v>
      </c>
      <c r="D30" s="136" t="s">
        <v>605</v>
      </c>
    </row>
  </sheetData>
  <mergeCells count="5">
    <mergeCell ref="A1:D1"/>
    <mergeCell ref="A2:D2"/>
    <mergeCell ref="A4:D4"/>
    <mergeCell ref="A13:D13"/>
    <mergeCell ref="A23:D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C39F-A69E-46A9-A926-31AC92E831E1}">
  <dimension ref="A1:T93"/>
  <sheetViews>
    <sheetView showOutlineSymbols="0" showWhiteSpace="0" topLeftCell="K1" workbookViewId="0">
      <selection activeCell="N1" sqref="N1:T9"/>
    </sheetView>
  </sheetViews>
  <sheetFormatPr baseColWidth="10" defaultRowHeight="14.4" x14ac:dyDescent="0.3"/>
  <cols>
    <col min="2" max="2" width="14.5546875" customWidth="1"/>
    <col min="3" max="3" width="14" bestFit="1" customWidth="1"/>
    <col min="5" max="5" width="22.21875" bestFit="1" customWidth="1"/>
    <col min="9" max="9" width="14.5546875" bestFit="1" customWidth="1"/>
    <col min="10" max="10" width="12.44140625" bestFit="1" customWidth="1"/>
    <col min="11" max="12" width="15.33203125" bestFit="1" customWidth="1"/>
    <col min="14" max="14" width="14.77734375" customWidth="1"/>
    <col min="15" max="15" width="19.33203125" customWidth="1"/>
    <col min="16" max="16" width="22.88671875" customWidth="1"/>
    <col min="17" max="17" width="19.6640625" bestFit="1" customWidth="1"/>
    <col min="18" max="18" width="27.21875" bestFit="1" customWidth="1"/>
    <col min="19" max="19" width="27.21875" customWidth="1"/>
  </cols>
  <sheetData>
    <row r="1" spans="1:20" ht="40.5" customHeight="1" x14ac:dyDescent="0.3">
      <c r="A1" t="s">
        <v>517</v>
      </c>
      <c r="B1" t="s">
        <v>518</v>
      </c>
      <c r="C1" t="s">
        <v>519</v>
      </c>
      <c r="E1" s="49" t="s">
        <v>520</v>
      </c>
      <c r="F1" s="49" t="s">
        <v>610</v>
      </c>
      <c r="G1" s="49" t="s">
        <v>542</v>
      </c>
      <c r="H1" s="49" t="s">
        <v>548</v>
      </c>
      <c r="I1" s="49" t="s">
        <v>543</v>
      </c>
      <c r="J1" s="49" t="s">
        <v>544</v>
      </c>
      <c r="K1" s="49" t="s">
        <v>546</v>
      </c>
      <c r="L1" s="49" t="s">
        <v>550</v>
      </c>
      <c r="N1" t="s">
        <v>4</v>
      </c>
      <c r="O1" t="s">
        <v>556</v>
      </c>
      <c r="P1" t="s">
        <v>557</v>
      </c>
      <c r="Q1" s="89" t="s">
        <v>695</v>
      </c>
      <c r="R1" s="89" t="s">
        <v>694</v>
      </c>
      <c r="S1" s="89" t="s">
        <v>697</v>
      </c>
      <c r="T1" t="s">
        <v>696</v>
      </c>
    </row>
    <row r="2" spans="1:20" x14ac:dyDescent="0.3">
      <c r="A2" s="17">
        <v>45962</v>
      </c>
      <c r="B2">
        <f>COUNTIF(Tabla3[FECHA],Tabla4[[#This Row],[Fecha]])</f>
        <v>14</v>
      </c>
      <c r="C2" s="45">
        <f>SUMIF(Tabla3[FECHA],Tabla4[[#This Row],[Fecha]],Tabla3[VLR. TRANSPORTE])</f>
        <v>695000</v>
      </c>
      <c r="E2" t="s">
        <v>536</v>
      </c>
      <c r="F2">
        <f>COUNTIF(Tabla3[LUGAR ENVÍO],Tabla6[[#This Row],[Nombre]])</f>
        <v>0</v>
      </c>
      <c r="G2">
        <f>SUMIF(Tabla3[LUGAR ENVÍO],Tabla6[[#This Row],[Nombre]],Tabla3[Numero de Transportes])</f>
        <v>0</v>
      </c>
      <c r="H2" s="88">
        <f>Tabla6[[#This Row],[Numero de Facturas]]/Tabla6[[#Totals],[Numero de Facturas]]</f>
        <v>0</v>
      </c>
      <c r="I2" s="45">
        <f>SUMIF(Tabla3[LUGAR ENVÍO],Tabla6[[#This Row],[Nombre]],Tabla3[VLR. TRANSPORTE])</f>
        <v>0</v>
      </c>
      <c r="J2" s="45" t="e">
        <f>AVERAGEIF(Tabla3[LUGAR ENVÍO],Tabla6[[#This Row],[Nombre]],Tabla3[VLR. TRANSPORTE])</f>
        <v>#DIV/0!</v>
      </c>
      <c r="K2" s="85" t="e">
        <f>Tabla6[[#This Row],[Distancia total ida y vuelta]]/Tabla6[[#This Row],[Numero de Facturas]]</f>
        <v>#DIV/0!</v>
      </c>
      <c r="L2">
        <f>SUMIF(Tabla3[LUGAR ENVÍO],Tabla6[[#This Row],[Nombre]],Tabla3[DISTANCIA (km)])</f>
        <v>0</v>
      </c>
      <c r="N2" t="s">
        <v>0</v>
      </c>
      <c r="O2">
        <f>COUNTIF(Tabla3[Corregimiento],Tabla7[[#This Row],[Corregimiento]])</f>
        <v>101</v>
      </c>
      <c r="P2" s="45">
        <f>SUMIF(Tabla3[Corregimiento],Tabla7[[#This Row],[Corregimiento]],Tabla3[VLR. TRANSPORTE])</f>
        <v>5630000</v>
      </c>
      <c r="Q2" s="102">
        <f>AVERAGEIF(Tabla3[Corregimiento],Tabla7[[#This Row],[Corregimiento]],Tabla3[DISTANCIA (km)])</f>
        <v>4.2490918217821809</v>
      </c>
      <c r="R2" s="45">
        <f>AVERAGEIF(Tabla3[Corregimiento],Tabla7[[#This Row],[Corregimiento]],Tabla3[Valor Tran])</f>
        <v>50495.049504950497</v>
      </c>
      <c r="S2" s="45">
        <f>AVERAGEIF(Tabla8[Corregimiento],Tabla7[[#This Row],[Corregimiento]],Tabla8[Costo Total])</f>
        <v>52121.823095942731</v>
      </c>
      <c r="T2" s="88">
        <f>AVERAGEIF(Tabla8[Corregimiento],Tabla7[[#This Row],[Corregimiento]],Tabla8[Perdida o ganancia de margen])</f>
        <v>-6.3998881360192633E-2</v>
      </c>
    </row>
    <row r="3" spans="1:20" x14ac:dyDescent="0.3">
      <c r="A3" s="17">
        <v>45963</v>
      </c>
      <c r="B3">
        <f>COUNTIF(Tabla3[FECHA],Tabla4[[#This Row],[Fecha]])</f>
        <v>1</v>
      </c>
      <c r="C3" s="45">
        <f>SUMIF(Tabla3[FECHA],Tabla4[[#This Row],[Fecha]],Tabla3[VLR. TRANSPORTE])</f>
        <v>60000</v>
      </c>
      <c r="E3" t="s">
        <v>554</v>
      </c>
      <c r="F3">
        <f>COUNTIF(Tabla3[LUGAR ENVÍO],Tabla6[[#This Row],[Nombre]])</f>
        <v>11</v>
      </c>
      <c r="G3">
        <f>SUMIF(Tabla3[LUGAR ENVÍO],Tabla6[[#This Row],[Nombre]],Tabla3[Numero de Transportes])</f>
        <v>15</v>
      </c>
      <c r="H3" s="88">
        <f>Tabla6[[#This Row],[Numero de Facturas]]/Tabla6[[#Totals],[Numero de Facturas]]</f>
        <v>0.15942028985507245</v>
      </c>
      <c r="I3" s="45">
        <f>SUMIF(Tabla3[LUGAR ENVÍO],Tabla6[[#This Row],[Nombre]],Tabla3[VLR. TRANSPORTE])</f>
        <v>985000</v>
      </c>
      <c r="J3" s="45">
        <f>AVERAGEIF(Tabla3[LUGAR ENVÍO],Tabla6[[#This Row],[Nombre]],Tabla3[VLR. TRANSPORTE])</f>
        <v>89545.454545454544</v>
      </c>
      <c r="K3" s="85">
        <f>Tabla6[[#This Row],[Distancia total ida y vuelta]]/Tabla6[[#This Row],[Numero de Facturas]]</f>
        <v>2.649999999999999</v>
      </c>
      <c r="L3">
        <f>SUMIF(Tabla3[LUGAR ENVÍO],Tabla6[[#This Row],[Nombre]],Tabla3[DISTANCIA (km)])</f>
        <v>29.149999999999988</v>
      </c>
      <c r="N3" t="s">
        <v>2</v>
      </c>
      <c r="O3">
        <f>COUNTIF(Tabla3[Corregimiento],Tabla7[[#This Row],[Corregimiento]])</f>
        <v>90</v>
      </c>
      <c r="P3" s="45">
        <f>SUMIF(Tabla3[Corregimiento],Tabla7[[#This Row],[Corregimiento]],Tabla3[VLR. TRANSPORTE])</f>
        <v>4195000</v>
      </c>
      <c r="Q3" s="102">
        <f>AVERAGEIF(Tabla3[Corregimiento],Tabla7[[#This Row],[Corregimiento]],Tabla3[DISTANCIA (km)])</f>
        <v>2.4517922333333355</v>
      </c>
      <c r="R3" s="45">
        <f>AVERAGEIF(Tabla3[Corregimiento],Tabla7[[#This Row],[Corregimiento]],Tabla3[Valor Tran])</f>
        <v>37222.222222222219</v>
      </c>
      <c r="S3" s="45">
        <f>AVERAGEIF(Tabla8[Corregimiento],Tabla7[[#This Row],[Corregimiento]],Tabla8[Costo Total])</f>
        <v>47463.142425766287</v>
      </c>
      <c r="T3" s="88">
        <f>AVERAGEIF(Tabla8[Corregimiento],Tabla7[[#This Row],[Corregimiento]],Tabla8[Perdida o ganancia de margen])</f>
        <v>-0.13028935654985876</v>
      </c>
    </row>
    <row r="4" spans="1:20" x14ac:dyDescent="0.3">
      <c r="A4" s="17">
        <v>45964</v>
      </c>
      <c r="B4">
        <f>COUNTIF(Tabla3[FECHA],Tabla4[[#This Row],[Fecha]])</f>
        <v>2</v>
      </c>
      <c r="C4" s="45">
        <f>SUMIF(Tabla3[FECHA],Tabla4[[#This Row],[Fecha]],Tabla3[VLR. TRANSPORTE])</f>
        <v>120000</v>
      </c>
      <c r="E4" t="s">
        <v>505</v>
      </c>
      <c r="F4">
        <f>COUNTIF(Tabla3[LUGAR ENVÍO],Tabla6[[#This Row],[Nombre]])</f>
        <v>7</v>
      </c>
      <c r="G4">
        <f>SUMIF(Tabla3[LUGAR ENVÍO],Tabla6[[#This Row],[Nombre]],Tabla3[Numero de Transportes])</f>
        <v>8</v>
      </c>
      <c r="H4" s="88">
        <f>Tabla6[[#This Row],[Numero de Facturas]]/Tabla6[[#Totals],[Numero de Facturas]]</f>
        <v>0.10144927536231885</v>
      </c>
      <c r="I4" s="45">
        <f>SUMIF(Tabla3[LUGAR ENVÍO],Tabla6[[#This Row],[Nombre]],Tabla3[VLR. TRANSPORTE])</f>
        <v>580000</v>
      </c>
      <c r="J4" s="45">
        <f>AVERAGEIF(Tabla3[LUGAR ENVÍO],Tabla6[[#This Row],[Nombre]],Tabla3[VLR. TRANSPORTE])</f>
        <v>82857.142857142855</v>
      </c>
      <c r="K4" s="85">
        <f>Tabla6[[#This Row],[Distancia total ida y vuelta]]/Tabla6[[#This Row],[Numero de Facturas]]</f>
        <v>5.7569999999999997</v>
      </c>
      <c r="L4">
        <f>SUMIF(Tabla3[LUGAR ENVÍO],Tabla6[[#This Row],[Nombre]],Tabla3[DISTANCIA (km)])</f>
        <v>40.298999999999999</v>
      </c>
      <c r="N4" t="s">
        <v>19</v>
      </c>
      <c r="O4">
        <f>COUNTIF(Tabla3[Corregimiento],Tabla7[[#This Row],[Corregimiento]])</f>
        <v>26</v>
      </c>
      <c r="P4" s="45">
        <f>SUMIF(Tabla3[Corregimiento],Tabla7[[#This Row],[Corregimiento]],Tabla3[VLR. TRANSPORTE])</f>
        <v>1745000</v>
      </c>
      <c r="Q4" s="102">
        <f>AVERAGEIF(Tabla3[Corregimiento],Tabla7[[#This Row],[Corregimiento]],Tabla3[DISTANCIA (km)])</f>
        <v>6.2415441923076909</v>
      </c>
      <c r="R4" s="45">
        <f>AVERAGEIF(Tabla3[Corregimiento],Tabla7[[#This Row],[Corregimiento]],Tabla3[Valor Tran])</f>
        <v>51730.769230769234</v>
      </c>
      <c r="S4" s="45">
        <f>AVERAGEIF(Tabla8[Corregimiento],Tabla7[[#This Row],[Corregimiento]],Tabla8[Costo Total])</f>
        <v>57793.765440551048</v>
      </c>
      <c r="T4" s="88">
        <f>AVERAGEIF(Tabla8[Corregimiento],Tabla7[[#This Row],[Corregimiento]],Tabla8[Perdida o ganancia de margen])</f>
        <v>-0.14504126508935239</v>
      </c>
    </row>
    <row r="5" spans="1:20" x14ac:dyDescent="0.3">
      <c r="A5" s="17">
        <v>45965</v>
      </c>
      <c r="B5">
        <f>COUNTIF(Tabla3[FECHA],Tabla4[[#This Row],[Fecha]])</f>
        <v>4</v>
      </c>
      <c r="C5" s="45">
        <f>SUMIF(Tabla3[FECHA],Tabla4[[#This Row],[Fecha]],Tabla3[VLR. TRANSPORTE])</f>
        <v>190000</v>
      </c>
      <c r="E5" t="s">
        <v>163</v>
      </c>
      <c r="F5">
        <f>COUNTIF(Tabla3[LUGAR ENVÍO],Tabla6[[#This Row],[Nombre]])</f>
        <v>8</v>
      </c>
      <c r="G5">
        <f>SUMIF(Tabla3[LUGAR ENVÍO],Tabla6[[#This Row],[Nombre]],Tabla3[Numero de Transportes])</f>
        <v>10</v>
      </c>
      <c r="H5" s="88">
        <f>Tabla6[[#This Row],[Numero de Facturas]]/Tabla6[[#Totals],[Numero de Facturas]]</f>
        <v>0.11594202898550725</v>
      </c>
      <c r="I5" s="45">
        <f>SUMIF(Tabla3[LUGAR ENVÍO],Tabla6[[#This Row],[Nombre]],Tabla3[VLR. TRANSPORTE])</f>
        <v>390000</v>
      </c>
      <c r="J5" s="45">
        <f>AVERAGEIF(Tabla3[LUGAR ENVÍO],Tabla6[[#This Row],[Nombre]],Tabla3[VLR. TRANSPORTE])</f>
        <v>48750</v>
      </c>
      <c r="K5" s="85">
        <f>Tabla6[[#This Row],[Distancia total ida y vuelta]]/Tabla6[[#This Row],[Numero de Facturas]]</f>
        <v>4.3159999999999989</v>
      </c>
      <c r="L5">
        <f>SUMIF(Tabla3[LUGAR ENVÍO],Tabla6[[#This Row],[Nombre]],Tabla3[DISTANCIA (km)])</f>
        <v>34.527999999999992</v>
      </c>
      <c r="N5" t="s">
        <v>37</v>
      </c>
      <c r="O5">
        <f>COUNTIF(Tabla3[Corregimiento],Tabla7[[#This Row],[Corregimiento]])</f>
        <v>8</v>
      </c>
      <c r="P5" s="45">
        <f>SUMIF(Tabla3[Corregimiento],Tabla7[[#This Row],[Corregimiento]],Tabla3[VLR. TRANSPORTE])</f>
        <v>560000</v>
      </c>
      <c r="Q5" s="102">
        <f>AVERAGEIF(Tabla3[Corregimiento],Tabla7[[#This Row],[Corregimiento]],Tabla3[DISTANCIA (km)])</f>
        <v>11.975749999999998</v>
      </c>
      <c r="R5" s="45">
        <f>AVERAGEIF(Tabla3[Corregimiento],Tabla7[[#This Row],[Corregimiento]],Tabla3[Valor Tran])</f>
        <v>57500</v>
      </c>
      <c r="S5" s="45">
        <f>AVERAGEIF(Tabla8[Corregimiento],Tabla7[[#This Row],[Corregimiento]],Tabla8[Costo Total])</f>
        <v>73324.343399069126</v>
      </c>
      <c r="T5" s="88">
        <f>AVERAGEIF(Tabla8[Corregimiento],Tabla7[[#This Row],[Corregimiento]],Tabla8[Perdida o ganancia de margen])</f>
        <v>-0.18768167712523254</v>
      </c>
    </row>
    <row r="6" spans="1:20" x14ac:dyDescent="0.3">
      <c r="A6" s="17">
        <v>45966</v>
      </c>
      <c r="B6">
        <f>COUNTIF(Tabla3[FECHA],Tabla4[[#This Row],[Fecha]])</f>
        <v>9</v>
      </c>
      <c r="C6" s="45">
        <f>SUMIF(Tabla3[FECHA],Tabla4[[#This Row],[Fecha]],Tabla3[VLR. TRANSPORTE])</f>
        <v>495000</v>
      </c>
      <c r="E6" t="s">
        <v>551</v>
      </c>
      <c r="F6">
        <f>COUNTIF(Tabla3[LUGAR ENVÍO],Tabla6[[#This Row],[Nombre]])</f>
        <v>9</v>
      </c>
      <c r="G6">
        <f>SUMIF(Tabla3[LUGAR ENVÍO],Tabla6[[#This Row],[Nombre]],Tabla3[Numero de Transportes])</f>
        <v>9</v>
      </c>
      <c r="H6" s="88">
        <f>Tabla6[[#This Row],[Numero de Facturas]]/Tabla6[[#Totals],[Numero de Facturas]]</f>
        <v>0.13043478260869565</v>
      </c>
      <c r="I6" s="45">
        <f>SUMIF(Tabla3[LUGAR ENVÍO],Tabla6[[#This Row],[Nombre]],Tabla3[VLR. TRANSPORTE])</f>
        <v>460000</v>
      </c>
      <c r="J6" s="45">
        <f>AVERAGEIF(Tabla3[LUGAR ENVÍO],Tabla6[[#This Row],[Nombre]],Tabla3[VLR. TRANSPORTE])</f>
        <v>51111.111111111109</v>
      </c>
      <c r="K6" s="85">
        <f>Tabla6[[#This Row],[Distancia total ida y vuelta]]/Tabla6[[#This Row],[Numero de Facturas]]</f>
        <v>5.4639999999999986</v>
      </c>
      <c r="L6">
        <f>SUMIF(Tabla3[LUGAR ENVÍO],Tabla6[[#This Row],[Nombre]],Tabla3[DISTANCIA (km)])</f>
        <v>49.175999999999988</v>
      </c>
      <c r="N6" t="s">
        <v>64</v>
      </c>
      <c r="O6">
        <f>COUNTIF(Tabla3[Corregimiento],Tabla7[[#This Row],[Corregimiento]])</f>
        <v>7</v>
      </c>
      <c r="P6" s="45">
        <f>SUMIF(Tabla3[Corregimiento],Tabla7[[#This Row],[Corregimiento]],Tabla3[VLR. TRANSPORTE])</f>
        <v>365000</v>
      </c>
      <c r="Q6" s="102">
        <f>AVERAGEIF(Tabla3[Corregimiento],Tabla7[[#This Row],[Corregimiento]],Tabla3[DISTANCIA (km)])</f>
        <v>9.1617142857142877</v>
      </c>
      <c r="R6" s="45">
        <f>AVERAGEIF(Tabla3[Corregimiento],Tabla7[[#This Row],[Corregimiento]],Tabla3[Valor Tran])</f>
        <v>47857.142857142855</v>
      </c>
      <c r="S6" s="45">
        <f>AVERAGEIF(Tabla8[Corregimiento],Tabla7[[#This Row],[Corregimiento]],Tabla8[Costo Total])</f>
        <v>65667.845707442117</v>
      </c>
      <c r="T6" s="88">
        <f>AVERAGEIF(Tabla8[Corregimiento],Tabla7[[#This Row],[Corregimiento]],Tabla8[Perdida o ganancia de margen])</f>
        <v>-0.19185042274825634</v>
      </c>
    </row>
    <row r="7" spans="1:20" x14ac:dyDescent="0.3">
      <c r="A7" s="17">
        <v>45967</v>
      </c>
      <c r="B7">
        <f>COUNTIF(Tabla3[FECHA],Tabla4[[#This Row],[Fecha]])</f>
        <v>10</v>
      </c>
      <c r="C7" s="45">
        <f>SUMIF(Tabla3[FECHA],Tabla4[[#This Row],[Fecha]],Tabla3[VLR. TRANSPORTE])</f>
        <v>480000</v>
      </c>
      <c r="E7" t="s">
        <v>555</v>
      </c>
      <c r="F7">
        <f>COUNTIF(Tabla3[LUGAR ENVÍO],Tabla6[[#This Row],[Nombre]])</f>
        <v>5</v>
      </c>
      <c r="G7">
        <f>SUMIF(Tabla3[LUGAR ENVÍO],Tabla6[[#This Row],[Nombre]],Tabla3[Numero de Transportes])</f>
        <v>5</v>
      </c>
      <c r="H7" s="88">
        <f>Tabla6[[#This Row],[Numero de Facturas]]/Tabla6[[#Totals],[Numero de Facturas]]</f>
        <v>7.2463768115942032E-2</v>
      </c>
      <c r="I7" s="45">
        <f>SUMIF(Tabla3[LUGAR ENVÍO],Tabla6[[#This Row],[Nombre]],Tabla3[VLR. TRANSPORTE])</f>
        <v>270000</v>
      </c>
      <c r="J7" s="45">
        <f>AVERAGEIF(Tabla3[LUGAR ENVÍO],Tabla6[[#This Row],[Nombre]],Tabla3[VLR. TRANSPORTE])</f>
        <v>54000</v>
      </c>
      <c r="K7" s="85">
        <f>Tabla6[[#This Row],[Distancia total ida y vuelta]]/Tabla6[[#This Row],[Numero de Facturas]]</f>
        <v>2.7099999999999986</v>
      </c>
      <c r="L7">
        <f>SUMIF(Tabla3[LUGAR ENVÍO],Tabla6[[#This Row],[Nombre]],Tabla3[DISTANCIA (km)])</f>
        <v>13.549999999999994</v>
      </c>
      <c r="N7" t="s">
        <v>31</v>
      </c>
      <c r="O7">
        <f>COUNTIF(Tabla3[Corregimiento],Tabla7[[#This Row],[Corregimiento]])</f>
        <v>4</v>
      </c>
      <c r="P7" s="45">
        <f>SUMIF(Tabla3[Corregimiento],Tabla7[[#This Row],[Corregimiento]],Tabla3[VLR. TRANSPORTE])</f>
        <v>221000</v>
      </c>
      <c r="Q7" s="102">
        <f>AVERAGEIF(Tabla3[Corregimiento],Tabla7[[#This Row],[Corregimiento]],Tabla3[DISTANCIA (km)])</f>
        <v>18.542000000000002</v>
      </c>
      <c r="R7" s="45">
        <f>AVERAGEIF(Tabla3[Corregimiento],Tabla7[[#This Row],[Corregimiento]],Tabla3[Valor Tran])</f>
        <v>55250</v>
      </c>
      <c r="S7" s="45">
        <f>AVERAGEIF(Tabla8[Corregimiento],Tabla7[[#This Row],[Corregimiento]],Tabla8[Costo Total])</f>
        <v>91189.958150304461</v>
      </c>
      <c r="T7" s="88">
        <f>AVERAGEIF(Tabla8[Corregimiento],Tabla7[[#This Row],[Corregimiento]],Tabla8[Perdida o ganancia de margen])</f>
        <v>-7.4418547232673785E-2</v>
      </c>
    </row>
    <row r="8" spans="1:20" x14ac:dyDescent="0.3">
      <c r="A8" s="17">
        <v>45968</v>
      </c>
      <c r="B8">
        <f>COUNTIF(Tabla3[FECHA],Tabla4[[#This Row],[Fecha]])</f>
        <v>6</v>
      </c>
      <c r="C8" s="45">
        <f>SUMIF(Tabla3[FECHA],Tabla4[[#This Row],[Fecha]],Tabla3[VLR. TRANSPORTE])</f>
        <v>420000</v>
      </c>
      <c r="E8" t="s">
        <v>525</v>
      </c>
      <c r="F8">
        <f>COUNTIF(Tabla3[LUGAR ENVÍO],Tabla6[[#This Row],[Nombre]])</f>
        <v>0</v>
      </c>
      <c r="G8">
        <f>SUMIF(Tabla3[LUGAR ENVÍO],Tabla6[[#This Row],[Nombre]],Tabla3[Numero de Transportes])</f>
        <v>0</v>
      </c>
      <c r="H8" s="88">
        <f>Tabla6[[#This Row],[Numero de Facturas]]/Tabla6[[#Totals],[Numero de Facturas]]</f>
        <v>0</v>
      </c>
      <c r="I8" s="45">
        <f>SUMIF(Tabla3[LUGAR ENVÍO],Tabla6[[#This Row],[Nombre]],Tabla3[VLR. TRANSPORTE])</f>
        <v>0</v>
      </c>
      <c r="J8" s="45" t="e">
        <f>AVERAGEIF(Tabla3[LUGAR ENVÍO],Tabla6[[#This Row],[Nombre]],Tabla3[VLR. TRANSPORTE])</f>
        <v>#DIV/0!</v>
      </c>
      <c r="K8" s="85" t="e">
        <f>Tabla6[[#This Row],[Distancia total ida y vuelta]]/Tabla6[[#This Row],[Numero de Facturas]]</f>
        <v>#DIV/0!</v>
      </c>
      <c r="L8">
        <f>SUMIF(Tabla3[LUGAR ENVÍO],Tabla6[[#This Row],[Nombre]],Tabla3[DISTANCIA (km)])</f>
        <v>0</v>
      </c>
      <c r="N8" t="s">
        <v>25</v>
      </c>
      <c r="O8">
        <f>COUNTIF(Tabla3[Corregimiento],Tabla7[[#This Row],[Corregimiento]])</f>
        <v>4</v>
      </c>
      <c r="P8" s="45">
        <f>SUMIF(Tabla3[Corregimiento],Tabla7[[#This Row],[Corregimiento]],Tabla3[VLR. TRANSPORTE])</f>
        <v>160000</v>
      </c>
      <c r="Q8" s="102">
        <f>AVERAGEIF(Tabla3[Corregimiento],Tabla7[[#This Row],[Corregimiento]],Tabla3[DISTANCIA (km)])</f>
        <v>4.3577499999999993</v>
      </c>
      <c r="R8" s="45">
        <f>AVERAGEIF(Tabla3[Corregimiento],Tabla7[[#This Row],[Corregimiento]],Tabla3[Valor Tran])</f>
        <v>40000</v>
      </c>
      <c r="S8" s="45">
        <f>AVERAGEIF(Tabla8[Corregimiento],Tabla7[[#This Row],[Corregimiento]],Tabla8[Costo Total])</f>
        <v>52078.104040423197</v>
      </c>
      <c r="T8" s="88">
        <f>AVERAGEIF(Tabla8[Corregimiento],Tabla7[[#This Row],[Corregimiento]],Tabla8[Perdida o ganancia de margen])</f>
        <v>-0.28020703279886905</v>
      </c>
    </row>
    <row r="9" spans="1:20" x14ac:dyDescent="0.3">
      <c r="A9" s="17">
        <v>45969</v>
      </c>
      <c r="B9">
        <f>COUNTIF(Tabla3[FECHA],Tabla4[[#This Row],[Fecha]])</f>
        <v>7</v>
      </c>
      <c r="C9" s="45">
        <f>SUMIF(Tabla3[FECHA],Tabla4[[#This Row],[Fecha]],Tabla3[VLR. TRANSPORTE])</f>
        <v>245000</v>
      </c>
      <c r="E9" t="s">
        <v>0</v>
      </c>
      <c r="F9">
        <f>COUNTIF(Tabla3[LUGAR ENVÍO],Tabla6[[#This Row],[Nombre]])</f>
        <v>0</v>
      </c>
      <c r="G9">
        <f>SUMIF(Tabla3[LUGAR ENVÍO],Tabla6[[#This Row],[Nombre]],Tabla3[Numero de Transportes])</f>
        <v>0</v>
      </c>
      <c r="H9" s="88">
        <f>Tabla6[[#This Row],[Numero de Facturas]]/Tabla6[[#Totals],[Numero de Facturas]]</f>
        <v>0</v>
      </c>
      <c r="I9" s="45">
        <f>SUMIF(Tabla3[LUGAR ENVÍO],Tabla6[[#This Row],[Nombre]],Tabla3[VLR. TRANSPORTE])</f>
        <v>0</v>
      </c>
      <c r="J9" s="45" t="e">
        <f>AVERAGEIF(Tabla3[LUGAR ENVÍO],Tabla6[[#This Row],[Nombre]],Tabla3[VLR. TRANSPORTE])</f>
        <v>#DIV/0!</v>
      </c>
      <c r="K9" s="85" t="e">
        <f>Tabla6[[#This Row],[Distancia total ida y vuelta]]/Tabla6[[#This Row],[Numero de Facturas]]</f>
        <v>#DIV/0!</v>
      </c>
      <c r="L9">
        <f>SUMIF(Tabla3[LUGAR ENVÍO],Tabla6[[#This Row],[Nombre]],Tabla3[DISTANCIA (km)])</f>
        <v>0</v>
      </c>
      <c r="O9">
        <f>SUM(Tabla7[Total de transportes])</f>
        <v>240</v>
      </c>
      <c r="P9" s="50"/>
      <c r="Q9" s="102"/>
      <c r="R9" s="50"/>
      <c r="S9" s="50"/>
      <c r="T9" s="200">
        <f>SUBTOTAL(101,Tabla7[Perdida promedio de margen])</f>
        <v>-0.1533553118434908</v>
      </c>
    </row>
    <row r="10" spans="1:20" x14ac:dyDescent="0.3">
      <c r="A10" s="17">
        <v>45970</v>
      </c>
      <c r="B10">
        <f>COUNTIF(Tabla3[FECHA],Tabla4[[#This Row],[Fecha]])</f>
        <v>1</v>
      </c>
      <c r="C10" s="45">
        <f>SUMIF(Tabla3[FECHA],Tabla4[[#This Row],[Fecha]],Tabla3[VLR. TRANSPORTE])</f>
        <v>60000</v>
      </c>
      <c r="E10" t="s">
        <v>553</v>
      </c>
      <c r="F10">
        <f>COUNTIF(Tabla3[LUGAR ENVÍO],Tabla6[[#This Row],[Nombre]])</f>
        <v>7</v>
      </c>
      <c r="G10">
        <f>SUMIF(Tabla3[LUGAR ENVÍO],Tabla6[[#This Row],[Nombre]],Tabla3[Numero de Transportes])</f>
        <v>9</v>
      </c>
      <c r="H10" s="88">
        <f>Tabla6[[#This Row],[Numero de Facturas]]/Tabla6[[#Totals],[Numero de Facturas]]</f>
        <v>0.10144927536231885</v>
      </c>
      <c r="I10" s="45">
        <f>SUMIF(Tabla3[LUGAR ENVÍO],Tabla6[[#This Row],[Nombre]],Tabla3[VLR. TRANSPORTE])</f>
        <v>500000</v>
      </c>
      <c r="J10" s="45">
        <f>AVERAGEIF(Tabla3[LUGAR ENVÍO],Tabla6[[#This Row],[Nombre]],Tabla3[VLR. TRANSPORTE])</f>
        <v>71428.571428571435</v>
      </c>
      <c r="K10" s="85">
        <f>Tabla6[[#This Row],[Distancia total ida y vuelta]]/Tabla6[[#This Row],[Numero de Facturas]]</f>
        <v>13.069999999999997</v>
      </c>
      <c r="L10">
        <f>SUMIF(Tabla3[LUGAR ENVÍO],Tabla6[[#This Row],[Nombre]],Tabla3[DISTANCIA (km)])</f>
        <v>91.489999999999981</v>
      </c>
      <c r="O10">
        <f>COUNTIF(Tabla3[Corregimiento],Tabla7[[#This Row],[Corregimiento]])</f>
        <v>0</v>
      </c>
      <c r="P10" s="45">
        <f>SUMIF(Tabla3[Corregimiento],Tabla7[[#This Row],[Corregimiento]],Tabla3[VLR. TRANSPORTE])</f>
        <v>0</v>
      </c>
      <c r="Q10" s="102" t="e">
        <f>AVERAGEIF(Tabla3[Corregimiento],Tabla7[[#This Row],[Corregimiento]],Tabla3[DISTANCIA (km)])</f>
        <v>#DIV/0!</v>
      </c>
      <c r="R10" s="45" t="e">
        <f>AVERAGEIF(Tabla3[Corregimiento],Tabla7[[#This Row],[Corregimiento]],Tabla3[Valor Tran])</f>
        <v>#DIV/0!</v>
      </c>
      <c r="S10" s="45" t="e">
        <f>AVERAGEIF(Tabla8[Corregimiento],Tabla7[[#This Row],[Corregimiento]],Tabla8[Costo Total])</f>
        <v>#DIV/0!</v>
      </c>
      <c r="T10" s="88" t="e">
        <f>AVERAGEIF(Tabla8[Corregimiento],Tabla7[[#This Row],[Corregimiento]],Tabla8[Perdida o ganancia de margen])</f>
        <v>#DIV/0!</v>
      </c>
    </row>
    <row r="11" spans="1:20" x14ac:dyDescent="0.3">
      <c r="A11" s="17">
        <v>45971</v>
      </c>
      <c r="B11">
        <f>COUNTIF(Tabla3[FECHA],Tabla4[[#This Row],[Fecha]])</f>
        <v>7</v>
      </c>
      <c r="C11" s="45">
        <f>SUMIF(Tabla3[FECHA],Tabla4[[#This Row],[Fecha]],Tabla3[VLR. TRANSPORTE])</f>
        <v>335000</v>
      </c>
      <c r="E11" t="s">
        <v>526</v>
      </c>
      <c r="F11">
        <f>COUNTIF(Tabla3[LUGAR ENVÍO],Tabla6[[#This Row],[Nombre]])</f>
        <v>0</v>
      </c>
      <c r="G11">
        <f>SUMIF(Tabla3[LUGAR ENVÍO],Tabla6[[#This Row],[Nombre]],Tabla3[Numero de Transportes])</f>
        <v>0</v>
      </c>
      <c r="H11" s="88">
        <f>Tabla6[[#This Row],[Numero de Facturas]]/Tabla6[[#Totals],[Numero de Facturas]]</f>
        <v>0</v>
      </c>
      <c r="I11" s="45">
        <f>SUMIF(Tabla3[LUGAR ENVÍO],Tabla6[[#This Row],[Nombre]],Tabla3[VLR. TRANSPORTE])</f>
        <v>0</v>
      </c>
      <c r="J11" s="45" t="e">
        <f>AVERAGEIF(Tabla3[LUGAR ENVÍO],Tabla6[[#This Row],[Nombre]],Tabla3[VLR. TRANSPORTE])</f>
        <v>#DIV/0!</v>
      </c>
      <c r="K11" s="85" t="e">
        <f>Tabla6[[#This Row],[Distancia total ida y vuelta]]/Tabla6[[#This Row],[Numero de Facturas]]</f>
        <v>#DIV/0!</v>
      </c>
      <c r="L11">
        <f>SUMIF(Tabla3[LUGAR ENVÍO],Tabla6[[#This Row],[Nombre]],Tabla3[DISTANCIA (km)])</f>
        <v>0</v>
      </c>
    </row>
    <row r="12" spans="1:20" x14ac:dyDescent="0.3">
      <c r="A12" s="17">
        <v>45972</v>
      </c>
      <c r="B12">
        <f>COUNTIF(Tabla3[FECHA],Tabla4[[#This Row],[Fecha]])</f>
        <v>6</v>
      </c>
      <c r="C12" s="45">
        <f>SUMIF(Tabla3[FECHA],Tabla4[[#This Row],[Fecha]],Tabla3[VLR. TRANSPORTE])</f>
        <v>295000</v>
      </c>
      <c r="E12" t="s">
        <v>528</v>
      </c>
      <c r="F12">
        <f>COUNTIF(Tabla3[LUGAR ENVÍO],Tabla6[[#This Row],[Nombre]])</f>
        <v>0</v>
      </c>
      <c r="G12">
        <f>SUMIF(Tabla3[LUGAR ENVÍO],Tabla6[[#This Row],[Nombre]],Tabla3[Numero de Transportes])</f>
        <v>0</v>
      </c>
      <c r="H12" s="88">
        <f>Tabla6[[#This Row],[Numero de Facturas]]/Tabla6[[#Totals],[Numero de Facturas]]</f>
        <v>0</v>
      </c>
      <c r="I12" s="45">
        <f>SUMIF(Tabla3[LUGAR ENVÍO],Tabla6[[#This Row],[Nombre]],Tabla3[VLR. TRANSPORTE])</f>
        <v>0</v>
      </c>
      <c r="J12" s="45" t="e">
        <f>AVERAGEIF(Tabla3[LUGAR ENVÍO],Tabla6[[#This Row],[Nombre]],Tabla3[VLR. TRANSPORTE])</f>
        <v>#DIV/0!</v>
      </c>
      <c r="K12" s="85" t="e">
        <f>Tabla6[[#This Row],[Distancia total ida y vuelta]]/Tabla6[[#This Row],[Numero de Facturas]]</f>
        <v>#DIV/0!</v>
      </c>
      <c r="L12">
        <f>SUMIF(Tabla3[LUGAR ENVÍO],Tabla6[[#This Row],[Nombre]],Tabla3[DISTANCIA (km)])</f>
        <v>0</v>
      </c>
    </row>
    <row r="13" spans="1:20" x14ac:dyDescent="0.3">
      <c r="A13" s="17">
        <v>45973</v>
      </c>
      <c r="B13">
        <f>COUNTIF(Tabla3[FECHA],Tabla4[[#This Row],[Fecha]])</f>
        <v>7</v>
      </c>
      <c r="C13" s="45">
        <f>SUMIF(Tabla3[FECHA],Tabla4[[#This Row],[Fecha]],Tabla3[VLR. TRANSPORTE])</f>
        <v>480000</v>
      </c>
      <c r="E13" t="s">
        <v>534</v>
      </c>
      <c r="F13">
        <f>COUNTIF(Tabla3[LUGAR ENVÍO],Tabla6[[#This Row],[Nombre]])</f>
        <v>0</v>
      </c>
      <c r="G13">
        <f>SUMIF(Tabla3[LUGAR ENVÍO],Tabla6[[#This Row],[Nombre]],Tabla3[Numero de Transportes])</f>
        <v>0</v>
      </c>
      <c r="H13" s="88">
        <f>Tabla6[[#This Row],[Numero de Facturas]]/Tabla6[[#Totals],[Numero de Facturas]]</f>
        <v>0</v>
      </c>
      <c r="I13" s="45">
        <f>SUMIF(Tabla3[LUGAR ENVÍO],Tabla6[[#This Row],[Nombre]],Tabla3[VLR. TRANSPORTE])</f>
        <v>0</v>
      </c>
      <c r="J13" s="45" t="e">
        <f>AVERAGEIF(Tabla3[LUGAR ENVÍO],Tabla6[[#This Row],[Nombre]],Tabla3[VLR. TRANSPORTE])</f>
        <v>#DIV/0!</v>
      </c>
      <c r="K13" s="85" t="e">
        <f>Tabla6[[#This Row],[Distancia total ida y vuelta]]/Tabla6[[#This Row],[Numero de Facturas]]</f>
        <v>#DIV/0!</v>
      </c>
      <c r="L13">
        <f>SUMIF(Tabla3[LUGAR ENVÍO],Tabla6[[#This Row],[Nombre]],Tabla3[DISTANCIA (km)])</f>
        <v>0</v>
      </c>
    </row>
    <row r="14" spans="1:20" x14ac:dyDescent="0.3">
      <c r="A14" s="17">
        <v>45974</v>
      </c>
      <c r="B14">
        <f>COUNTIF(Tabla3[FECHA],Tabla4[[#This Row],[Fecha]])</f>
        <v>14</v>
      </c>
      <c r="C14" s="45">
        <f>SUMIF(Tabla3[FECHA],Tabla4[[#This Row],[Fecha]],Tabla3[VLR. TRANSPORTE])</f>
        <v>490000</v>
      </c>
      <c r="E14" t="s">
        <v>501</v>
      </c>
      <c r="F14">
        <f>COUNTIF(Tabla3[LUGAR ENVÍO],Tabla6[[#This Row],[Nombre]])</f>
        <v>3</v>
      </c>
      <c r="G14">
        <f>SUMIF(Tabla3[LUGAR ENVÍO],Tabla6[[#This Row],[Nombre]],Tabla3[Numero de Transportes])</f>
        <v>4</v>
      </c>
      <c r="H14" s="88">
        <f>Tabla6[[#This Row],[Numero de Facturas]]/Tabla6[[#Totals],[Numero de Facturas]]</f>
        <v>4.3478260869565216E-2</v>
      </c>
      <c r="I14" s="45">
        <f>SUMIF(Tabla3[LUGAR ENVÍO],Tabla6[[#This Row],[Nombre]],Tabla3[VLR. TRANSPORTE])</f>
        <v>165000</v>
      </c>
      <c r="J14" s="45">
        <f>AVERAGEIF(Tabla3[LUGAR ENVÍO],Tabla6[[#This Row],[Nombre]],Tabla3[VLR. TRANSPORTE])</f>
        <v>55000</v>
      </c>
      <c r="K14" s="85">
        <f>Tabla6[[#This Row],[Distancia total ida y vuelta]]/Tabla6[[#This Row],[Numero de Facturas]]</f>
        <v>4.7809999999999988</v>
      </c>
      <c r="L14">
        <f>SUMIF(Tabla3[LUGAR ENVÍO],Tabla6[[#This Row],[Nombre]],Tabla3[DISTANCIA (km)])</f>
        <v>14.342999999999996</v>
      </c>
    </row>
    <row r="15" spans="1:20" x14ac:dyDescent="0.3">
      <c r="A15" s="17">
        <v>45975</v>
      </c>
      <c r="B15">
        <f>COUNTIF(Tabla3[FECHA],Tabla4[[#This Row],[Fecha]])</f>
        <v>4</v>
      </c>
      <c r="C15" s="45">
        <f>SUMIF(Tabla3[FECHA],Tabla4[[#This Row],[Fecha]],Tabla3[VLR. TRANSPORTE])</f>
        <v>165000</v>
      </c>
      <c r="E15" t="s">
        <v>487</v>
      </c>
      <c r="F15">
        <f>COUNTIF(Tabla3[LUGAR ENVÍO],Tabla6[[#This Row],[Nombre]])</f>
        <v>5</v>
      </c>
      <c r="G15">
        <f>SUMIF(Tabla3[LUGAR ENVÍO],Tabla6[[#This Row],[Nombre]],Tabla3[Numero de Transportes])</f>
        <v>6</v>
      </c>
      <c r="H15" s="88">
        <f>Tabla6[[#This Row],[Numero de Facturas]]/Tabla6[[#Totals],[Numero de Facturas]]</f>
        <v>7.2463768115942032E-2</v>
      </c>
      <c r="I15" s="45">
        <f>SUMIF(Tabla3[LUGAR ENVÍO],Tabla6[[#This Row],[Nombre]],Tabla3[VLR. TRANSPORTE])</f>
        <v>150000</v>
      </c>
      <c r="J15" s="45">
        <f>AVERAGEIF(Tabla3[LUGAR ENVÍO],Tabla6[[#This Row],[Nombre]],Tabla3[VLR. TRANSPORTE])</f>
        <v>30000</v>
      </c>
      <c r="K15" s="85">
        <f>Tabla6[[#This Row],[Distancia total ida y vuelta]]/Tabla6[[#This Row],[Numero de Facturas]]</f>
        <v>0.42800000000000005</v>
      </c>
      <c r="L15">
        <f>SUMIF(Tabla3[LUGAR ENVÍO],Tabla6[[#This Row],[Nombre]],Tabla3[DISTANCIA (km)])</f>
        <v>2.14</v>
      </c>
    </row>
    <row r="16" spans="1:20" x14ac:dyDescent="0.3">
      <c r="A16" s="17">
        <v>45976</v>
      </c>
      <c r="B16">
        <f>COUNTIF(Tabla3[FECHA],Tabla4[[#This Row],[Fecha]])</f>
        <v>7</v>
      </c>
      <c r="C16" s="45">
        <f>SUMIF(Tabla3[FECHA],Tabla4[[#This Row],[Fecha]],Tabla3[VLR. TRANSPORTE])</f>
        <v>370000</v>
      </c>
      <c r="E16" t="s">
        <v>521</v>
      </c>
      <c r="F16">
        <f>COUNTIF(Tabla3[LUGAR ENVÍO],Tabla6[[#This Row],[Nombre]])</f>
        <v>0</v>
      </c>
      <c r="G16">
        <f>SUMIF(Tabla3[LUGAR ENVÍO],Tabla6[[#This Row],[Nombre]],Tabla3[Numero de Transportes])</f>
        <v>0</v>
      </c>
      <c r="H16" s="88">
        <f>Tabla6[[#This Row],[Numero de Facturas]]/Tabla6[[#Totals],[Numero de Facturas]]</f>
        <v>0</v>
      </c>
      <c r="I16" s="45">
        <f>SUMIF(Tabla3[LUGAR ENVÍO],Tabla6[[#This Row],[Nombre]],Tabla3[VLR. TRANSPORTE])</f>
        <v>0</v>
      </c>
      <c r="J16" s="45" t="e">
        <f>AVERAGEIF(Tabla3[LUGAR ENVÍO],Tabla6[[#This Row],[Nombre]],Tabla3[VLR. TRANSPORTE])</f>
        <v>#DIV/0!</v>
      </c>
      <c r="K16" s="85" t="e">
        <f>Tabla6[[#This Row],[Distancia total ida y vuelta]]/Tabla6[[#This Row],[Numero de Facturas]]</f>
        <v>#DIV/0!</v>
      </c>
      <c r="L16">
        <f>SUMIF(Tabla3[LUGAR ENVÍO],Tabla6[[#This Row],[Nombre]],Tabla3[DISTANCIA (km)])</f>
        <v>0</v>
      </c>
    </row>
    <row r="17" spans="1:12" x14ac:dyDescent="0.3">
      <c r="A17" s="17">
        <v>45977</v>
      </c>
      <c r="B17">
        <f>COUNTIF(Tabla3[FECHA],Tabla4[[#This Row],[Fecha]])</f>
        <v>1</v>
      </c>
      <c r="C17" s="45">
        <f>SUMIF(Tabla3[FECHA],Tabla4[[#This Row],[Fecha]],Tabla3[VLR. TRANSPORTE])</f>
        <v>25000</v>
      </c>
      <c r="E17" t="s">
        <v>502</v>
      </c>
      <c r="F17">
        <f>COUNTIF(Tabla3[LUGAR ENVÍO],Tabla6[[#This Row],[Nombre]])</f>
        <v>5</v>
      </c>
      <c r="G17">
        <f>SUMIF(Tabla3[LUGAR ENVÍO],Tabla6[[#This Row],[Nombre]],Tabla3[Numero de Transportes])</f>
        <v>6</v>
      </c>
      <c r="H17" s="88">
        <f>Tabla6[[#This Row],[Numero de Facturas]]/Tabla6[[#Totals],[Numero de Facturas]]</f>
        <v>7.2463768115942032E-2</v>
      </c>
      <c r="I17" s="45">
        <f>SUMIF(Tabla3[LUGAR ENVÍO],Tabla6[[#This Row],[Nombre]],Tabla3[VLR. TRANSPORTE])</f>
        <v>290000</v>
      </c>
      <c r="J17" s="45">
        <f>AVERAGEIF(Tabla3[LUGAR ENVÍO],Tabla6[[#This Row],[Nombre]],Tabla3[VLR. TRANSPORTE])</f>
        <v>58000</v>
      </c>
      <c r="K17" s="85">
        <f>Tabla6[[#This Row],[Distancia total ida y vuelta]]/Tabla6[[#This Row],[Numero de Facturas]]</f>
        <v>9.4380000000000024</v>
      </c>
      <c r="L17">
        <f>SUMIF(Tabla3[LUGAR ENVÍO],Tabla6[[#This Row],[Nombre]],Tabla3[DISTANCIA (km)])</f>
        <v>47.190000000000012</v>
      </c>
    </row>
    <row r="18" spans="1:12" x14ac:dyDescent="0.3">
      <c r="A18" s="17">
        <v>45978</v>
      </c>
      <c r="B18">
        <f>COUNTIF(Tabla3[FECHA],Tabla4[[#This Row],[Fecha]])</f>
        <v>7</v>
      </c>
      <c r="C18" s="45">
        <f>SUMIF(Tabla3[FECHA],Tabla4[[#This Row],[Fecha]],Tabla3[VLR. TRANSPORTE])</f>
        <v>550000</v>
      </c>
      <c r="E18" t="s">
        <v>522</v>
      </c>
      <c r="F18">
        <f>COUNTIF(Tabla3[LUGAR ENVÍO],Tabla6[[#This Row],[Nombre]])</f>
        <v>0</v>
      </c>
      <c r="G18">
        <f>SUMIF(Tabla3[LUGAR ENVÍO],Tabla6[[#This Row],[Nombre]],Tabla3[Numero de Transportes])</f>
        <v>0</v>
      </c>
      <c r="H18" s="88">
        <f>Tabla6[[#This Row],[Numero de Facturas]]/Tabla6[[#Totals],[Numero de Facturas]]</f>
        <v>0</v>
      </c>
      <c r="I18" s="45">
        <f>SUMIF(Tabla3[LUGAR ENVÍO],Tabla6[[#This Row],[Nombre]],Tabla3[VLR. TRANSPORTE])</f>
        <v>0</v>
      </c>
      <c r="J18" s="45" t="e">
        <f>AVERAGEIF(Tabla3[LUGAR ENVÍO],Tabla6[[#This Row],[Nombre]],Tabla3[VLR. TRANSPORTE])</f>
        <v>#DIV/0!</v>
      </c>
      <c r="K18" s="85" t="e">
        <f>Tabla6[[#This Row],[Distancia total ida y vuelta]]/Tabla6[[#This Row],[Numero de Facturas]]</f>
        <v>#DIV/0!</v>
      </c>
      <c r="L18">
        <f>SUMIF(Tabla3[LUGAR ENVÍO],Tabla6[[#This Row],[Nombre]],Tabla3[DISTANCIA (km)])</f>
        <v>0</v>
      </c>
    </row>
    <row r="19" spans="1:12" x14ac:dyDescent="0.3">
      <c r="A19" s="17">
        <v>45979</v>
      </c>
      <c r="B19">
        <f>COUNTIF(Tabla3[FECHA],Tabla4[[#This Row],[Fecha]])</f>
        <v>6</v>
      </c>
      <c r="C19" s="45">
        <f>SUMIF(Tabla3[FECHA],Tabla4[[#This Row],[Fecha]],Tabla3[VLR. TRANSPORTE])</f>
        <v>535000</v>
      </c>
      <c r="E19" t="s">
        <v>523</v>
      </c>
      <c r="F19">
        <f>COUNTIF(Tabla3[LUGAR ENVÍO],Tabla6[[#This Row],[Nombre]])</f>
        <v>0</v>
      </c>
      <c r="G19">
        <f>SUMIF(Tabla3[LUGAR ENVÍO],Tabla6[[#This Row],[Nombre]],Tabla3[Numero de Transportes])</f>
        <v>0</v>
      </c>
      <c r="H19" s="88">
        <f>Tabla6[[#This Row],[Numero de Facturas]]/Tabla6[[#Totals],[Numero de Facturas]]</f>
        <v>0</v>
      </c>
      <c r="I19" s="45">
        <f>SUMIF(Tabla3[LUGAR ENVÍO],Tabla6[[#This Row],[Nombre]],Tabla3[VLR. TRANSPORTE])</f>
        <v>0</v>
      </c>
      <c r="J19" s="45" t="e">
        <f>AVERAGEIF(Tabla3[LUGAR ENVÍO],Tabla6[[#This Row],[Nombre]],Tabla3[VLR. TRANSPORTE])</f>
        <v>#DIV/0!</v>
      </c>
      <c r="K19" s="85" t="e">
        <f>Tabla6[[#This Row],[Distancia total ida y vuelta]]/Tabla6[[#This Row],[Numero de Facturas]]</f>
        <v>#DIV/0!</v>
      </c>
      <c r="L19">
        <f>SUMIF(Tabla3[LUGAR ENVÍO],Tabla6[[#This Row],[Nombre]],Tabla3[DISTANCIA (km)])</f>
        <v>0</v>
      </c>
    </row>
    <row r="20" spans="1:12" x14ac:dyDescent="0.3">
      <c r="A20" s="17">
        <v>45980</v>
      </c>
      <c r="B20">
        <f>COUNTIF(Tabla3[FECHA],Tabla4[[#This Row],[Fecha]])</f>
        <v>4</v>
      </c>
      <c r="C20" s="45">
        <f>SUMIF(Tabla3[FECHA],Tabla4[[#This Row],[Fecha]],Tabla3[VLR. TRANSPORTE])</f>
        <v>160000</v>
      </c>
      <c r="E20" t="s">
        <v>529</v>
      </c>
      <c r="F20">
        <f>COUNTIF(Tabla3[LUGAR ENVÍO],Tabla6[[#This Row],[Nombre]])</f>
        <v>0</v>
      </c>
      <c r="G20">
        <f>SUMIF(Tabla3[LUGAR ENVÍO],Tabla6[[#This Row],[Nombre]],Tabla3[Numero de Transportes])</f>
        <v>0</v>
      </c>
      <c r="H20" s="88">
        <f>Tabla6[[#This Row],[Numero de Facturas]]/Tabla6[[#Totals],[Numero de Facturas]]</f>
        <v>0</v>
      </c>
      <c r="I20" s="45">
        <f>SUMIF(Tabla3[LUGAR ENVÍO],Tabla6[[#This Row],[Nombre]],Tabla3[VLR. TRANSPORTE])</f>
        <v>0</v>
      </c>
      <c r="J20" s="45" t="e">
        <f>AVERAGEIF(Tabla3[LUGAR ENVÍO],Tabla6[[#This Row],[Nombre]],Tabla3[VLR. TRANSPORTE])</f>
        <v>#DIV/0!</v>
      </c>
      <c r="K20" s="85" t="e">
        <f>Tabla6[[#This Row],[Distancia total ida y vuelta]]/Tabla6[[#This Row],[Numero de Facturas]]</f>
        <v>#DIV/0!</v>
      </c>
      <c r="L20">
        <f>SUMIF(Tabla3[LUGAR ENVÍO],Tabla6[[#This Row],[Nombre]],Tabla3[DISTANCIA (km)])</f>
        <v>0</v>
      </c>
    </row>
    <row r="21" spans="1:12" x14ac:dyDescent="0.3">
      <c r="A21" s="17">
        <v>45981</v>
      </c>
      <c r="B21">
        <f>COUNTIF(Tabla3[FECHA],Tabla4[[#This Row],[Fecha]])</f>
        <v>13</v>
      </c>
      <c r="C21" s="45">
        <f>SUMIF(Tabla3[FECHA],Tabla4[[#This Row],[Fecha]],Tabla3[VLR. TRANSPORTE])</f>
        <v>625000</v>
      </c>
      <c r="E21" t="s">
        <v>530</v>
      </c>
      <c r="F21">
        <f>COUNTIF(Tabla3[LUGAR ENVÍO],Tabla6[[#This Row],[Nombre]])</f>
        <v>0</v>
      </c>
      <c r="G21">
        <f>SUMIF(Tabla3[LUGAR ENVÍO],Tabla6[[#This Row],[Nombre]],Tabla3[Numero de Transportes])</f>
        <v>0</v>
      </c>
      <c r="H21" s="88">
        <f>Tabla6[[#This Row],[Numero de Facturas]]/Tabla6[[#Totals],[Numero de Facturas]]</f>
        <v>0</v>
      </c>
      <c r="I21" s="45">
        <f>SUMIF(Tabla3[LUGAR ENVÍO],Tabla6[[#This Row],[Nombre]],Tabla3[VLR. TRANSPORTE])</f>
        <v>0</v>
      </c>
      <c r="J21" s="45" t="e">
        <f>AVERAGEIF(Tabla3[LUGAR ENVÍO],Tabla6[[#This Row],[Nombre]],Tabla3[VLR. TRANSPORTE])</f>
        <v>#DIV/0!</v>
      </c>
      <c r="K21" s="85" t="e">
        <f>Tabla6[[#This Row],[Distancia total ida y vuelta]]/Tabla6[[#This Row],[Numero de Facturas]]</f>
        <v>#DIV/0!</v>
      </c>
      <c r="L21">
        <f>SUMIF(Tabla3[LUGAR ENVÍO],Tabla6[[#This Row],[Nombre]],Tabla3[DISTANCIA (km)])</f>
        <v>0</v>
      </c>
    </row>
    <row r="22" spans="1:12" x14ac:dyDescent="0.3">
      <c r="A22" s="17">
        <v>45982</v>
      </c>
      <c r="B22">
        <f>COUNTIF(Tabla3[FECHA],Tabla4[[#This Row],[Fecha]])</f>
        <v>11</v>
      </c>
      <c r="C22" s="45">
        <f>SUMIF(Tabla3[FECHA],Tabla4[[#This Row],[Fecha]],Tabla3[VLR. TRANSPORTE])</f>
        <v>571000</v>
      </c>
      <c r="E22" t="s">
        <v>532</v>
      </c>
      <c r="F22">
        <f>COUNTIF(Tabla3[LUGAR ENVÍO],Tabla6[[#This Row],[Nombre]])</f>
        <v>0</v>
      </c>
      <c r="G22">
        <f>SUMIF(Tabla3[LUGAR ENVÍO],Tabla6[[#This Row],[Nombre]],Tabla3[Numero de Transportes])</f>
        <v>0</v>
      </c>
      <c r="H22" s="88">
        <f>Tabla6[[#This Row],[Numero de Facturas]]/Tabla6[[#Totals],[Numero de Facturas]]</f>
        <v>0</v>
      </c>
      <c r="I22" s="45">
        <f>SUMIF(Tabla3[LUGAR ENVÍO],Tabla6[[#This Row],[Nombre]],Tabla3[VLR. TRANSPORTE])</f>
        <v>0</v>
      </c>
      <c r="J22" s="45" t="e">
        <f>AVERAGEIF(Tabla3[LUGAR ENVÍO],Tabla6[[#This Row],[Nombre]],Tabla3[VLR. TRANSPORTE])</f>
        <v>#DIV/0!</v>
      </c>
      <c r="K22" s="85" t="e">
        <f>Tabla6[[#This Row],[Distancia total ida y vuelta]]/Tabla6[[#This Row],[Numero de Facturas]]</f>
        <v>#DIV/0!</v>
      </c>
      <c r="L22">
        <f>SUMIF(Tabla3[LUGAR ENVÍO],Tabla6[[#This Row],[Nombre]],Tabla3[DISTANCIA (km)])</f>
        <v>0</v>
      </c>
    </row>
    <row r="23" spans="1:12" x14ac:dyDescent="0.3">
      <c r="A23" s="17">
        <v>45983</v>
      </c>
      <c r="B23">
        <f>COUNTIF(Tabla3[FECHA],Tabla4[[#This Row],[Fecha]])</f>
        <v>15</v>
      </c>
      <c r="C23" s="45">
        <f>SUMIF(Tabla3[FECHA],Tabla4[[#This Row],[Fecha]],Tabla3[VLR. TRANSPORTE])</f>
        <v>770000</v>
      </c>
      <c r="E23" t="s">
        <v>533</v>
      </c>
      <c r="F23">
        <f>COUNTIF(Tabla3[LUGAR ENVÍO],Tabla6[[#This Row],[Nombre]])</f>
        <v>0</v>
      </c>
      <c r="G23">
        <f>SUMIF(Tabla3[LUGAR ENVÍO],Tabla6[[#This Row],[Nombre]],Tabla3[Numero de Transportes])</f>
        <v>0</v>
      </c>
      <c r="H23" s="88">
        <f>Tabla6[[#This Row],[Numero de Facturas]]/Tabla6[[#Totals],[Numero de Facturas]]</f>
        <v>0</v>
      </c>
      <c r="I23" s="45">
        <f>SUMIF(Tabla3[LUGAR ENVÍO],Tabla6[[#This Row],[Nombre]],Tabla3[VLR. TRANSPORTE])</f>
        <v>0</v>
      </c>
      <c r="J23" s="45" t="e">
        <f>AVERAGEIF(Tabla3[LUGAR ENVÍO],Tabla6[[#This Row],[Nombre]],Tabla3[VLR. TRANSPORTE])</f>
        <v>#DIV/0!</v>
      </c>
      <c r="K23" s="85" t="e">
        <f>Tabla6[[#This Row],[Distancia total ida y vuelta]]/Tabla6[[#This Row],[Numero de Facturas]]</f>
        <v>#DIV/0!</v>
      </c>
      <c r="L23">
        <f>SUMIF(Tabla3[LUGAR ENVÍO],Tabla6[[#This Row],[Nombre]],Tabla3[DISTANCIA (km)])</f>
        <v>0</v>
      </c>
    </row>
    <row r="24" spans="1:12" x14ac:dyDescent="0.3">
      <c r="A24" s="17">
        <v>45984</v>
      </c>
      <c r="B24">
        <f>COUNTIF(Tabla3[FECHA],Tabla4[[#This Row],[Fecha]])</f>
        <v>6</v>
      </c>
      <c r="C24" s="45">
        <f>SUMIF(Tabla3[FECHA],Tabla4[[#This Row],[Fecha]],Tabla3[VLR. TRANSPORTE])</f>
        <v>440000</v>
      </c>
      <c r="E24" t="s">
        <v>504</v>
      </c>
      <c r="F24">
        <f>COUNTIF(Tabla3[LUGAR ENVÍO],Tabla6[[#This Row],[Nombre]])</f>
        <v>3</v>
      </c>
      <c r="G24">
        <f>SUMIF(Tabla3[LUGAR ENVÍO],Tabla6[[#This Row],[Nombre]],Tabla3[Numero de Transportes])</f>
        <v>3</v>
      </c>
      <c r="H24" s="88">
        <f>Tabla6[[#This Row],[Numero de Facturas]]/Tabla6[[#Totals],[Numero de Facturas]]</f>
        <v>4.3478260869565216E-2</v>
      </c>
      <c r="I24" s="45">
        <f>SUMIF(Tabla3[LUGAR ENVÍO],Tabla6[[#This Row],[Nombre]],Tabla3[VLR. TRANSPORTE])</f>
        <v>150000</v>
      </c>
      <c r="J24" s="45">
        <f>AVERAGEIF(Tabla3[LUGAR ENVÍO],Tabla6[[#This Row],[Nombre]],Tabla3[VLR. TRANSPORTE])</f>
        <v>50000</v>
      </c>
      <c r="K24" s="85">
        <f>Tabla6[[#This Row],[Distancia total ida y vuelta]]/Tabla6[[#This Row],[Numero de Facturas]]</f>
        <v>5.5999999999999988</v>
      </c>
      <c r="L24">
        <f>SUMIF(Tabla3[LUGAR ENVÍO],Tabla6[[#This Row],[Nombre]],Tabla3[DISTANCIA (km)])</f>
        <v>16.799999999999997</v>
      </c>
    </row>
    <row r="25" spans="1:12" x14ac:dyDescent="0.3">
      <c r="A25" s="17">
        <v>45985</v>
      </c>
      <c r="B25">
        <f>COUNTIF(Tabla3[FECHA],Tabla4[[#This Row],[Fecha]])</f>
        <v>9</v>
      </c>
      <c r="C25" s="45">
        <f>SUMIF(Tabla3[FECHA],Tabla4[[#This Row],[Fecha]],Tabla3[VLR. TRANSPORTE])</f>
        <v>515000</v>
      </c>
      <c r="E25" t="s">
        <v>524</v>
      </c>
      <c r="F25">
        <f>COUNTIF(Tabla3[LUGAR ENVÍO],Tabla6[[#This Row],[Nombre]])</f>
        <v>0</v>
      </c>
      <c r="G25">
        <f>SUMIF(Tabla3[LUGAR ENVÍO],Tabla6[[#This Row],[Nombre]],Tabla3[Numero de Transportes])</f>
        <v>0</v>
      </c>
      <c r="H25" s="88">
        <f>Tabla6[[#This Row],[Numero de Facturas]]/Tabla6[[#Totals],[Numero de Facturas]]</f>
        <v>0</v>
      </c>
      <c r="I25" s="45">
        <f>SUMIF(Tabla3[LUGAR ENVÍO],Tabla6[[#This Row],[Nombre]],Tabla3[VLR. TRANSPORTE])</f>
        <v>0</v>
      </c>
      <c r="J25" s="45" t="e">
        <f>AVERAGEIF(Tabla3[LUGAR ENVÍO],Tabla6[[#This Row],[Nombre]],Tabla3[VLR. TRANSPORTE])</f>
        <v>#DIV/0!</v>
      </c>
      <c r="K25" s="85" t="e">
        <f>Tabla6[[#This Row],[Distancia total ida y vuelta]]/Tabla6[[#This Row],[Numero de Facturas]]</f>
        <v>#DIV/0!</v>
      </c>
      <c r="L25">
        <f>SUMIF(Tabla3[LUGAR ENVÍO],Tabla6[[#This Row],[Nombre]],Tabla3[DISTANCIA (km)])</f>
        <v>0</v>
      </c>
    </row>
    <row r="26" spans="1:12" x14ac:dyDescent="0.3">
      <c r="A26" s="17">
        <v>45986</v>
      </c>
      <c r="B26">
        <f>COUNTIF(Tabla3[FECHA],Tabla4[[#This Row],[Fecha]])</f>
        <v>14</v>
      </c>
      <c r="C26" s="45">
        <f>SUMIF(Tabla3[FECHA],Tabla4[[#This Row],[Fecha]],Tabla3[VLR. TRANSPORTE])</f>
        <v>850000</v>
      </c>
      <c r="E26" t="s">
        <v>527</v>
      </c>
      <c r="F26">
        <f>COUNTIF(Tabla3[LUGAR ENVÍO],Tabla6[[#This Row],[Nombre]])</f>
        <v>0</v>
      </c>
      <c r="G26">
        <f>SUMIF(Tabla3[LUGAR ENVÍO],Tabla6[[#This Row],[Nombre]],Tabla3[Numero de Transportes])</f>
        <v>0</v>
      </c>
      <c r="H26" s="88">
        <f>Tabla6[[#This Row],[Numero de Facturas]]/Tabla6[[#Totals],[Numero de Facturas]]</f>
        <v>0</v>
      </c>
      <c r="I26" s="45">
        <f>SUMIF(Tabla3[LUGAR ENVÍO],Tabla6[[#This Row],[Nombre]],Tabla3[VLR. TRANSPORTE])</f>
        <v>0</v>
      </c>
      <c r="J26" s="45" t="e">
        <f>AVERAGEIF(Tabla3[LUGAR ENVÍO],Tabla6[[#This Row],[Nombre]],Tabla3[VLR. TRANSPORTE])</f>
        <v>#DIV/0!</v>
      </c>
      <c r="K26" s="85" t="e">
        <f>Tabla6[[#This Row],[Distancia total ida y vuelta]]/Tabla6[[#This Row],[Numero de Facturas]]</f>
        <v>#DIV/0!</v>
      </c>
      <c r="L26">
        <f>SUMIF(Tabla3[LUGAR ENVÍO],Tabla6[[#This Row],[Nombre]],Tabla3[DISTANCIA (km)])</f>
        <v>0</v>
      </c>
    </row>
    <row r="27" spans="1:12" x14ac:dyDescent="0.3">
      <c r="A27" s="17">
        <v>45987</v>
      </c>
      <c r="B27">
        <f>COUNTIF(Tabla3[FECHA],Tabla4[[#This Row],[Fecha]])</f>
        <v>10</v>
      </c>
      <c r="C27" s="45">
        <f>SUMIF(Tabla3[FECHA],Tabla4[[#This Row],[Fecha]],Tabla3[VLR. TRANSPORTE])</f>
        <v>380000</v>
      </c>
      <c r="E27" t="s">
        <v>531</v>
      </c>
      <c r="F27">
        <f>COUNTIF(Tabla3[LUGAR ENVÍO],Tabla6[[#This Row],[Nombre]])</f>
        <v>0</v>
      </c>
      <c r="G27">
        <f>SUMIF(Tabla3[LUGAR ENVÍO],Tabla6[[#This Row],[Nombre]],Tabla3[Numero de Transportes])</f>
        <v>0</v>
      </c>
      <c r="H27" s="88">
        <f>Tabla6[[#This Row],[Numero de Facturas]]/Tabla6[[#Totals],[Numero de Facturas]]</f>
        <v>0</v>
      </c>
      <c r="I27" s="45">
        <f>SUMIF(Tabla3[LUGAR ENVÍO],Tabla6[[#This Row],[Nombre]],Tabla3[VLR. TRANSPORTE])</f>
        <v>0</v>
      </c>
      <c r="J27" s="45" t="e">
        <f>AVERAGEIF(Tabla3[LUGAR ENVÍO],Tabla6[[#This Row],[Nombre]],Tabla3[VLR. TRANSPORTE])</f>
        <v>#DIV/0!</v>
      </c>
      <c r="K27" s="85" t="e">
        <f>Tabla6[[#This Row],[Distancia total ida y vuelta]]/Tabla6[[#This Row],[Numero de Facturas]]</f>
        <v>#DIV/0!</v>
      </c>
      <c r="L27">
        <f>SUMIF(Tabla3[LUGAR ENVÍO],Tabla6[[#This Row],[Nombre]],Tabla3[DISTANCIA (km)])</f>
        <v>0</v>
      </c>
    </row>
    <row r="28" spans="1:12" x14ac:dyDescent="0.3">
      <c r="A28" s="17">
        <v>45988</v>
      </c>
      <c r="B28">
        <f>COUNTIF(Tabla3[FECHA],Tabla4[[#This Row],[Fecha]])</f>
        <v>6</v>
      </c>
      <c r="C28" s="45">
        <f>SUMIF(Tabla3[FECHA],Tabla4[[#This Row],[Fecha]],Tabla3[VLR. TRANSPORTE])</f>
        <v>285000</v>
      </c>
      <c r="E28" t="s">
        <v>535</v>
      </c>
      <c r="F28">
        <f>COUNTIF(Tabla3[LUGAR ENVÍO],Tabla6[[#This Row],[Nombre]])</f>
        <v>0</v>
      </c>
      <c r="G28">
        <f>SUMIF(Tabla3[LUGAR ENVÍO],Tabla6[[#This Row],[Nombre]],Tabla3[Numero de Transportes])</f>
        <v>0</v>
      </c>
      <c r="H28" s="88">
        <f>Tabla6[[#This Row],[Numero de Facturas]]/Tabla6[[#Totals],[Numero de Facturas]]</f>
        <v>0</v>
      </c>
      <c r="I28" s="45">
        <f>SUMIF(Tabla3[LUGAR ENVÍO],Tabla6[[#This Row],[Nombre]],Tabla3[VLR. TRANSPORTE])</f>
        <v>0</v>
      </c>
      <c r="J28" s="45" t="e">
        <f>AVERAGEIF(Tabla3[LUGAR ENVÍO],Tabla6[[#This Row],[Nombre]],Tabla3[VLR. TRANSPORTE])</f>
        <v>#DIV/0!</v>
      </c>
      <c r="K28" s="85" t="e">
        <f>Tabla6[[#This Row],[Distancia total ida y vuelta]]/Tabla6[[#This Row],[Numero de Facturas]]</f>
        <v>#DIV/0!</v>
      </c>
      <c r="L28">
        <f>SUMIF(Tabla3[LUGAR ENVÍO],Tabla6[[#This Row],[Nombre]],Tabla3[DISTANCIA (km)])</f>
        <v>0</v>
      </c>
    </row>
    <row r="29" spans="1:12" x14ac:dyDescent="0.3">
      <c r="A29" s="17">
        <v>45989</v>
      </c>
      <c r="B29">
        <f>COUNTIF(Tabla3[FECHA],Tabla4[[#This Row],[Fecha]])</f>
        <v>7</v>
      </c>
      <c r="C29" s="45">
        <f>SUMIF(Tabla3[FECHA],Tabla4[[#This Row],[Fecha]],Tabla3[VLR. TRANSPORTE])</f>
        <v>470000</v>
      </c>
      <c r="E29" t="s">
        <v>537</v>
      </c>
      <c r="F29">
        <f>COUNTIF(Tabla3[LUGAR ENVÍO],Tabla6[[#This Row],[Nombre]])</f>
        <v>0</v>
      </c>
      <c r="G29">
        <f>SUMIF(Tabla3[LUGAR ENVÍO],Tabla6[[#This Row],[Nombre]],Tabla3[Numero de Transportes])</f>
        <v>0</v>
      </c>
      <c r="H29" s="88">
        <f>Tabla6[[#This Row],[Numero de Facturas]]/Tabla6[[#Totals],[Numero de Facturas]]</f>
        <v>0</v>
      </c>
      <c r="I29" s="45">
        <f>SUMIF(Tabla3[LUGAR ENVÍO],Tabla6[[#This Row],[Nombre]],Tabla3[VLR. TRANSPORTE])</f>
        <v>0</v>
      </c>
      <c r="J29" s="45" t="e">
        <f>AVERAGEIF(Tabla3[LUGAR ENVÍO],Tabla6[[#This Row],[Nombre]],Tabla3[VLR. TRANSPORTE])</f>
        <v>#DIV/0!</v>
      </c>
      <c r="K29" s="85" t="e">
        <f>Tabla6[[#This Row],[Distancia total ida y vuelta]]/Tabla6[[#This Row],[Numero de Facturas]]</f>
        <v>#DIV/0!</v>
      </c>
      <c r="L29">
        <f>SUMIF(Tabla3[LUGAR ENVÍO],Tabla6[[#This Row],[Nombre]],Tabla3[DISTANCIA (km)])</f>
        <v>0</v>
      </c>
    </row>
    <row r="30" spans="1:12" x14ac:dyDescent="0.3">
      <c r="A30" s="17">
        <v>45990</v>
      </c>
      <c r="B30">
        <f>COUNTIF(Tabla3[FECHA],Tabla4[[#This Row],[Fecha]])</f>
        <v>4</v>
      </c>
      <c r="C30" s="45">
        <f>SUMIF(Tabla3[FECHA],Tabla4[[#This Row],[Fecha]],Tabla3[VLR. TRANSPORTE])</f>
        <v>230000</v>
      </c>
      <c r="E30" t="s">
        <v>538</v>
      </c>
      <c r="F30">
        <f>COUNTIF(Tabla3[LUGAR ENVÍO],Tabla6[[#This Row],[Nombre]])</f>
        <v>0</v>
      </c>
      <c r="G30">
        <f>SUMIF(Tabla3[LUGAR ENVÍO],Tabla6[[#This Row],[Nombre]],Tabla3[Numero de Transportes])</f>
        <v>0</v>
      </c>
      <c r="H30" s="88">
        <f>Tabla6[[#This Row],[Numero de Facturas]]/Tabla6[[#Totals],[Numero de Facturas]]</f>
        <v>0</v>
      </c>
      <c r="I30" s="45">
        <f>SUMIF(Tabla3[LUGAR ENVÍO],Tabla6[[#This Row],[Nombre]],Tabla3[VLR. TRANSPORTE])</f>
        <v>0</v>
      </c>
      <c r="J30" s="45" t="e">
        <f>AVERAGEIF(Tabla3[LUGAR ENVÍO],Tabla6[[#This Row],[Nombre]],Tabla3[VLR. TRANSPORTE])</f>
        <v>#DIV/0!</v>
      </c>
      <c r="K30" s="85" t="e">
        <f>Tabla6[[#This Row],[Distancia total ida y vuelta]]/Tabla6[[#This Row],[Numero de Facturas]]</f>
        <v>#DIV/0!</v>
      </c>
      <c r="L30">
        <f>SUMIF(Tabla3[LUGAR ENVÍO],Tabla6[[#This Row],[Nombre]],Tabla3[DISTANCIA (km)])</f>
        <v>0</v>
      </c>
    </row>
    <row r="31" spans="1:12" x14ac:dyDescent="0.3">
      <c r="A31" s="17">
        <v>45991</v>
      </c>
      <c r="B31">
        <f>COUNTIF(Tabla3[FECHA],Tabla4[[#This Row],[Fecha]])</f>
        <v>4</v>
      </c>
      <c r="C31" s="45">
        <f>SUMIF(Tabla3[FECHA],Tabla4[[#This Row],[Fecha]],Tabla3[VLR. TRANSPORTE])</f>
        <v>160000</v>
      </c>
      <c r="E31" t="s">
        <v>539</v>
      </c>
      <c r="F31">
        <f>COUNTIF(Tabla3[LUGAR ENVÍO],Tabla6[[#This Row],[Nombre]])</f>
        <v>0</v>
      </c>
      <c r="G31">
        <f>SUMIF(Tabla3[LUGAR ENVÍO],Tabla6[[#This Row],[Nombre]],Tabla3[Numero de Transportes])</f>
        <v>0</v>
      </c>
      <c r="H31" s="88">
        <f>Tabla6[[#This Row],[Numero de Facturas]]/Tabla6[[#Totals],[Numero de Facturas]]</f>
        <v>0</v>
      </c>
      <c r="I31" s="45">
        <f>SUMIF(Tabla3[LUGAR ENVÍO],Tabla6[[#This Row],[Nombre]],Tabla3[VLR. TRANSPORTE])</f>
        <v>0</v>
      </c>
      <c r="J31" s="45" t="e">
        <f>AVERAGEIF(Tabla3[LUGAR ENVÍO],Tabla6[[#This Row],[Nombre]],Tabla3[VLR. TRANSPORTE])</f>
        <v>#DIV/0!</v>
      </c>
      <c r="K31" s="85" t="e">
        <f>Tabla6[[#This Row],[Distancia total ida y vuelta]]/Tabla6[[#This Row],[Numero de Facturas]]</f>
        <v>#DIV/0!</v>
      </c>
      <c r="L31">
        <f>SUMIF(Tabla3[LUGAR ENVÍO],Tabla6[[#This Row],[Nombre]],Tabla3[DISTANCIA (km)])</f>
        <v>0</v>
      </c>
    </row>
    <row r="32" spans="1:12" x14ac:dyDescent="0.3">
      <c r="A32" s="17"/>
      <c r="B32">
        <f>SUBTOTAL(109,Tabla4[Total de envios])</f>
        <v>216</v>
      </c>
      <c r="C32" s="86">
        <f>SUBTOTAL(109,Tabla4[Valor])</f>
        <v>11466000</v>
      </c>
      <c r="E32" t="s">
        <v>540</v>
      </c>
      <c r="F32">
        <f>COUNTIF(Tabla3[LUGAR ENVÍO],Tabla6[[#This Row],[Nombre]])</f>
        <v>0</v>
      </c>
      <c r="G32">
        <f>SUMIF(Tabla3[LUGAR ENVÍO],Tabla6[[#This Row],[Nombre]],Tabla3[Numero de Transportes])</f>
        <v>0</v>
      </c>
      <c r="H32" s="88">
        <f>Tabla6[[#This Row],[Numero de Facturas]]/Tabla6[[#Totals],[Numero de Facturas]]</f>
        <v>0</v>
      </c>
      <c r="I32" s="45">
        <f>SUMIF(Tabla3[LUGAR ENVÍO],Tabla6[[#This Row],[Nombre]],Tabla3[VLR. TRANSPORTE])</f>
        <v>0</v>
      </c>
      <c r="J32" s="45" t="e">
        <f>AVERAGEIF(Tabla3[LUGAR ENVÍO],Tabla6[[#This Row],[Nombre]],Tabla3[VLR. TRANSPORTE])</f>
        <v>#DIV/0!</v>
      </c>
      <c r="K32" s="85" t="e">
        <f>Tabla6[[#This Row],[Distancia total ida y vuelta]]/Tabla6[[#This Row],[Numero de Facturas]]</f>
        <v>#DIV/0!</v>
      </c>
      <c r="L32">
        <f>SUMIF(Tabla3[LUGAR ENVÍO],Tabla6[[#This Row],[Nombre]],Tabla3[DISTANCIA (km)])</f>
        <v>0</v>
      </c>
    </row>
    <row r="33" spans="1:12" x14ac:dyDescent="0.3">
      <c r="A33" s="17"/>
      <c r="E33" t="s">
        <v>541</v>
      </c>
      <c r="F33">
        <f>COUNTIF(Tabla3[LUGAR ENVÍO],Tabla6[[#This Row],[Nombre]])</f>
        <v>0</v>
      </c>
      <c r="G33">
        <f>SUMIF(Tabla3[LUGAR ENVÍO],Tabla6[[#This Row],[Nombre]],Tabla3[Numero de Transportes])</f>
        <v>0</v>
      </c>
      <c r="H33" s="88">
        <f>Tabla6[[#This Row],[Numero de Facturas]]/Tabla6[[#Totals],[Numero de Facturas]]</f>
        <v>0</v>
      </c>
      <c r="I33" s="45">
        <f>SUMIF(Tabla3[LUGAR ENVÍO],Tabla6[[#This Row],[Nombre]],Tabla3[VLR. TRANSPORTE])</f>
        <v>0</v>
      </c>
      <c r="J33" s="45" t="e">
        <f>AVERAGEIF(Tabla3[LUGAR ENVÍO],Tabla6[[#This Row],[Nombre]],Tabla3[VLR. TRANSPORTE])</f>
        <v>#DIV/0!</v>
      </c>
      <c r="K33" s="85" t="e">
        <f>Tabla6[[#This Row],[Distancia total ida y vuelta]]/Tabla6[[#This Row],[Numero de Facturas]]</f>
        <v>#DIV/0!</v>
      </c>
      <c r="L33">
        <f>SUMIF(Tabla3[LUGAR ENVÍO],Tabla6[[#This Row],[Nombre]],Tabla3[DISTANCIA (km)])</f>
        <v>0</v>
      </c>
    </row>
    <row r="34" spans="1:12" x14ac:dyDescent="0.3">
      <c r="A34" s="17"/>
      <c r="E34" t="s">
        <v>549</v>
      </c>
      <c r="F34">
        <f>COUNTIF(Tabla3[LUGAR ENVÍO],Tabla6[[#This Row],[Nombre]])</f>
        <v>2</v>
      </c>
      <c r="G34">
        <f>SUMIF(Tabla3[LUGAR ENVÍO],Tabla6[[#This Row],[Nombre]],Tabla3[Numero de Transportes])</f>
        <v>2</v>
      </c>
      <c r="H34" s="88">
        <f>Tabla6[[#This Row],[Numero de Facturas]]/Tabla6[[#Totals],[Numero de Facturas]]</f>
        <v>2.8985507246376812E-2</v>
      </c>
      <c r="I34" s="45">
        <f>SUMIF(Tabla3[LUGAR ENVÍO],Tabla6[[#This Row],[Nombre]],Tabla3[VLR. TRANSPORTE])</f>
        <v>110000</v>
      </c>
      <c r="J34" s="45">
        <f>AVERAGEIF(Tabla3[LUGAR ENVÍO],Tabla6[[#This Row],[Nombre]],Tabla3[VLR. TRANSPORTE])</f>
        <v>55000</v>
      </c>
      <c r="K34" s="85">
        <f>Tabla6[[#This Row],[Distancia total ida y vuelta]]/Tabla6[[#This Row],[Numero de Facturas]]</f>
        <v>6.4665800000000022</v>
      </c>
      <c r="L34">
        <f>SUMIF(Tabla3[LUGAR ENVÍO],Tabla6[[#This Row],[Nombre]],Tabla3[DISTANCIA (km)])</f>
        <v>12.933160000000004</v>
      </c>
    </row>
    <row r="35" spans="1:12" x14ac:dyDescent="0.3">
      <c r="A35" s="17"/>
      <c r="E35" t="s">
        <v>31</v>
      </c>
      <c r="F35">
        <f>COUNTIF(Tabla3[LUGAR ENVÍO],Tabla6[[#This Row],[Nombre]])</f>
        <v>4</v>
      </c>
      <c r="G35">
        <f>SUMIF(Tabla3[LUGAR ENVÍO],Tabla6[[#This Row],[Nombre]],Tabla3[Numero de Transportes])</f>
        <v>4</v>
      </c>
      <c r="H35" s="88">
        <f>Tabla6[[#This Row],[Numero de Facturas]]/Tabla6[[#Totals],[Numero de Facturas]]</f>
        <v>5.7971014492753624E-2</v>
      </c>
      <c r="I35" s="45">
        <f>SUMIF(Tabla3[LUGAR ENVÍO],Tabla6[[#This Row],[Nombre]],Tabla3[VLR. TRANSPORTE])</f>
        <v>221000</v>
      </c>
      <c r="J35" s="45">
        <f>AVERAGEIF(Tabla3[LUGAR ENVÍO],Tabla6[[#This Row],[Nombre]],Tabla3[VLR. TRANSPORTE])</f>
        <v>55250</v>
      </c>
      <c r="K35" s="85">
        <f>Tabla6[[#This Row],[Distancia total ida y vuelta]]/Tabla6[[#This Row],[Numero de Facturas]]</f>
        <v>18.542000000000002</v>
      </c>
      <c r="L35">
        <f>SUMIF(Tabla3[LUGAR ENVÍO],Tabla6[[#This Row],[Nombre]],Tabla3[DISTANCIA (km)])</f>
        <v>74.168000000000006</v>
      </c>
    </row>
    <row r="36" spans="1:12" x14ac:dyDescent="0.3">
      <c r="A36" s="17"/>
      <c r="F36">
        <f>SUBTOTAL(109,Tabla6[Numero de Facturas])</f>
        <v>69</v>
      </c>
      <c r="G36">
        <f>SUBTOTAL(109,Tabla6[Numero de envios])</f>
        <v>81</v>
      </c>
      <c r="I36" s="50">
        <f>SUBTOTAL(109,Tabla6[Valor envio])</f>
        <v>4271000</v>
      </c>
      <c r="K36" s="90" t="e">
        <f>SUBTOTAL(101,Tabla6[Distancia (KM)])</f>
        <v>#DIV/0!</v>
      </c>
      <c r="L36">
        <f>SUBTOTAL(101,Tabla6[Distancia total ida y vuelta])</f>
        <v>12.522563529411762</v>
      </c>
    </row>
    <row r="37" spans="1:12" ht="15" thickBot="1" x14ac:dyDescent="0.35">
      <c r="A37" s="17"/>
      <c r="E37" s="82"/>
    </row>
    <row r="38" spans="1:12" ht="29.4" thickBot="1" x14ac:dyDescent="0.35">
      <c r="A38" s="17"/>
      <c r="E38" s="154" t="s">
        <v>520</v>
      </c>
      <c r="F38" s="155" t="s">
        <v>610</v>
      </c>
      <c r="G38" s="155" t="s">
        <v>542</v>
      </c>
      <c r="H38" s="155" t="s">
        <v>548</v>
      </c>
      <c r="I38" s="155" t="s">
        <v>543</v>
      </c>
      <c r="J38" s="155" t="s">
        <v>544</v>
      </c>
      <c r="K38" s="156" t="s">
        <v>546</v>
      </c>
    </row>
    <row r="39" spans="1:12" ht="15" thickBot="1" x14ac:dyDescent="0.35">
      <c r="A39" s="17"/>
      <c r="E39" s="157" t="s">
        <v>656</v>
      </c>
      <c r="F39" s="158">
        <v>8</v>
      </c>
      <c r="G39" s="158">
        <v>8</v>
      </c>
      <c r="H39" s="159">
        <v>7.7700000000000005E-2</v>
      </c>
      <c r="I39" s="160">
        <v>350000</v>
      </c>
      <c r="J39" s="160">
        <v>43750</v>
      </c>
      <c r="K39" s="158">
        <v>2.66</v>
      </c>
    </row>
    <row r="40" spans="1:12" ht="15" thickBot="1" x14ac:dyDescent="0.35">
      <c r="A40" s="17"/>
      <c r="E40" s="157" t="s">
        <v>554</v>
      </c>
      <c r="F40" s="158">
        <v>7</v>
      </c>
      <c r="G40" s="158">
        <v>9</v>
      </c>
      <c r="H40" s="159">
        <v>6.8000000000000005E-2</v>
      </c>
      <c r="I40" s="160">
        <v>560000</v>
      </c>
      <c r="J40" s="160">
        <v>80000</v>
      </c>
      <c r="K40" s="158">
        <v>2.65</v>
      </c>
    </row>
    <row r="41" spans="1:12" ht="15" thickBot="1" x14ac:dyDescent="0.35">
      <c r="A41" s="17"/>
      <c r="E41" s="157" t="s">
        <v>505</v>
      </c>
      <c r="F41" s="158">
        <v>7</v>
      </c>
      <c r="G41" s="158">
        <v>8</v>
      </c>
      <c r="H41" s="159">
        <v>6.8000000000000005E-2</v>
      </c>
      <c r="I41" s="160">
        <v>580000</v>
      </c>
      <c r="J41" s="160">
        <v>82857.14</v>
      </c>
      <c r="K41" s="158">
        <v>4.9349999999999996</v>
      </c>
    </row>
    <row r="42" spans="1:12" ht="15" thickBot="1" x14ac:dyDescent="0.35">
      <c r="A42" s="17"/>
      <c r="E42" s="157" t="s">
        <v>163</v>
      </c>
      <c r="F42" s="158">
        <v>7</v>
      </c>
      <c r="G42" s="158">
        <v>9</v>
      </c>
      <c r="H42" s="159">
        <v>6.8000000000000005E-2</v>
      </c>
      <c r="I42" s="160">
        <v>310000</v>
      </c>
      <c r="J42" s="160">
        <v>44285.71</v>
      </c>
      <c r="K42" s="158">
        <v>3.6989999999999998</v>
      </c>
    </row>
    <row r="43" spans="1:12" ht="15" thickBot="1" x14ac:dyDescent="0.35">
      <c r="A43" s="17"/>
      <c r="E43" s="157" t="s">
        <v>551</v>
      </c>
      <c r="F43" s="158">
        <v>9</v>
      </c>
      <c r="G43" s="158">
        <v>9</v>
      </c>
      <c r="H43" s="159">
        <v>8.7400000000000005E-2</v>
      </c>
      <c r="I43" s="160">
        <v>460000</v>
      </c>
      <c r="J43" s="160">
        <v>51111.11</v>
      </c>
      <c r="K43" s="158">
        <v>3.6429999999999998</v>
      </c>
    </row>
    <row r="44" spans="1:12" ht="15" thickBot="1" x14ac:dyDescent="0.35">
      <c r="A44" s="17"/>
      <c r="E44" s="157" t="s">
        <v>555</v>
      </c>
      <c r="F44" s="158">
        <v>5</v>
      </c>
      <c r="G44" s="158">
        <v>5</v>
      </c>
      <c r="H44" s="159">
        <v>4.8500000000000001E-2</v>
      </c>
      <c r="I44" s="160">
        <v>236000</v>
      </c>
      <c r="J44" s="160">
        <v>47200</v>
      </c>
      <c r="K44" s="158">
        <v>2.71</v>
      </c>
    </row>
    <row r="45" spans="1:12" ht="15" thickBot="1" x14ac:dyDescent="0.35">
      <c r="A45" s="17"/>
      <c r="E45" s="157" t="s">
        <v>508</v>
      </c>
      <c r="F45" s="158">
        <v>4</v>
      </c>
      <c r="G45" s="158">
        <v>5</v>
      </c>
      <c r="H45" s="159">
        <v>3.8800000000000001E-2</v>
      </c>
      <c r="I45" s="160">
        <v>145000</v>
      </c>
      <c r="J45" s="160">
        <v>36250</v>
      </c>
      <c r="K45" s="158">
        <v>2.0920000000000001</v>
      </c>
    </row>
    <row r="46" spans="1:12" ht="15" thickBot="1" x14ac:dyDescent="0.35">
      <c r="A46" s="17"/>
      <c r="E46" s="157" t="s">
        <v>0</v>
      </c>
      <c r="F46" s="158">
        <v>4</v>
      </c>
      <c r="G46" s="158">
        <v>4</v>
      </c>
      <c r="H46" s="159">
        <v>3.8800000000000001E-2</v>
      </c>
      <c r="I46" s="160">
        <v>170000</v>
      </c>
      <c r="J46" s="160">
        <v>42500</v>
      </c>
      <c r="K46" s="158">
        <v>4.2009999999999996</v>
      </c>
    </row>
    <row r="47" spans="1:12" ht="15" thickBot="1" x14ac:dyDescent="0.35">
      <c r="A47" s="17"/>
      <c r="E47" s="157" t="s">
        <v>553</v>
      </c>
      <c r="F47" s="158">
        <v>6</v>
      </c>
      <c r="G47" s="158">
        <v>7</v>
      </c>
      <c r="H47" s="159">
        <v>5.8299999999999998E-2</v>
      </c>
      <c r="I47" s="160">
        <v>380000</v>
      </c>
      <c r="J47" s="160">
        <v>63333.33</v>
      </c>
      <c r="K47" s="158">
        <v>8.7140000000000004</v>
      </c>
    </row>
    <row r="48" spans="1:12" ht="15" thickBot="1" x14ac:dyDescent="0.35">
      <c r="A48" s="17"/>
      <c r="E48" s="157" t="s">
        <v>644</v>
      </c>
      <c r="F48" s="158">
        <v>3</v>
      </c>
      <c r="G48" s="158">
        <v>3</v>
      </c>
      <c r="H48" s="159">
        <v>2.9100000000000001E-2</v>
      </c>
      <c r="I48" s="160">
        <v>180000</v>
      </c>
      <c r="J48" s="160">
        <v>60000</v>
      </c>
      <c r="K48" s="158">
        <v>4.4429999999999996</v>
      </c>
    </row>
    <row r="49" spans="1:11" ht="15" thickBot="1" x14ac:dyDescent="0.35">
      <c r="A49" s="17"/>
      <c r="E49" s="157" t="s">
        <v>646</v>
      </c>
      <c r="F49" s="158">
        <v>3</v>
      </c>
      <c r="G49" s="158">
        <v>3</v>
      </c>
      <c r="H49" s="159">
        <v>2.9100000000000001E-2</v>
      </c>
      <c r="I49" s="160">
        <v>160000</v>
      </c>
      <c r="J49" s="160">
        <v>53333.33</v>
      </c>
      <c r="K49" s="158">
        <v>7.6</v>
      </c>
    </row>
    <row r="50" spans="1:11" ht="15" thickBot="1" x14ac:dyDescent="0.35">
      <c r="A50" s="17"/>
      <c r="E50" s="157" t="s">
        <v>496</v>
      </c>
      <c r="F50" s="158">
        <v>3</v>
      </c>
      <c r="G50" s="158">
        <v>3</v>
      </c>
      <c r="H50" s="159">
        <v>2.9100000000000001E-2</v>
      </c>
      <c r="I50" s="160">
        <v>85000</v>
      </c>
      <c r="J50" s="160">
        <v>28333.33</v>
      </c>
      <c r="K50" s="158">
        <v>1.665</v>
      </c>
    </row>
    <row r="51" spans="1:11" ht="15" thickBot="1" x14ac:dyDescent="0.35">
      <c r="A51" s="17"/>
      <c r="E51" s="157" t="s">
        <v>501</v>
      </c>
      <c r="F51" s="158">
        <v>3</v>
      </c>
      <c r="G51" s="158">
        <v>4</v>
      </c>
      <c r="H51" s="159">
        <v>2.9100000000000001E-2</v>
      </c>
      <c r="I51" s="160">
        <v>165000</v>
      </c>
      <c r="J51" s="160">
        <v>55000</v>
      </c>
      <c r="K51" s="158">
        <v>4.7809999999999997</v>
      </c>
    </row>
    <row r="52" spans="1:11" ht="15" thickBot="1" x14ac:dyDescent="0.35">
      <c r="A52" s="17"/>
      <c r="E52" s="157" t="s">
        <v>487</v>
      </c>
      <c r="F52" s="158">
        <v>4</v>
      </c>
      <c r="G52" s="158">
        <v>5</v>
      </c>
      <c r="H52" s="159">
        <v>3.8800000000000001E-2</v>
      </c>
      <c r="I52" s="160">
        <v>135000</v>
      </c>
      <c r="J52" s="160">
        <v>33750</v>
      </c>
      <c r="K52" s="158">
        <v>0.32100000000000001</v>
      </c>
    </row>
    <row r="53" spans="1:11" ht="15" thickBot="1" x14ac:dyDescent="0.35">
      <c r="A53" s="17"/>
      <c r="E53" s="157" t="s">
        <v>509</v>
      </c>
      <c r="F53" s="158">
        <v>2</v>
      </c>
      <c r="G53" s="158">
        <v>4</v>
      </c>
      <c r="H53" s="159">
        <v>1.9400000000000001E-2</v>
      </c>
      <c r="I53" s="160">
        <v>160000</v>
      </c>
      <c r="J53" s="160">
        <v>80000</v>
      </c>
      <c r="K53" s="158">
        <v>1.343</v>
      </c>
    </row>
    <row r="54" spans="1:11" ht="15" thickBot="1" x14ac:dyDescent="0.35">
      <c r="A54" s="17"/>
      <c r="E54" s="157" t="s">
        <v>502</v>
      </c>
      <c r="F54" s="158">
        <v>2</v>
      </c>
      <c r="G54" s="158">
        <v>2</v>
      </c>
      <c r="H54" s="159">
        <v>1.9400000000000001E-2</v>
      </c>
      <c r="I54" s="160">
        <v>110000</v>
      </c>
      <c r="J54" s="160">
        <v>55000</v>
      </c>
      <c r="K54" s="158">
        <v>9.4380000000000006</v>
      </c>
    </row>
    <row r="55" spans="1:11" ht="15" thickBot="1" x14ac:dyDescent="0.35">
      <c r="A55" s="17"/>
      <c r="E55" s="157" t="s">
        <v>634</v>
      </c>
      <c r="F55" s="158">
        <v>2</v>
      </c>
      <c r="G55" s="158">
        <v>2</v>
      </c>
      <c r="H55" s="159">
        <v>1.9400000000000001E-2</v>
      </c>
      <c r="I55" s="160">
        <v>130000</v>
      </c>
      <c r="J55" s="160">
        <v>65000</v>
      </c>
      <c r="K55" s="158">
        <v>6.7240000000000002</v>
      </c>
    </row>
    <row r="56" spans="1:11" ht="15" thickBot="1" x14ac:dyDescent="0.35">
      <c r="A56" s="17"/>
      <c r="E56" s="157" t="s">
        <v>510</v>
      </c>
      <c r="F56" s="158">
        <v>2</v>
      </c>
      <c r="G56" s="158">
        <v>2</v>
      </c>
      <c r="H56" s="159">
        <v>1.9400000000000001E-2</v>
      </c>
      <c r="I56" s="160">
        <v>110000</v>
      </c>
      <c r="J56" s="160">
        <v>55000</v>
      </c>
      <c r="K56" s="158">
        <v>6.1239999999999997</v>
      </c>
    </row>
    <row r="57" spans="1:11" ht="15" thickBot="1" x14ac:dyDescent="0.35">
      <c r="A57" s="17"/>
      <c r="E57" s="157" t="s">
        <v>516</v>
      </c>
      <c r="F57" s="158">
        <v>2</v>
      </c>
      <c r="G57" s="158">
        <v>2</v>
      </c>
      <c r="H57" s="159">
        <v>1.9400000000000001E-2</v>
      </c>
      <c r="I57" s="160">
        <v>60000</v>
      </c>
      <c r="J57" s="160">
        <v>30000</v>
      </c>
      <c r="K57" s="158">
        <v>9.6</v>
      </c>
    </row>
    <row r="58" spans="1:11" ht="15" thickBot="1" x14ac:dyDescent="0.35">
      <c r="A58" s="17"/>
      <c r="E58" s="157" t="s">
        <v>658</v>
      </c>
      <c r="F58" s="158">
        <v>2</v>
      </c>
      <c r="G58" s="158">
        <v>2</v>
      </c>
      <c r="H58" s="159">
        <v>1.9400000000000001E-2</v>
      </c>
      <c r="I58" s="160">
        <v>180000</v>
      </c>
      <c r="J58" s="160">
        <v>90000</v>
      </c>
      <c r="K58" s="158">
        <v>10.199999999999999</v>
      </c>
    </row>
    <row r="59" spans="1:11" ht="15" thickBot="1" x14ac:dyDescent="0.35">
      <c r="A59" s="17"/>
      <c r="E59" s="157" t="s">
        <v>638</v>
      </c>
      <c r="F59" s="158">
        <v>2</v>
      </c>
      <c r="G59" s="158">
        <v>3</v>
      </c>
      <c r="H59" s="159">
        <v>1.9400000000000001E-2</v>
      </c>
      <c r="I59" s="160">
        <v>120000</v>
      </c>
      <c r="J59" s="160">
        <v>60000</v>
      </c>
      <c r="K59" s="158">
        <v>8.4710000000000001</v>
      </c>
    </row>
    <row r="60" spans="1:11" ht="15" thickBot="1" x14ac:dyDescent="0.35">
      <c r="A60" s="17"/>
      <c r="E60" s="157" t="s">
        <v>492</v>
      </c>
      <c r="F60" s="158">
        <v>2</v>
      </c>
      <c r="G60" s="158">
        <v>2</v>
      </c>
      <c r="H60" s="159">
        <v>1.9400000000000001E-2</v>
      </c>
      <c r="I60" s="160">
        <v>80000</v>
      </c>
      <c r="J60" s="160">
        <v>40000</v>
      </c>
      <c r="K60" s="158">
        <v>0.94399999999999995</v>
      </c>
    </row>
    <row r="61" spans="1:11" ht="15" thickBot="1" x14ac:dyDescent="0.35">
      <c r="A61" s="17"/>
      <c r="E61" s="157" t="s">
        <v>504</v>
      </c>
      <c r="F61" s="158">
        <v>3</v>
      </c>
      <c r="G61" s="158">
        <v>3</v>
      </c>
      <c r="H61" s="159">
        <v>2.9100000000000001E-2</v>
      </c>
      <c r="I61" s="160">
        <v>150000</v>
      </c>
      <c r="J61" s="160">
        <v>50000</v>
      </c>
      <c r="K61" s="158">
        <v>1.867</v>
      </c>
    </row>
    <row r="62" spans="1:11" ht="15" thickBot="1" x14ac:dyDescent="0.35">
      <c r="A62" s="17"/>
      <c r="E62" s="157" t="s">
        <v>654</v>
      </c>
      <c r="F62" s="158">
        <v>1</v>
      </c>
      <c r="G62" s="158">
        <v>1</v>
      </c>
      <c r="H62" s="159">
        <v>9.7000000000000003E-3</v>
      </c>
      <c r="I62" s="160">
        <v>40000</v>
      </c>
      <c r="J62" s="160">
        <v>40000</v>
      </c>
      <c r="K62" s="158">
        <v>5.2640000000000002</v>
      </c>
    </row>
    <row r="63" spans="1:11" ht="15" thickBot="1" x14ac:dyDescent="0.35">
      <c r="A63" s="17"/>
      <c r="E63" s="157" t="s">
        <v>514</v>
      </c>
      <c r="F63" s="158">
        <v>1</v>
      </c>
      <c r="G63" s="158">
        <v>2</v>
      </c>
      <c r="H63" s="159">
        <v>9.7000000000000003E-3</v>
      </c>
      <c r="I63" s="160">
        <v>140000</v>
      </c>
      <c r="J63" s="160">
        <v>140000</v>
      </c>
      <c r="K63" s="158">
        <v>6.61</v>
      </c>
    </row>
    <row r="64" spans="1:11" ht="15" thickBot="1" x14ac:dyDescent="0.35">
      <c r="A64" s="17"/>
      <c r="E64" s="157" t="s">
        <v>25</v>
      </c>
      <c r="F64" s="158">
        <v>1</v>
      </c>
      <c r="G64" s="158">
        <v>1</v>
      </c>
      <c r="H64" s="159">
        <v>9.7000000000000003E-3</v>
      </c>
      <c r="I64" s="160">
        <v>80000</v>
      </c>
      <c r="J64" s="160">
        <v>80000</v>
      </c>
      <c r="K64" s="158">
        <v>4.93</v>
      </c>
    </row>
    <row r="65" spans="1:11" ht="15" thickBot="1" x14ac:dyDescent="0.35">
      <c r="A65" s="17"/>
      <c r="E65" s="157" t="s">
        <v>495</v>
      </c>
      <c r="F65" s="158">
        <v>1</v>
      </c>
      <c r="G65" s="158">
        <v>1</v>
      </c>
      <c r="H65" s="159">
        <v>9.7000000000000003E-3</v>
      </c>
      <c r="I65" s="160">
        <v>15000</v>
      </c>
      <c r="J65" s="160">
        <v>15000</v>
      </c>
      <c r="K65" s="158">
        <v>1.087</v>
      </c>
    </row>
    <row r="66" spans="1:11" ht="15" thickBot="1" x14ac:dyDescent="0.35">
      <c r="A66" s="17"/>
      <c r="E66" s="157" t="s">
        <v>494</v>
      </c>
      <c r="F66" s="158">
        <v>1</v>
      </c>
      <c r="G66" s="158">
        <v>1</v>
      </c>
      <c r="H66" s="159">
        <v>9.7000000000000003E-3</v>
      </c>
      <c r="I66" s="160">
        <v>30000</v>
      </c>
      <c r="J66" s="160">
        <v>30000</v>
      </c>
      <c r="K66" s="158">
        <v>0.93500000000000005</v>
      </c>
    </row>
    <row r="67" spans="1:11" ht="15" thickBot="1" x14ac:dyDescent="0.35">
      <c r="A67" s="17"/>
      <c r="E67" s="157" t="s">
        <v>619</v>
      </c>
      <c r="F67" s="158">
        <v>1</v>
      </c>
      <c r="G67" s="158">
        <v>1</v>
      </c>
      <c r="H67" s="159">
        <v>9.7000000000000003E-3</v>
      </c>
      <c r="I67" s="160">
        <v>70000</v>
      </c>
      <c r="J67" s="160">
        <v>70000</v>
      </c>
      <c r="K67" s="158">
        <v>2.2690000000000001</v>
      </c>
    </row>
    <row r="68" spans="1:11" ht="15" thickBot="1" x14ac:dyDescent="0.35">
      <c r="A68" s="17"/>
      <c r="E68" s="157" t="s">
        <v>493</v>
      </c>
      <c r="F68" s="158">
        <v>1</v>
      </c>
      <c r="G68" s="158">
        <v>1</v>
      </c>
      <c r="H68" s="159">
        <v>9.7000000000000003E-3</v>
      </c>
      <c r="I68" s="160">
        <v>25000</v>
      </c>
      <c r="J68" s="160">
        <v>25000</v>
      </c>
      <c r="K68" s="158">
        <v>0.44900000000000001</v>
      </c>
    </row>
    <row r="69" spans="1:11" ht="15" thickBot="1" x14ac:dyDescent="0.35">
      <c r="A69" s="17"/>
      <c r="E69" s="157" t="s">
        <v>498</v>
      </c>
      <c r="F69" s="158">
        <v>1</v>
      </c>
      <c r="G69" s="158">
        <v>1</v>
      </c>
      <c r="H69" s="159">
        <v>9.7000000000000003E-3</v>
      </c>
      <c r="I69" s="160">
        <v>15000</v>
      </c>
      <c r="J69" s="160">
        <v>15000</v>
      </c>
      <c r="K69" s="158">
        <v>1.31</v>
      </c>
    </row>
    <row r="70" spans="1:11" ht="15" thickBot="1" x14ac:dyDescent="0.35">
      <c r="A70" s="17"/>
      <c r="E70" s="157" t="s">
        <v>497</v>
      </c>
      <c r="F70" s="158">
        <v>1</v>
      </c>
      <c r="G70" s="158">
        <v>1</v>
      </c>
      <c r="H70" s="159">
        <v>9.7000000000000003E-3</v>
      </c>
      <c r="I70" s="160">
        <v>10000</v>
      </c>
      <c r="J70" s="160">
        <v>10000</v>
      </c>
      <c r="K70" s="158">
        <v>0.123</v>
      </c>
    </row>
    <row r="71" spans="1:11" ht="15" thickBot="1" x14ac:dyDescent="0.35">
      <c r="A71" s="17"/>
      <c r="E71" s="157" t="s">
        <v>549</v>
      </c>
      <c r="F71" s="158">
        <v>1</v>
      </c>
      <c r="G71" s="158">
        <v>1</v>
      </c>
      <c r="H71" s="159">
        <v>9.7000000000000003E-3</v>
      </c>
      <c r="I71" s="160">
        <v>30000</v>
      </c>
      <c r="J71" s="160">
        <v>30000</v>
      </c>
      <c r="K71" s="158">
        <v>6.4669999999999996</v>
      </c>
    </row>
    <row r="72" spans="1:11" ht="15" thickBot="1" x14ac:dyDescent="0.35">
      <c r="A72" s="17"/>
      <c r="E72" s="161" t="s">
        <v>31</v>
      </c>
      <c r="F72" s="162">
        <v>1</v>
      </c>
      <c r="G72" s="162">
        <v>1</v>
      </c>
      <c r="H72" s="163">
        <v>9.7000000000000003E-3</v>
      </c>
      <c r="I72" s="164">
        <v>80000</v>
      </c>
      <c r="J72" s="164">
        <v>80000</v>
      </c>
      <c r="K72" s="162">
        <v>18.54</v>
      </c>
    </row>
    <row r="73" spans="1:11" x14ac:dyDescent="0.3">
      <c r="A73" s="17"/>
    </row>
    <row r="74" spans="1:11" x14ac:dyDescent="0.3">
      <c r="A74" s="17"/>
    </row>
    <row r="75" spans="1:11" x14ac:dyDescent="0.3">
      <c r="A75" s="17"/>
    </row>
    <row r="76" spans="1:11" x14ac:dyDescent="0.3">
      <c r="A76" s="17"/>
    </row>
    <row r="77" spans="1:11" x14ac:dyDescent="0.3">
      <c r="A77" s="17"/>
    </row>
    <row r="78" spans="1:11" x14ac:dyDescent="0.3">
      <c r="A78" s="17"/>
    </row>
    <row r="79" spans="1:11" x14ac:dyDescent="0.3">
      <c r="A79" s="17"/>
    </row>
    <row r="80" spans="1:11" x14ac:dyDescent="0.3">
      <c r="A80" s="17"/>
    </row>
    <row r="81" spans="1:1" x14ac:dyDescent="0.3">
      <c r="A81" s="17"/>
    </row>
    <row r="82" spans="1:1" x14ac:dyDescent="0.3">
      <c r="A82" s="17"/>
    </row>
    <row r="83" spans="1:1" x14ac:dyDescent="0.3">
      <c r="A83" s="17"/>
    </row>
    <row r="84" spans="1:1" x14ac:dyDescent="0.3">
      <c r="A84" s="17"/>
    </row>
    <row r="85" spans="1:1" x14ac:dyDescent="0.3">
      <c r="A85" s="17"/>
    </row>
    <row r="86" spans="1:1" x14ac:dyDescent="0.3">
      <c r="A86" s="17"/>
    </row>
    <row r="87" spans="1:1" x14ac:dyDescent="0.3">
      <c r="A87" s="17"/>
    </row>
    <row r="88" spans="1:1" x14ac:dyDescent="0.3">
      <c r="A88" s="17"/>
    </row>
    <row r="89" spans="1:1" x14ac:dyDescent="0.3">
      <c r="A89" s="17"/>
    </row>
    <row r="90" spans="1:1" x14ac:dyDescent="0.3">
      <c r="A90" s="17"/>
    </row>
    <row r="91" spans="1:1" x14ac:dyDescent="0.3">
      <c r="A91" s="17"/>
    </row>
    <row r="92" spans="1:1" x14ac:dyDescent="0.3">
      <c r="A92" s="17"/>
    </row>
    <row r="93" spans="1:1" x14ac:dyDescent="0.3">
      <c r="A93" s="17"/>
    </row>
  </sheetData>
  <pageMargins left="0.7" right="0.7" top="0.75" bottom="0.75" header="0.3" footer="0.3"/>
  <pageSetup orientation="portrait" horizontalDpi="360" verticalDpi="360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65182-19FF-45F8-B0B9-1B24AC66A01A}">
  <dimension ref="A1:S242"/>
  <sheetViews>
    <sheetView showOutlineSymbols="0" showWhiteSpace="0" topLeftCell="B206" workbookViewId="0">
      <selection activeCell="E165" sqref="E165"/>
    </sheetView>
  </sheetViews>
  <sheetFormatPr baseColWidth="10" defaultRowHeight="14.4" x14ac:dyDescent="0.3"/>
  <cols>
    <col min="1" max="1" width="11.6640625" customWidth="1"/>
    <col min="3" max="3" width="12.88671875" customWidth="1"/>
    <col min="5" max="5" width="20.44140625" bestFit="1" customWidth="1"/>
    <col min="6" max="6" width="12.44140625" customWidth="1"/>
    <col min="7" max="7" width="13.6640625" bestFit="1" customWidth="1"/>
    <col min="8" max="9" width="13.88671875" customWidth="1"/>
    <col min="10" max="10" width="12.5546875" customWidth="1"/>
    <col min="11" max="11" width="19.109375" customWidth="1"/>
    <col min="12" max="13" width="15.21875" customWidth="1"/>
    <col min="14" max="15" width="14.77734375" customWidth="1"/>
    <col min="16" max="16" width="15.88671875" customWidth="1"/>
    <col min="17" max="17" width="12.5546875" customWidth="1"/>
  </cols>
  <sheetData>
    <row r="1" spans="1:17" ht="25.2" thickBot="1" x14ac:dyDescent="0.35">
      <c r="A1" s="6" t="s">
        <v>81</v>
      </c>
      <c r="B1" s="7" t="s">
        <v>82</v>
      </c>
      <c r="C1" s="7" t="s">
        <v>83</v>
      </c>
      <c r="D1" s="7" t="s">
        <v>84</v>
      </c>
      <c r="E1" s="83" t="s">
        <v>85</v>
      </c>
      <c r="F1" s="8" t="s">
        <v>3</v>
      </c>
      <c r="G1" s="8" t="s">
        <v>4</v>
      </c>
      <c r="H1" s="8" t="s">
        <v>86</v>
      </c>
      <c r="I1" s="8" t="s">
        <v>491</v>
      </c>
      <c r="J1" s="8" t="s">
        <v>87</v>
      </c>
      <c r="K1" s="9" t="s">
        <v>88</v>
      </c>
      <c r="L1" s="9" t="s">
        <v>89</v>
      </c>
      <c r="M1" s="9" t="s">
        <v>547</v>
      </c>
      <c r="N1" s="9" t="s">
        <v>90</v>
      </c>
      <c r="O1" s="10" t="s">
        <v>91</v>
      </c>
      <c r="P1" s="11" t="s">
        <v>92</v>
      </c>
      <c r="Q1" s="11" t="s">
        <v>93</v>
      </c>
    </row>
    <row r="2" spans="1:17" ht="27.6" hidden="1" thickBot="1" x14ac:dyDescent="0.35">
      <c r="A2" s="3">
        <v>58563</v>
      </c>
      <c r="B2" s="4">
        <v>45978</v>
      </c>
      <c r="C2" s="3" t="s">
        <v>94</v>
      </c>
      <c r="D2" s="3" t="s">
        <v>247</v>
      </c>
      <c r="E2" s="3" t="s">
        <v>692</v>
      </c>
      <c r="F2" s="3">
        <v>6</v>
      </c>
      <c r="G2" s="3" t="str">
        <f>_xlfn.XLOOKUP(Tabla3[[#This Row],[ID]],Tabla2[ID],Tabla2[Corregimiento],"NA")</f>
        <v>El Limonar</v>
      </c>
      <c r="H2" s="167">
        <f>_xlfn.XLOOKUP(Tabla3[[#This Row],[LUGAR ENVÍO]],Tabla9[[Nombre ]],Tabla9[Distancia],"NA")</f>
        <v>6.7879999999999994</v>
      </c>
      <c r="I2" s="68">
        <f>Tabla3[[#This Row],[Valor Tran]]/(Tabla3[[#This Row],[DISTANCIA (km)]]*2)</f>
        <v>7365.9398939304665</v>
      </c>
      <c r="J2" s="5"/>
      <c r="K2" s="3">
        <v>2</v>
      </c>
      <c r="L2" s="15">
        <v>200000</v>
      </c>
      <c r="M2" s="15">
        <f>Tabla3[[#This Row],[VLR. TRANSPORTE]]/Tabla3[[#This Row],[Numero de Transportes]]</f>
        <v>100000</v>
      </c>
      <c r="N2" s="15">
        <v>1044500</v>
      </c>
      <c r="O2" s="15">
        <f>Tabla3[[#This Row],[VLR. TOTAL FACT.]]-Tabla3[[#This Row],[VLR. TRANSPORTE]]</f>
        <v>844500</v>
      </c>
      <c r="P2" s="3">
        <v>1</v>
      </c>
      <c r="Q2" s="3" t="s">
        <v>290</v>
      </c>
    </row>
    <row r="3" spans="1:17" ht="15" hidden="1" thickBot="1" x14ac:dyDescent="0.35">
      <c r="A3" s="3">
        <v>58646</v>
      </c>
      <c r="B3" s="184">
        <v>45983</v>
      </c>
      <c r="C3" s="3" t="s">
        <v>94</v>
      </c>
      <c r="D3" s="3" t="s">
        <v>241</v>
      </c>
      <c r="E3" s="3" t="s">
        <v>692</v>
      </c>
      <c r="F3" s="3">
        <v>6</v>
      </c>
      <c r="G3" s="3" t="str">
        <f>_xlfn.XLOOKUP(Tabla3[[#This Row],[ID]],Tabla2[ID],Tabla2[Corregimiento],"NA")</f>
        <v>El Limonar</v>
      </c>
      <c r="H3" s="167">
        <f>_xlfn.XLOOKUP(Tabla3[[#This Row],[LUGAR ENVÍO]],Tabla9[[Nombre ]],Tabla9[Distancia],"NA")</f>
        <v>6.7879999999999994</v>
      </c>
      <c r="I3" s="68">
        <f>Tabla3[[#This Row],[Valor Tran]]/(Tabla3[[#This Row],[DISTANCIA (km)]]*2)</f>
        <v>3682.9699469652332</v>
      </c>
      <c r="J3" s="5"/>
      <c r="K3" s="3">
        <v>1</v>
      </c>
      <c r="L3" s="15">
        <v>50000</v>
      </c>
      <c r="M3" s="15">
        <f>Tabla3[[#This Row],[VLR. TRANSPORTE]]/Tabla3[[#This Row],[Numero de Transportes]]</f>
        <v>50000</v>
      </c>
      <c r="N3" s="15">
        <v>4067000</v>
      </c>
      <c r="O3" s="15">
        <f>Tabla3[[#This Row],[VLR. TOTAL FACT.]]-Tabla3[[#This Row],[VLR. TRANSPORTE]]</f>
        <v>4017000</v>
      </c>
      <c r="P3" s="3">
        <v>1</v>
      </c>
      <c r="Q3" s="3" t="s">
        <v>100</v>
      </c>
    </row>
    <row r="4" spans="1:17" ht="15" thickBot="1" x14ac:dyDescent="0.35">
      <c r="A4" s="93">
        <v>47037</v>
      </c>
      <c r="B4" s="98">
        <v>45969</v>
      </c>
      <c r="C4" s="93" t="s">
        <v>94</v>
      </c>
      <c r="D4" s="93" t="s">
        <v>116</v>
      </c>
      <c r="E4" s="174" t="s">
        <v>691</v>
      </c>
      <c r="F4" s="93">
        <v>2</v>
      </c>
      <c r="G4" s="93" t="str">
        <f>_xlfn.XLOOKUP(Tabla3[[#This Row],[ID]],Tabla2[ID],Tabla2[Corregimiento],"NA")</f>
        <v>Borrero Ayerbe</v>
      </c>
      <c r="H4" s="167">
        <f>_xlfn.XLOOKUP(Tabla3[[#This Row],[LUGAR ENVÍO]],Tabla9[[Nombre ]],Tabla9[Distancia],"NA")</f>
        <v>2.0589999999999997</v>
      </c>
      <c r="I4" s="100">
        <f>Tabla3[[#This Row],[Valor Tran]]/(Tabla3[[#This Row],[DISTANCIA (km)]]*2)</f>
        <v>6070.9082078678975</v>
      </c>
      <c r="J4" s="99"/>
      <c r="K4" s="93">
        <v>1</v>
      </c>
      <c r="L4" s="96">
        <v>25000</v>
      </c>
      <c r="M4" s="96">
        <f>Tabla3[[#This Row],[VLR. TRANSPORTE]]/Tabla3[[#This Row],[Numero de Transportes]]</f>
        <v>25000</v>
      </c>
      <c r="N4" s="96">
        <v>175000</v>
      </c>
      <c r="O4" s="96">
        <f>Tabla3[[#This Row],[VLR. TOTAL FACT.]]-Tabla3[[#This Row],[VLR. TRANSPORTE]]</f>
        <v>150000</v>
      </c>
      <c r="P4" s="93">
        <v>0</v>
      </c>
      <c r="Q4" s="93" t="s">
        <v>96</v>
      </c>
    </row>
    <row r="5" spans="1:17" ht="27.6" thickBot="1" x14ac:dyDescent="0.35">
      <c r="A5" s="3">
        <v>58690</v>
      </c>
      <c r="B5" s="184">
        <v>45993</v>
      </c>
      <c r="C5" s="3" t="s">
        <v>94</v>
      </c>
      <c r="D5" s="3" t="s">
        <v>252</v>
      </c>
      <c r="E5" s="3" t="s">
        <v>691</v>
      </c>
      <c r="F5" s="3">
        <v>2</v>
      </c>
      <c r="G5" s="3" t="str">
        <f>_xlfn.XLOOKUP(Tabla3[[#This Row],[ID]],Tabla2[ID],Tabla2[Corregimiento],"NA")</f>
        <v>Borrero Ayerbe</v>
      </c>
      <c r="H5" s="167">
        <f>_xlfn.XLOOKUP(Tabla3[[#This Row],[LUGAR ENVÍO]],Tabla9[[Nombre ]],Tabla9[Distancia],"NA")</f>
        <v>2.0589999999999997</v>
      </c>
      <c r="I5" s="68">
        <f>Tabla3[[#This Row],[Valor Tran]]/(Tabla3[[#This Row],[DISTANCIA (km)]]*2)</f>
        <v>4856.7265662943182</v>
      </c>
      <c r="J5" s="5"/>
      <c r="K5" s="3">
        <v>2</v>
      </c>
      <c r="L5" s="15">
        <v>40000</v>
      </c>
      <c r="M5" s="15">
        <f>Tabla3[[#This Row],[VLR. TRANSPORTE]]/Tabla3[[#This Row],[Numero de Transportes]]</f>
        <v>20000</v>
      </c>
      <c r="N5" s="15">
        <v>387000</v>
      </c>
      <c r="O5" s="15">
        <f>Tabla3[[#This Row],[VLR. TOTAL FACT.]]-Tabla3[[#This Row],[VLR. TRANSPORTE]]</f>
        <v>347000</v>
      </c>
      <c r="P5" s="3">
        <v>1</v>
      </c>
      <c r="Q5" s="3" t="s">
        <v>100</v>
      </c>
    </row>
    <row r="6" spans="1:17" ht="27.6" thickBot="1" x14ac:dyDescent="0.35">
      <c r="A6" s="3">
        <v>58823</v>
      </c>
      <c r="B6" s="184">
        <v>46000</v>
      </c>
      <c r="C6" s="3" t="s">
        <v>101</v>
      </c>
      <c r="D6" s="3" t="s">
        <v>165</v>
      </c>
      <c r="E6" s="172" t="s">
        <v>691</v>
      </c>
      <c r="F6" s="3">
        <v>2</v>
      </c>
      <c r="G6" s="3" t="str">
        <f>_xlfn.XLOOKUP(Tabla3[[#This Row],[ID]],Tabla2[ID],Tabla2[Corregimiento],"NA")</f>
        <v>Borrero Ayerbe</v>
      </c>
      <c r="H6" s="167">
        <f>_xlfn.XLOOKUP(Tabla3[[#This Row],[LUGAR ENVÍO]],Tabla9[[Nombre ]],Tabla9[Distancia],"NA")</f>
        <v>2.0589999999999997</v>
      </c>
      <c r="I6" s="68">
        <f>Tabla3[[#This Row],[Valor Tran]]/(Tabla3[[#This Row],[DISTANCIA (km)]]*2)</f>
        <v>3642.5449247207389</v>
      </c>
      <c r="J6" s="5"/>
      <c r="K6" s="3">
        <v>1</v>
      </c>
      <c r="L6" s="15">
        <v>15000</v>
      </c>
      <c r="M6" s="15">
        <f>Tabla3[[#This Row],[VLR. TRANSPORTE]]/Tabla3[[#This Row],[Numero de Transportes]]</f>
        <v>15000</v>
      </c>
      <c r="N6" s="15">
        <v>2954000</v>
      </c>
      <c r="O6" s="15">
        <f>Tabla3[[#This Row],[VLR. TOTAL FACT.]]-Tabla3[[#This Row],[VLR. TRANSPORTE]]</f>
        <v>2939000</v>
      </c>
      <c r="P6" s="3">
        <v>1</v>
      </c>
      <c r="Q6" s="3" t="s">
        <v>100</v>
      </c>
    </row>
    <row r="7" spans="1:17" ht="15" hidden="1" thickBot="1" x14ac:dyDescent="0.35">
      <c r="A7" s="3">
        <v>46418</v>
      </c>
      <c r="B7" s="4">
        <v>45962</v>
      </c>
      <c r="C7" s="3" t="s">
        <v>94</v>
      </c>
      <c r="D7" s="3" t="s">
        <v>167</v>
      </c>
      <c r="E7" s="3" t="s">
        <v>685</v>
      </c>
      <c r="F7" s="3">
        <v>4</v>
      </c>
      <c r="G7" s="3" t="str">
        <f>_xlfn.XLOOKUP(Tabla3[[#This Row],[ID]],Tabla2[ID],Tabla2[Corregimiento],"NA")</f>
        <v>El Carmen</v>
      </c>
      <c r="H7" s="167">
        <f>_xlfn.XLOOKUP(Tabla3[[#This Row],[LUGAR ENVÍO]],Tabla9[[Nombre ]],Tabla9[Distancia],"NA")</f>
        <v>3.4490000000000003</v>
      </c>
      <c r="I7" s="68">
        <f>Tabla3[[#This Row],[Valor Tran]]/(Tabla3[[#This Row],[DISTANCIA (km)]]*2)</f>
        <v>5798.7822557262971</v>
      </c>
      <c r="J7" s="5"/>
      <c r="K7" s="3">
        <v>1</v>
      </c>
      <c r="L7" s="15">
        <v>40000</v>
      </c>
      <c r="M7" s="15">
        <f>Tabla3[[#This Row],[VLR. TRANSPORTE]]/Tabla3[[#This Row],[Numero de Transportes]]</f>
        <v>40000</v>
      </c>
      <c r="N7" s="15">
        <v>233000</v>
      </c>
      <c r="O7" s="15">
        <f>Tabla3[[#This Row],[VLR. TOTAL FACT.]]-Tabla3[[#This Row],[VLR. TRANSPORTE]]</f>
        <v>193000</v>
      </c>
      <c r="P7" s="3">
        <v>0</v>
      </c>
      <c r="Q7" s="3" t="s">
        <v>96</v>
      </c>
    </row>
    <row r="8" spans="1:17" ht="27.6" hidden="1" thickBot="1" x14ac:dyDescent="0.35">
      <c r="A8" s="146">
        <v>48240</v>
      </c>
      <c r="B8" s="148" t="s">
        <v>640</v>
      </c>
      <c r="C8" s="146" t="s">
        <v>94</v>
      </c>
      <c r="D8" s="146" t="s">
        <v>641</v>
      </c>
      <c r="E8" s="146" t="s">
        <v>119</v>
      </c>
      <c r="F8" s="146">
        <v>4</v>
      </c>
      <c r="G8" s="3" t="str">
        <f>_xlfn.XLOOKUP(Tabla3[[#This Row],[ID]],Tabla2[ID],Tabla2[Corregimiento],"NA")</f>
        <v>El Carmen</v>
      </c>
      <c r="H8" s="167">
        <f>_xlfn.XLOOKUP(Tabla3[[#This Row],[LUGAR ENVÍO]],Tabla9[[Nombre ]],Tabla9[Distancia],"NA")</f>
        <v>2.2797620000000003</v>
      </c>
      <c r="I8" s="68">
        <f>Tabla3[[#This Row],[Valor Tran]]/(Tabla3[[#This Row],[DISTANCIA (km)]]*2)</f>
        <v>8772.8455865129763</v>
      </c>
      <c r="J8" s="150"/>
      <c r="K8" s="146">
        <v>1</v>
      </c>
      <c r="L8" s="152">
        <v>40000</v>
      </c>
      <c r="M8" s="152">
        <v>40000</v>
      </c>
      <c r="N8" s="152">
        <v>410500</v>
      </c>
      <c r="O8" s="15">
        <f>Tabla3[[#This Row],[VLR. TOTAL FACT.]]-Tabla3[[#This Row],[VLR. TRANSPORTE]]</f>
        <v>370500</v>
      </c>
      <c r="P8" s="146">
        <v>1</v>
      </c>
      <c r="Q8" s="146" t="s">
        <v>120</v>
      </c>
    </row>
    <row r="9" spans="1:17" ht="27.6" hidden="1" thickBot="1" x14ac:dyDescent="0.35">
      <c r="A9" s="146">
        <v>48122</v>
      </c>
      <c r="B9" s="148" t="s">
        <v>643</v>
      </c>
      <c r="C9" s="146" t="s">
        <v>94</v>
      </c>
      <c r="D9" s="146" t="s">
        <v>282</v>
      </c>
      <c r="E9" s="146" t="s">
        <v>119</v>
      </c>
      <c r="F9" s="146">
        <v>4</v>
      </c>
      <c r="G9" s="3" t="str">
        <f>_xlfn.XLOOKUP(Tabla3[[#This Row],[ID]],Tabla2[ID],Tabla2[Corregimiento],"NA")</f>
        <v>El Carmen</v>
      </c>
      <c r="H9" s="167">
        <f>_xlfn.XLOOKUP(Tabla3[[#This Row],[LUGAR ENVÍO]],Tabla9[[Nombre ]],Tabla9[Distancia],"NA")</f>
        <v>2.2797620000000003</v>
      </c>
      <c r="I9" s="68">
        <f>Tabla3[[#This Row],[Valor Tran]]/(Tabla3[[#This Row],[DISTANCIA (km)]]*2)</f>
        <v>8772.8455865129763</v>
      </c>
      <c r="J9" s="150"/>
      <c r="K9" s="146">
        <v>1</v>
      </c>
      <c r="L9" s="152">
        <v>40000</v>
      </c>
      <c r="M9" s="152">
        <v>40000</v>
      </c>
      <c r="N9" s="152">
        <v>412700</v>
      </c>
      <c r="O9" s="15">
        <f>Tabla3[[#This Row],[VLR. TOTAL FACT.]]-Tabla3[[#This Row],[VLR. TRANSPORTE]]</f>
        <v>372700</v>
      </c>
      <c r="P9" s="146">
        <v>1</v>
      </c>
      <c r="Q9" s="146" t="s">
        <v>96</v>
      </c>
    </row>
    <row r="10" spans="1:17" ht="15" hidden="1" thickBot="1" x14ac:dyDescent="0.35">
      <c r="A10" s="146">
        <v>55590</v>
      </c>
      <c r="B10" s="148" t="s">
        <v>627</v>
      </c>
      <c r="C10" s="146" t="s">
        <v>94</v>
      </c>
      <c r="D10" s="146" t="s">
        <v>628</v>
      </c>
      <c r="E10" s="146" t="s">
        <v>119</v>
      </c>
      <c r="F10" s="146">
        <v>4</v>
      </c>
      <c r="G10" s="3" t="str">
        <f>_xlfn.XLOOKUP(Tabla3[[#This Row],[ID]],Tabla2[ID],Tabla2[Corregimiento],"NA")</f>
        <v>El Carmen</v>
      </c>
      <c r="H10" s="167">
        <f>_xlfn.XLOOKUP(Tabla3[[#This Row],[LUGAR ENVÍO]],Tabla9[[Nombre ]],Tabla9[Distancia],"NA")</f>
        <v>2.2797620000000003</v>
      </c>
      <c r="I10" s="68">
        <f>Tabla3[[#This Row],[Valor Tran]]/(Tabla3[[#This Row],[DISTANCIA (km)]]*2)</f>
        <v>8772.8455865129763</v>
      </c>
      <c r="J10" s="150"/>
      <c r="K10" s="146">
        <v>1</v>
      </c>
      <c r="L10" s="152">
        <v>40000</v>
      </c>
      <c r="M10" s="152">
        <v>40000</v>
      </c>
      <c r="N10" s="152">
        <v>437200</v>
      </c>
      <c r="O10" s="15">
        <f>Tabla3[[#This Row],[VLR. TOTAL FACT.]]-Tabla3[[#This Row],[VLR. TRANSPORTE]]</f>
        <v>397200</v>
      </c>
      <c r="P10" s="146">
        <v>1</v>
      </c>
      <c r="Q10" s="146" t="s">
        <v>100</v>
      </c>
    </row>
    <row r="11" spans="1:17" ht="15" hidden="1" thickBot="1" x14ac:dyDescent="0.35">
      <c r="A11" s="147">
        <v>49737</v>
      </c>
      <c r="B11" s="149" t="s">
        <v>616</v>
      </c>
      <c r="C11" s="147" t="s">
        <v>94</v>
      </c>
      <c r="D11" s="147" t="s">
        <v>274</v>
      </c>
      <c r="E11" s="190" t="s">
        <v>119</v>
      </c>
      <c r="F11" s="147">
        <v>4</v>
      </c>
      <c r="G11" s="3" t="str">
        <f>_xlfn.XLOOKUP(Tabla3[[#This Row],[ID]],Tabla2[ID],Tabla2[Corregimiento],"NA")</f>
        <v>El Carmen</v>
      </c>
      <c r="H11" s="167">
        <f>_xlfn.XLOOKUP(Tabla3[[#This Row],[LUGAR ENVÍO]],Tabla9[[Nombre ]],Tabla9[Distancia],"NA")</f>
        <v>2.2797620000000003</v>
      </c>
      <c r="I11" s="68">
        <f>Tabla3[[#This Row],[Valor Tran]]/(Tabla3[[#This Row],[DISTANCIA (km)]]*2)</f>
        <v>9869.4512848270988</v>
      </c>
      <c r="J11" s="151"/>
      <c r="K11" s="147">
        <v>1</v>
      </c>
      <c r="L11" s="153">
        <v>45000</v>
      </c>
      <c r="M11" s="153">
        <v>45000</v>
      </c>
      <c r="N11" s="153">
        <v>443600</v>
      </c>
      <c r="O11" s="15">
        <f>Tabla3[[#This Row],[VLR. TOTAL FACT.]]-Tabla3[[#This Row],[VLR. TRANSPORTE]]</f>
        <v>398600</v>
      </c>
      <c r="P11" s="147">
        <v>1</v>
      </c>
      <c r="Q11" s="147" t="s">
        <v>120</v>
      </c>
    </row>
    <row r="12" spans="1:17" ht="27.6" hidden="1" thickBot="1" x14ac:dyDescent="0.35">
      <c r="A12" s="93">
        <v>47087</v>
      </c>
      <c r="B12" s="98">
        <v>45966</v>
      </c>
      <c r="C12" s="93" t="s">
        <v>94</v>
      </c>
      <c r="D12" s="93" t="s">
        <v>118</v>
      </c>
      <c r="E12" s="174" t="s">
        <v>119</v>
      </c>
      <c r="F12" s="93">
        <v>4</v>
      </c>
      <c r="G12" s="93" t="str">
        <f>_xlfn.XLOOKUP(Tabla3[[#This Row],[ID]],Tabla2[ID],Tabla2[Corregimiento],"NA")</f>
        <v>El Carmen</v>
      </c>
      <c r="H12" s="167">
        <f>_xlfn.XLOOKUP(Tabla3[[#This Row],[LUGAR ENVÍO]],Tabla9[[Nombre ]],Tabla9[Distancia],"NA")</f>
        <v>2.2797620000000003</v>
      </c>
      <c r="I12" s="100">
        <f>Tabla3[[#This Row],[Valor Tran]]/(Tabla3[[#This Row],[DISTANCIA (km)]]*2)</f>
        <v>8772.8455865129763</v>
      </c>
      <c r="J12" s="99"/>
      <c r="K12" s="93">
        <v>1</v>
      </c>
      <c r="L12" s="96">
        <v>40000</v>
      </c>
      <c r="M12" s="96">
        <f>Tabla3[[#This Row],[VLR. TRANSPORTE]]/Tabla3[[#This Row],[Numero de Transportes]]</f>
        <v>40000</v>
      </c>
      <c r="N12" s="96">
        <v>450100</v>
      </c>
      <c r="O12" s="96">
        <f>Tabla3[[#This Row],[VLR. TOTAL FACT.]]-Tabla3[[#This Row],[VLR. TRANSPORTE]]</f>
        <v>410100</v>
      </c>
      <c r="P12" s="93">
        <v>1</v>
      </c>
      <c r="Q12" s="93" t="s">
        <v>120</v>
      </c>
    </row>
    <row r="13" spans="1:17" ht="27.6" hidden="1" thickBot="1" x14ac:dyDescent="0.35">
      <c r="A13" s="147">
        <v>34670</v>
      </c>
      <c r="B13" s="149" t="s">
        <v>635</v>
      </c>
      <c r="C13" s="147" t="s">
        <v>101</v>
      </c>
      <c r="D13" s="147" t="s">
        <v>636</v>
      </c>
      <c r="E13" s="147" t="s">
        <v>119</v>
      </c>
      <c r="F13" s="147">
        <v>4</v>
      </c>
      <c r="G13" s="3" t="str">
        <f>_xlfn.XLOOKUP(Tabla3[[#This Row],[ID]],Tabla2[ID],Tabla2[Corregimiento],"NA")</f>
        <v>El Carmen</v>
      </c>
      <c r="H13" s="167">
        <f>_xlfn.XLOOKUP(Tabla3[[#This Row],[LUGAR ENVÍO]],Tabla9[[Nombre ]],Tabla9[Distancia],"NA")</f>
        <v>2.2797620000000003</v>
      </c>
      <c r="I13" s="68">
        <f>Tabla3[[#This Row],[Valor Tran]]/(Tabla3[[#This Row],[DISTANCIA (km)]]*2)</f>
        <v>8772.8455865129763</v>
      </c>
      <c r="J13" s="151"/>
      <c r="K13" s="147">
        <v>1</v>
      </c>
      <c r="L13" s="153">
        <v>40000</v>
      </c>
      <c r="M13" s="153">
        <v>40000</v>
      </c>
      <c r="N13" s="153">
        <v>479900</v>
      </c>
      <c r="O13" s="15">
        <f>Tabla3[[#This Row],[VLR. TOTAL FACT.]]-Tabla3[[#This Row],[VLR. TRANSPORTE]]</f>
        <v>439900</v>
      </c>
      <c r="P13" s="147">
        <v>1</v>
      </c>
      <c r="Q13" s="147" t="s">
        <v>100</v>
      </c>
    </row>
    <row r="14" spans="1:17" ht="27.6" hidden="1" thickBot="1" x14ac:dyDescent="0.35">
      <c r="A14" s="3">
        <v>30518</v>
      </c>
      <c r="B14" s="4">
        <v>45974</v>
      </c>
      <c r="C14" s="3" t="s">
        <v>101</v>
      </c>
      <c r="D14" s="3" t="s">
        <v>184</v>
      </c>
      <c r="E14" s="3" t="s">
        <v>505</v>
      </c>
      <c r="F14" s="3">
        <v>4</v>
      </c>
      <c r="G14" s="3" t="str">
        <f>_xlfn.XLOOKUP(Tabla3[[#This Row],[ID]],Tabla2[ID],Tabla2[Corregimiento],"NA")</f>
        <v>El Carmen</v>
      </c>
      <c r="H14" s="167">
        <f>_xlfn.XLOOKUP(Tabla3[[#This Row],[LUGAR ENVÍO]],Tabla9[[Nombre ]],Tabla9[Distancia],"NA")</f>
        <v>5.7570000000000006</v>
      </c>
      <c r="I14" s="68">
        <f>Tabla3[[#This Row],[Valor Tran]]/(Tabla3[[#This Row],[DISTANCIA (km)]]*2)</f>
        <v>3474.0316136876841</v>
      </c>
      <c r="J14" s="5"/>
      <c r="K14" s="3">
        <v>1</v>
      </c>
      <c r="L14" s="15">
        <v>40000</v>
      </c>
      <c r="M14" s="15">
        <f>Tabla3[[#This Row],[VLR. TRANSPORTE]]/Tabla3[[#This Row],[Numero de Transportes]]</f>
        <v>40000</v>
      </c>
      <c r="N14" s="15">
        <v>192000</v>
      </c>
      <c r="O14" s="15">
        <f>Tabla3[[#This Row],[VLR. TOTAL FACT.]]-Tabla3[[#This Row],[VLR. TRANSPORTE]]</f>
        <v>152000</v>
      </c>
      <c r="P14" s="3">
        <v>0</v>
      </c>
      <c r="Q14" s="3" t="s">
        <v>100</v>
      </c>
    </row>
    <row r="15" spans="1:17" ht="27.6" hidden="1" thickBot="1" x14ac:dyDescent="0.35">
      <c r="A15" s="3">
        <v>58924</v>
      </c>
      <c r="B15" s="4">
        <v>45980</v>
      </c>
      <c r="C15" s="3" t="s">
        <v>94</v>
      </c>
      <c r="D15" s="3" t="s">
        <v>328</v>
      </c>
      <c r="E15" s="172" t="s">
        <v>505</v>
      </c>
      <c r="F15" s="3">
        <v>4</v>
      </c>
      <c r="G15" s="3" t="str">
        <f>_xlfn.XLOOKUP(Tabla3[[#This Row],[ID]],Tabla2[ID],Tabla2[Corregimiento],"NA")</f>
        <v>El Carmen</v>
      </c>
      <c r="H15" s="167">
        <f>_xlfn.XLOOKUP(Tabla3[[#This Row],[LUGAR ENVÍO]],Tabla9[[Nombre ]],Tabla9[Distancia],"NA")</f>
        <v>5.7570000000000006</v>
      </c>
      <c r="I15" s="68">
        <f>Tabla3[[#This Row],[Valor Tran]]/(Tabla3[[#This Row],[DISTANCIA (km)]]*2)</f>
        <v>4342.5395171096052</v>
      </c>
      <c r="J15" s="5"/>
      <c r="K15" s="3">
        <v>1</v>
      </c>
      <c r="L15" s="15">
        <v>50000</v>
      </c>
      <c r="M15" s="15">
        <f>Tabla3[[#This Row],[VLR. TRANSPORTE]]/Tabla3[[#This Row],[Numero de Transportes]]</f>
        <v>50000</v>
      </c>
      <c r="N15" s="15">
        <v>242000</v>
      </c>
      <c r="O15" s="15">
        <f>Tabla3[[#This Row],[VLR. TOTAL FACT.]]-Tabla3[[#This Row],[VLR. TRANSPORTE]]</f>
        <v>192000</v>
      </c>
      <c r="P15" s="3">
        <v>0</v>
      </c>
      <c r="Q15" s="3" t="s">
        <v>100</v>
      </c>
    </row>
    <row r="16" spans="1:17" ht="15" hidden="1" thickBot="1" x14ac:dyDescent="0.35">
      <c r="A16" s="3">
        <v>48280</v>
      </c>
      <c r="B16" s="4">
        <v>45982</v>
      </c>
      <c r="C16" s="3" t="s">
        <v>94</v>
      </c>
      <c r="D16" s="3" t="s">
        <v>136</v>
      </c>
      <c r="E16" s="3" t="s">
        <v>505</v>
      </c>
      <c r="F16" s="3">
        <v>4</v>
      </c>
      <c r="G16" s="3" t="str">
        <f>_xlfn.XLOOKUP(Tabla3[[#This Row],[ID]],Tabla2[ID],Tabla2[Corregimiento],"NA")</f>
        <v>El Carmen</v>
      </c>
      <c r="H16" s="167">
        <f>_xlfn.XLOOKUP(Tabla3[[#This Row],[LUGAR ENVÍO]],Tabla9[[Nombre ]],Tabla9[Distancia],"NA")</f>
        <v>5.7570000000000006</v>
      </c>
      <c r="I16" s="68">
        <f>Tabla3[[#This Row],[Valor Tran]]/(Tabla3[[#This Row],[DISTANCIA (km)]]*2)</f>
        <v>2605.5237102657634</v>
      </c>
      <c r="J16" s="5"/>
      <c r="K16" s="3">
        <v>1</v>
      </c>
      <c r="L16" s="15">
        <v>30000</v>
      </c>
      <c r="M16" s="15">
        <f>Tabla3[[#This Row],[VLR. TRANSPORTE]]/Tabla3[[#This Row],[Numero de Transportes]]</f>
        <v>30000</v>
      </c>
      <c r="N16" s="15">
        <v>575700</v>
      </c>
      <c r="O16" s="15">
        <f>Tabla3[[#This Row],[VLR. TOTAL FACT.]]-Tabla3[[#This Row],[VLR. TRANSPORTE]]</f>
        <v>545700</v>
      </c>
      <c r="P16" s="3">
        <v>0</v>
      </c>
      <c r="Q16" s="3" t="s">
        <v>96</v>
      </c>
    </row>
    <row r="17" spans="1:17" ht="15" hidden="1" thickBot="1" x14ac:dyDescent="0.35">
      <c r="A17" s="3">
        <v>58571</v>
      </c>
      <c r="B17" s="4">
        <v>45989</v>
      </c>
      <c r="C17" s="3" t="s">
        <v>94</v>
      </c>
      <c r="D17" s="3" t="s">
        <v>276</v>
      </c>
      <c r="E17" s="188" t="s">
        <v>505</v>
      </c>
      <c r="F17" s="3">
        <v>4</v>
      </c>
      <c r="G17" s="3" t="str">
        <f>_xlfn.XLOOKUP(Tabla3[[#This Row],[ID]],Tabla2[ID],Tabla2[Corregimiento],"NA")</f>
        <v>El Carmen</v>
      </c>
      <c r="H17" s="167">
        <f>_xlfn.XLOOKUP(Tabla3[[#This Row],[LUGAR ENVÍO]],Tabla9[[Nombre ]],Tabla9[Distancia],"NA")</f>
        <v>5.7570000000000006</v>
      </c>
      <c r="I17" s="68">
        <f>Tabla3[[#This Row],[Valor Tran]]/(Tabla3[[#This Row],[DISTANCIA (km)]]*2)</f>
        <v>5211.0474205315268</v>
      </c>
      <c r="J17" s="5"/>
      <c r="K17" s="3">
        <v>1</v>
      </c>
      <c r="L17" s="15">
        <v>60000</v>
      </c>
      <c r="M17" s="15">
        <f>Tabla3[[#This Row],[VLR. TRANSPORTE]]/Tabla3[[#This Row],[Numero de Transportes]]</f>
        <v>60000</v>
      </c>
      <c r="N17" s="15">
        <v>1045000</v>
      </c>
      <c r="O17" s="15">
        <f>Tabla3[[#This Row],[VLR. TOTAL FACT.]]-Tabla3[[#This Row],[VLR. TRANSPORTE]]</f>
        <v>985000</v>
      </c>
      <c r="P17" s="3">
        <v>1</v>
      </c>
      <c r="Q17" s="3" t="s">
        <v>251</v>
      </c>
    </row>
    <row r="18" spans="1:17" ht="27.6" hidden="1" thickBot="1" x14ac:dyDescent="0.35">
      <c r="A18" s="147">
        <v>51291</v>
      </c>
      <c r="B18" s="149" t="s">
        <v>653</v>
      </c>
      <c r="C18" s="147" t="s">
        <v>101</v>
      </c>
      <c r="D18" s="147" t="s">
        <v>311</v>
      </c>
      <c r="E18" s="147" t="s">
        <v>505</v>
      </c>
      <c r="F18" s="147">
        <v>4</v>
      </c>
      <c r="G18" s="3" t="str">
        <f>_xlfn.XLOOKUP(Tabla3[[#This Row],[ID]],Tabla2[ID],Tabla2[Corregimiento],"NA")</f>
        <v>El Carmen</v>
      </c>
      <c r="H18" s="167">
        <f>_xlfn.XLOOKUP(Tabla3[[#This Row],[LUGAR ENVÍO]],Tabla9[[Nombre ]],Tabla9[Distancia],"NA")</f>
        <v>5.7570000000000006</v>
      </c>
      <c r="I18" s="68">
        <f>Tabla3[[#This Row],[Valor Tran]]/(Tabla3[[#This Row],[DISTANCIA (km)]]*2)</f>
        <v>6948.0632273753681</v>
      </c>
      <c r="J18" s="151"/>
      <c r="K18" s="147">
        <v>1</v>
      </c>
      <c r="L18" s="153">
        <v>80000</v>
      </c>
      <c r="M18" s="153">
        <v>80000</v>
      </c>
      <c r="N18" s="153">
        <v>1245200</v>
      </c>
      <c r="O18" s="15">
        <f>Tabla3[[#This Row],[VLR. TOTAL FACT.]]-Tabla3[[#This Row],[VLR. TRANSPORTE]]</f>
        <v>1165200</v>
      </c>
      <c r="P18" s="147">
        <v>1</v>
      </c>
      <c r="Q18" s="147" t="s">
        <v>120</v>
      </c>
    </row>
    <row r="19" spans="1:17" ht="27.6" hidden="1" thickBot="1" x14ac:dyDescent="0.35">
      <c r="A19" s="3">
        <v>59047</v>
      </c>
      <c r="B19" s="4">
        <v>45989</v>
      </c>
      <c r="C19" s="3" t="s">
        <v>94</v>
      </c>
      <c r="D19" s="3" t="s">
        <v>328</v>
      </c>
      <c r="E19" s="3" t="s">
        <v>505</v>
      </c>
      <c r="F19" s="3">
        <v>4</v>
      </c>
      <c r="G19" s="3" t="str">
        <f>_xlfn.XLOOKUP(Tabla3[[#This Row],[ID]],Tabla2[ID],Tabla2[Corregimiento],"NA")</f>
        <v>El Carmen</v>
      </c>
      <c r="H19" s="167">
        <f>_xlfn.XLOOKUP(Tabla3[[#This Row],[LUGAR ENVÍO]],Tabla9[[Nombre ]],Tabla9[Distancia],"NA")</f>
        <v>5.7570000000000006</v>
      </c>
      <c r="I19" s="68">
        <f>Tabla3[[#This Row],[Valor Tran]]/(Tabla3[[#This Row],[DISTANCIA (km)]]*2)</f>
        <v>13896.126454750736</v>
      </c>
      <c r="J19" s="5"/>
      <c r="K19" s="3">
        <v>1</v>
      </c>
      <c r="L19" s="15">
        <v>160000</v>
      </c>
      <c r="M19" s="15">
        <f>Tabla3[[#This Row],[VLR. TRANSPORTE]]/Tabla3[[#This Row],[Numero de Transportes]]</f>
        <v>160000</v>
      </c>
      <c r="N19" s="15">
        <v>1704900</v>
      </c>
      <c r="O19" s="15">
        <f>Tabla3[[#This Row],[VLR. TOTAL FACT.]]-Tabla3[[#This Row],[VLR. TRANSPORTE]]</f>
        <v>1544900</v>
      </c>
      <c r="P19" s="3">
        <v>1</v>
      </c>
      <c r="Q19" s="3" t="s">
        <v>100</v>
      </c>
    </row>
    <row r="20" spans="1:17" ht="27.6" hidden="1" thickBot="1" x14ac:dyDescent="0.35">
      <c r="A20" s="3">
        <v>46906</v>
      </c>
      <c r="B20" s="4">
        <v>45966</v>
      </c>
      <c r="C20" s="3" t="s">
        <v>94</v>
      </c>
      <c r="D20" s="3" t="s">
        <v>184</v>
      </c>
      <c r="E20" s="3" t="s">
        <v>505</v>
      </c>
      <c r="F20" s="3">
        <v>4</v>
      </c>
      <c r="G20" s="3" t="str">
        <f>_xlfn.XLOOKUP(Tabla3[[#This Row],[ID]],Tabla2[ID],Tabla2[Corregimiento],"NA")</f>
        <v>El Carmen</v>
      </c>
      <c r="H20" s="167">
        <f>_xlfn.XLOOKUP(Tabla3[[#This Row],[LUGAR ENVÍO]],Tabla9[[Nombre ]],Tabla9[Distancia],"NA")</f>
        <v>5.7570000000000006</v>
      </c>
      <c r="I20" s="68">
        <f>Tabla3[[#This Row],[Valor Tran]]/(Tabla3[[#This Row],[DISTANCIA (km)]]*2)</f>
        <v>6948.0632273753681</v>
      </c>
      <c r="J20" s="5"/>
      <c r="K20" s="3">
        <v>2</v>
      </c>
      <c r="L20" s="15">
        <v>160000</v>
      </c>
      <c r="M20" s="15">
        <f>Tabla3[[#This Row],[VLR. TRANSPORTE]]/Tabla3[[#This Row],[Numero de Transportes]]</f>
        <v>80000</v>
      </c>
      <c r="N20" s="15">
        <v>1915000</v>
      </c>
      <c r="O20" s="15">
        <f>Tabla3[[#This Row],[VLR. TOTAL FACT.]]-Tabla3[[#This Row],[VLR. TRANSPORTE]]</f>
        <v>1755000</v>
      </c>
      <c r="P20" s="3">
        <v>1</v>
      </c>
      <c r="Q20" s="3" t="s">
        <v>96</v>
      </c>
    </row>
    <row r="21" spans="1:17" ht="27.6" hidden="1" thickBot="1" x14ac:dyDescent="0.35">
      <c r="A21" s="3">
        <v>46903</v>
      </c>
      <c r="B21" s="4">
        <v>45967</v>
      </c>
      <c r="C21" s="3" t="s">
        <v>94</v>
      </c>
      <c r="D21" s="3" t="s">
        <v>180</v>
      </c>
      <c r="E21" s="3" t="s">
        <v>502</v>
      </c>
      <c r="F21" s="3">
        <v>22</v>
      </c>
      <c r="G21" s="3" t="str">
        <f>_xlfn.XLOOKUP(Tabla3[[#This Row],[ID]],Tabla2[ID],Tabla2[Corregimiento],"NA")</f>
        <v>San Bernardo</v>
      </c>
      <c r="H21" s="167">
        <f>_xlfn.XLOOKUP(Tabla3[[#This Row],[LUGAR ENVÍO]],Tabla9[[Nombre ]],Tabla9[Distancia],"NA")</f>
        <v>9.4380000000000024</v>
      </c>
      <c r="I21" s="68">
        <f>Tabla3[[#This Row],[Valor Tran]]/(Tabla3[[#This Row],[DISTANCIA (km)]]*2)</f>
        <v>2648.8662852299208</v>
      </c>
      <c r="J21" s="5"/>
      <c r="K21" s="3">
        <v>1</v>
      </c>
      <c r="L21" s="15">
        <v>50000</v>
      </c>
      <c r="M21" s="15">
        <f>Tabla3[[#This Row],[VLR. TRANSPORTE]]/Tabla3[[#This Row],[Numero de Transportes]]</f>
        <v>50000</v>
      </c>
      <c r="N21" s="15">
        <v>428000</v>
      </c>
      <c r="O21" s="15">
        <f>Tabla3[[#This Row],[VLR. TOTAL FACT.]]-Tabla3[[#This Row],[VLR. TRANSPORTE]]</f>
        <v>378000</v>
      </c>
      <c r="P21" s="3">
        <v>0</v>
      </c>
      <c r="Q21" s="3" t="s">
        <v>96</v>
      </c>
    </row>
    <row r="22" spans="1:17" ht="27.6" hidden="1" thickBot="1" x14ac:dyDescent="0.35">
      <c r="A22" s="3">
        <v>30503</v>
      </c>
      <c r="B22" s="4">
        <v>45973</v>
      </c>
      <c r="C22" s="3" t="s">
        <v>94</v>
      </c>
      <c r="D22" s="3" t="s">
        <v>255</v>
      </c>
      <c r="E22" s="3" t="s">
        <v>502</v>
      </c>
      <c r="F22" s="3">
        <v>22</v>
      </c>
      <c r="G22" s="3" t="str">
        <f>_xlfn.XLOOKUP(Tabla3[[#This Row],[ID]],Tabla2[ID],Tabla2[Corregimiento],"NA")</f>
        <v>San Bernardo</v>
      </c>
      <c r="H22" s="167">
        <f>_xlfn.XLOOKUP(Tabla3[[#This Row],[LUGAR ENVÍO]],Tabla9[[Nombre ]],Tabla9[Distancia],"NA")</f>
        <v>9.4380000000000024</v>
      </c>
      <c r="I22" s="68">
        <f>Tabla3[[#This Row],[Valor Tran]]/(Tabla3[[#This Row],[DISTANCIA (km)]]*2)</f>
        <v>3178.6395422759051</v>
      </c>
      <c r="J22" s="5"/>
      <c r="K22" s="3">
        <v>1</v>
      </c>
      <c r="L22" s="15">
        <v>60000</v>
      </c>
      <c r="M22" s="15">
        <f>Tabla3[[#This Row],[VLR. TRANSPORTE]]/Tabla3[[#This Row],[Numero de Transportes]]</f>
        <v>60000</v>
      </c>
      <c r="N22" s="15">
        <v>750000</v>
      </c>
      <c r="O22" s="15">
        <f>Tabla3[[#This Row],[VLR. TOTAL FACT.]]-Tabla3[[#This Row],[VLR. TRANSPORTE]]</f>
        <v>690000</v>
      </c>
      <c r="P22" s="3">
        <v>0</v>
      </c>
      <c r="Q22" s="3" t="s">
        <v>251</v>
      </c>
    </row>
    <row r="23" spans="1:17" ht="27.6" hidden="1" thickBot="1" x14ac:dyDescent="0.35">
      <c r="A23" s="3">
        <v>58870</v>
      </c>
      <c r="B23" s="184">
        <v>45985</v>
      </c>
      <c r="C23" s="3" t="s">
        <v>94</v>
      </c>
      <c r="D23" s="3" t="s">
        <v>107</v>
      </c>
      <c r="E23" s="3" t="s">
        <v>502</v>
      </c>
      <c r="F23" s="3">
        <v>22</v>
      </c>
      <c r="G23" s="3" t="str">
        <f>_xlfn.XLOOKUP(Tabla3[[#This Row],[ID]],Tabla2[ID],Tabla2[Corregimiento],"NA")</f>
        <v>San Bernardo</v>
      </c>
      <c r="H23" s="167">
        <f>_xlfn.XLOOKUP(Tabla3[[#This Row],[LUGAR ENVÍO]],Tabla9[[Nombre ]],Tabla9[Distancia],"NA")</f>
        <v>9.4380000000000024</v>
      </c>
      <c r="I23" s="68">
        <f>Tabla3[[#This Row],[Valor Tran]]/(Tabla3[[#This Row],[DISTANCIA (km)]]*2)</f>
        <v>1589.3197711379526</v>
      </c>
      <c r="J23" s="5"/>
      <c r="K23" s="3">
        <v>2</v>
      </c>
      <c r="L23" s="15">
        <v>60000</v>
      </c>
      <c r="M23" s="15">
        <f>Tabla3[[#This Row],[VLR. TRANSPORTE]]/Tabla3[[#This Row],[Numero de Transportes]]</f>
        <v>30000</v>
      </c>
      <c r="N23" s="15">
        <v>829000</v>
      </c>
      <c r="O23" s="15">
        <f>Tabla3[[#This Row],[VLR. TOTAL FACT.]]-Tabla3[[#This Row],[VLR. TRANSPORTE]]</f>
        <v>769000</v>
      </c>
      <c r="P23" s="3">
        <v>1</v>
      </c>
      <c r="Q23" s="3" t="s">
        <v>120</v>
      </c>
    </row>
    <row r="24" spans="1:17" ht="15" hidden="1" thickBot="1" x14ac:dyDescent="0.35">
      <c r="A24" s="3">
        <v>57102</v>
      </c>
      <c r="B24" s="4">
        <v>45989</v>
      </c>
      <c r="C24" s="3" t="s">
        <v>94</v>
      </c>
      <c r="D24" s="3" t="s">
        <v>320</v>
      </c>
      <c r="E24" s="3" t="s">
        <v>502</v>
      </c>
      <c r="F24" s="3">
        <v>22</v>
      </c>
      <c r="G24" s="3" t="str">
        <f>_xlfn.XLOOKUP(Tabla3[[#This Row],[ID]],Tabla2[ID],Tabla2[Corregimiento],"NA")</f>
        <v>San Bernardo</v>
      </c>
      <c r="H24" s="167">
        <f>_xlfn.XLOOKUP(Tabla3[[#This Row],[LUGAR ENVÍO]],Tabla9[[Nombre ]],Tabla9[Distancia],"NA")</f>
        <v>9.4380000000000024</v>
      </c>
      <c r="I24" s="68">
        <f>Tabla3[[#This Row],[Valor Tran]]/(Tabla3[[#This Row],[DISTANCIA (km)]]*2)</f>
        <v>3178.6395422759051</v>
      </c>
      <c r="J24" s="5"/>
      <c r="K24" s="3">
        <v>1</v>
      </c>
      <c r="L24" s="15">
        <v>60000</v>
      </c>
      <c r="M24" s="15">
        <f>Tabla3[[#This Row],[VLR. TRANSPORTE]]/Tabla3[[#This Row],[Numero de Transportes]]</f>
        <v>60000</v>
      </c>
      <c r="N24" s="15">
        <v>1186000</v>
      </c>
      <c r="O24" s="15">
        <f>Tabla3[[#This Row],[VLR. TOTAL FACT.]]-Tabla3[[#This Row],[VLR. TRANSPORTE]]</f>
        <v>1126000</v>
      </c>
      <c r="P24" s="3">
        <v>0</v>
      </c>
      <c r="Q24" s="3" t="s">
        <v>100</v>
      </c>
    </row>
    <row r="25" spans="1:17" ht="15" hidden="1" thickBot="1" x14ac:dyDescent="0.35">
      <c r="A25" s="3">
        <v>30560</v>
      </c>
      <c r="B25" s="4">
        <v>45979</v>
      </c>
      <c r="C25" s="3" t="s">
        <v>94</v>
      </c>
      <c r="D25" s="3" t="s">
        <v>116</v>
      </c>
      <c r="E25" s="3" t="s">
        <v>502</v>
      </c>
      <c r="F25" s="3">
        <v>22</v>
      </c>
      <c r="G25" s="3" t="str">
        <f>_xlfn.XLOOKUP(Tabla3[[#This Row],[ID]],Tabla2[ID],Tabla2[Corregimiento],"NA")</f>
        <v>San Bernardo</v>
      </c>
      <c r="H25" s="167">
        <f>_xlfn.XLOOKUP(Tabla3[[#This Row],[LUGAR ENVÍO]],Tabla9[[Nombre ]],Tabla9[Distancia],"NA")</f>
        <v>9.4380000000000024</v>
      </c>
      <c r="I25" s="68">
        <f>Tabla3[[#This Row],[Valor Tran]]/(Tabla3[[#This Row],[DISTANCIA (km)]]*2)</f>
        <v>3178.6395422759051</v>
      </c>
      <c r="J25" s="5"/>
      <c r="K25" s="3">
        <v>1</v>
      </c>
      <c r="L25" s="15">
        <v>60000</v>
      </c>
      <c r="M25" s="15">
        <f>Tabla3[[#This Row],[VLR. TRANSPORTE]]/Tabla3[[#This Row],[Numero de Transportes]]</f>
        <v>60000</v>
      </c>
      <c r="N25" s="15">
        <v>1479500</v>
      </c>
      <c r="O25" s="15">
        <f>Tabla3[[#This Row],[VLR. TOTAL FACT.]]-Tabla3[[#This Row],[VLR. TRANSPORTE]]</f>
        <v>1419500</v>
      </c>
      <c r="P25" s="3">
        <v>0</v>
      </c>
      <c r="Q25" s="3" t="s">
        <v>254</v>
      </c>
    </row>
    <row r="26" spans="1:17" ht="15" thickBot="1" x14ac:dyDescent="0.35">
      <c r="A26" s="3">
        <v>58552</v>
      </c>
      <c r="B26" s="4">
        <v>45977</v>
      </c>
      <c r="C26" s="3" t="s">
        <v>101</v>
      </c>
      <c r="D26" s="3" t="s">
        <v>152</v>
      </c>
      <c r="E26" s="171" t="s">
        <v>493</v>
      </c>
      <c r="F26" s="3">
        <v>2</v>
      </c>
      <c r="G26" s="3" t="str">
        <f>_xlfn.XLOOKUP(Tabla3[[#This Row],[ID]],Tabla2[ID],Tabla2[Corregimiento],"NA")</f>
        <v>Borrero Ayerbe</v>
      </c>
      <c r="H26" s="167">
        <f>_xlfn.XLOOKUP(Tabla3[[#This Row],[LUGAR ENVÍO]],Tabla9[[Nombre ]],Tabla9[Distancia],"NA")</f>
        <v>0.44900000000000007</v>
      </c>
      <c r="I26" s="68">
        <f>Tabla3[[#This Row],[Valor Tran]]/(Tabla3[[#This Row],[DISTANCIA (km)]]*2)</f>
        <v>27839.643652561244</v>
      </c>
      <c r="J26" s="5"/>
      <c r="K26" s="3">
        <v>1</v>
      </c>
      <c r="L26" s="15">
        <v>25000</v>
      </c>
      <c r="M26" s="15">
        <f>Tabla3[[#This Row],[VLR. TRANSPORTE]]/Tabla3[[#This Row],[Numero de Transportes]]</f>
        <v>25000</v>
      </c>
      <c r="N26" s="15">
        <v>590000</v>
      </c>
      <c r="O26" s="15">
        <f>Tabla3[[#This Row],[VLR. TOTAL FACT.]]-Tabla3[[#This Row],[VLR. TRANSPORTE]]</f>
        <v>565000</v>
      </c>
      <c r="P26" s="3">
        <v>1</v>
      </c>
      <c r="Q26" s="3" t="s">
        <v>100</v>
      </c>
    </row>
    <row r="27" spans="1:17" ht="27.6" thickBot="1" x14ac:dyDescent="0.35">
      <c r="A27" s="147">
        <v>58977</v>
      </c>
      <c r="B27" s="149" t="s">
        <v>630</v>
      </c>
      <c r="C27" s="147" t="s">
        <v>94</v>
      </c>
      <c r="D27" s="147" t="s">
        <v>639</v>
      </c>
      <c r="E27" s="147" t="s">
        <v>493</v>
      </c>
      <c r="F27" s="147">
        <v>2</v>
      </c>
      <c r="G27" s="3" t="str">
        <f>_xlfn.XLOOKUP(Tabla3[[#This Row],[ID]],Tabla2[ID],Tabla2[Corregimiento],"NA")</f>
        <v>Borrero Ayerbe</v>
      </c>
      <c r="H27" s="167">
        <f>_xlfn.XLOOKUP(Tabla3[[#This Row],[LUGAR ENVÍO]],Tabla9[[Nombre ]],Tabla9[Distancia],"NA")</f>
        <v>0.44900000000000007</v>
      </c>
      <c r="I27" s="68">
        <f>Tabla3[[#This Row],[Valor Tran]]/(Tabla3[[#This Row],[DISTANCIA (km)]]*2)</f>
        <v>33407.572383073493</v>
      </c>
      <c r="J27" s="151"/>
      <c r="K27" s="147">
        <v>1</v>
      </c>
      <c r="L27" s="153">
        <v>30000</v>
      </c>
      <c r="M27" s="153">
        <v>30000</v>
      </c>
      <c r="N27" s="153">
        <v>627100</v>
      </c>
      <c r="O27" s="15">
        <f>Tabla3[[#This Row],[VLR. TOTAL FACT.]]-Tabla3[[#This Row],[VLR. TRANSPORTE]]</f>
        <v>597100</v>
      </c>
      <c r="P27" s="147">
        <v>1</v>
      </c>
      <c r="Q27" s="147" t="s">
        <v>100</v>
      </c>
    </row>
    <row r="28" spans="1:17" ht="27.6" thickBot="1" x14ac:dyDescent="0.35">
      <c r="A28" s="3">
        <v>58706</v>
      </c>
      <c r="B28" s="184">
        <v>45984</v>
      </c>
      <c r="C28" s="3" t="s">
        <v>94</v>
      </c>
      <c r="D28" s="3" t="s">
        <v>178</v>
      </c>
      <c r="E28" s="172" t="s">
        <v>493</v>
      </c>
      <c r="F28" s="3">
        <v>2</v>
      </c>
      <c r="G28" s="3" t="str">
        <f>_xlfn.XLOOKUP(Tabla3[[#This Row],[ID]],Tabla2[ID],Tabla2[Corregimiento],"NA")</f>
        <v>Borrero Ayerbe</v>
      </c>
      <c r="H28" s="167">
        <f>_xlfn.XLOOKUP(Tabla3[[#This Row],[LUGAR ENVÍO]],Tabla9[[Nombre ]],Tabla9[Distancia],"NA")</f>
        <v>0.44900000000000007</v>
      </c>
      <c r="I28" s="68">
        <f>Tabla3[[#This Row],[Valor Tran]]/(Tabla3[[#This Row],[DISTANCIA (km)]]*2)</f>
        <v>55679.287305122489</v>
      </c>
      <c r="J28" s="5"/>
      <c r="K28" s="3">
        <v>3</v>
      </c>
      <c r="L28" s="15">
        <v>150000</v>
      </c>
      <c r="M28" s="15">
        <f>Tabla3[[#This Row],[VLR. TRANSPORTE]]/Tabla3[[#This Row],[Numero de Transportes]]</f>
        <v>50000</v>
      </c>
      <c r="N28" s="15">
        <v>1342000</v>
      </c>
      <c r="O28" s="15">
        <f>Tabla3[[#This Row],[VLR. TOTAL FACT.]]-Tabla3[[#This Row],[VLR. TRANSPORTE]]</f>
        <v>1192000</v>
      </c>
      <c r="P28" s="3">
        <v>1</v>
      </c>
      <c r="Q28" s="3" t="s">
        <v>120</v>
      </c>
    </row>
    <row r="29" spans="1:17" ht="27.6" thickBot="1" x14ac:dyDescent="0.35">
      <c r="A29" s="147">
        <v>46572</v>
      </c>
      <c r="B29" s="149" t="s">
        <v>623</v>
      </c>
      <c r="C29" s="147" t="s">
        <v>94</v>
      </c>
      <c r="D29" s="147" t="s">
        <v>310</v>
      </c>
      <c r="E29" s="147" t="s">
        <v>619</v>
      </c>
      <c r="F29" s="147">
        <v>2</v>
      </c>
      <c r="G29" s="3" t="str">
        <f>_xlfn.XLOOKUP(Tabla3[[#This Row],[ID]],Tabla2[ID],Tabla2[Corregimiento],"NA")</f>
        <v>Borrero Ayerbe</v>
      </c>
      <c r="H29" s="167">
        <f>_xlfn.XLOOKUP(Tabla3[[#This Row],[LUGAR ENVÍO]],Tabla9[[Nombre ]],Tabla9[Distancia],"NA")</f>
        <v>2.2689999999999992</v>
      </c>
      <c r="I29" s="68">
        <f>Tabla3[[#This Row],[Valor Tran]]/(Tabla3[[#This Row],[DISTANCIA (km)]]*2)</f>
        <v>15425.297487880129</v>
      </c>
      <c r="J29" s="151"/>
      <c r="K29" s="147">
        <v>1</v>
      </c>
      <c r="L29" s="153">
        <v>70000</v>
      </c>
      <c r="M29" s="153">
        <v>70000</v>
      </c>
      <c r="N29" s="153">
        <v>441600</v>
      </c>
      <c r="O29" s="15">
        <f>Tabla3[[#This Row],[VLR. TOTAL FACT.]]-Tabla3[[#This Row],[VLR. TRANSPORTE]]</f>
        <v>371600</v>
      </c>
      <c r="P29" s="147">
        <v>1</v>
      </c>
      <c r="Q29" s="147" t="s">
        <v>100</v>
      </c>
    </row>
    <row r="30" spans="1:17" ht="15" thickBot="1" x14ac:dyDescent="0.35">
      <c r="A30" s="146">
        <v>51992</v>
      </c>
      <c r="B30" s="148" t="s">
        <v>623</v>
      </c>
      <c r="C30" s="146" t="s">
        <v>94</v>
      </c>
      <c r="D30" s="146" t="s">
        <v>650</v>
      </c>
      <c r="E30" s="176" t="s">
        <v>619</v>
      </c>
      <c r="F30" s="146">
        <v>2</v>
      </c>
      <c r="G30" s="3" t="str">
        <f>_xlfn.XLOOKUP(Tabla3[[#This Row],[ID]],Tabla2[ID],Tabla2[Corregimiento],"NA")</f>
        <v>Borrero Ayerbe</v>
      </c>
      <c r="H30" s="167">
        <f>_xlfn.XLOOKUP(Tabla3[[#This Row],[LUGAR ENVÍO]],Tabla9[[Nombre ]],Tabla9[Distancia],"NA")</f>
        <v>2.2689999999999992</v>
      </c>
      <c r="I30" s="68">
        <f>Tabla3[[#This Row],[Valor Tran]]/(Tabla3[[#This Row],[DISTANCIA (km)]]*2)</f>
        <v>17628.911414720147</v>
      </c>
      <c r="J30" s="150"/>
      <c r="K30" s="146">
        <v>1</v>
      </c>
      <c r="L30" s="152">
        <v>80000</v>
      </c>
      <c r="M30" s="152">
        <v>80000</v>
      </c>
      <c r="N30" s="152">
        <v>491200</v>
      </c>
      <c r="O30" s="15">
        <f>Tabla3[[#This Row],[VLR. TOTAL FACT.]]-Tabla3[[#This Row],[VLR. TRANSPORTE]]</f>
        <v>411200</v>
      </c>
      <c r="P30" s="146">
        <v>1</v>
      </c>
      <c r="Q30" s="146" t="s">
        <v>96</v>
      </c>
    </row>
    <row r="31" spans="1:17" ht="15" thickBot="1" x14ac:dyDescent="0.35">
      <c r="A31" s="3">
        <v>0</v>
      </c>
      <c r="B31" s="4">
        <v>45983</v>
      </c>
      <c r="C31" s="3" t="s">
        <v>94</v>
      </c>
      <c r="D31" s="3" t="s">
        <v>146</v>
      </c>
      <c r="E31" s="165" t="s">
        <v>512</v>
      </c>
      <c r="F31" s="3">
        <v>2</v>
      </c>
      <c r="G31" s="3" t="str">
        <f>_xlfn.XLOOKUP(Tabla3[[#This Row],[ID]],Tabla2[ID],Tabla2[Corregimiento],"NA")</f>
        <v>Borrero Ayerbe</v>
      </c>
      <c r="H31" s="167">
        <f>_xlfn.XLOOKUP(Tabla3[[#This Row],[LUGAR ENVÍO]],Tabla9[[Nombre ]],Tabla9[Distancia],"NA")</f>
        <v>2.2689999999999992</v>
      </c>
      <c r="I31" s="69">
        <f>Tabla3[[#This Row],[Valor Tran]]/(Tabla3[[#This Row],[DISTANCIA (km)]]*2)</f>
        <v>15425.297487880129</v>
      </c>
      <c r="J31" s="5"/>
      <c r="K31" s="3">
        <v>1</v>
      </c>
      <c r="L31" s="15">
        <v>70000</v>
      </c>
      <c r="M31" s="15">
        <f>Tabla3[[#This Row],[VLR. TRANSPORTE]]/Tabla3[[#This Row],[Numero de Transportes]]</f>
        <v>70000</v>
      </c>
      <c r="N31" s="15">
        <v>541100</v>
      </c>
      <c r="O31" s="15">
        <f>Tabla3[[#This Row],[VLR. TOTAL FACT.]]-Tabla3[[#This Row],[VLR. TRANSPORTE]]</f>
        <v>471100</v>
      </c>
      <c r="P31" s="3">
        <v>1</v>
      </c>
      <c r="Q31" s="3" t="s">
        <v>116</v>
      </c>
    </row>
    <row r="32" spans="1:17" ht="27.6" thickBot="1" x14ac:dyDescent="0.35">
      <c r="A32" s="146">
        <v>57498</v>
      </c>
      <c r="B32" s="148" t="s">
        <v>618</v>
      </c>
      <c r="C32" s="146" t="s">
        <v>94</v>
      </c>
      <c r="D32" s="146" t="s">
        <v>310</v>
      </c>
      <c r="E32" s="176" t="s">
        <v>619</v>
      </c>
      <c r="F32" s="146">
        <v>2</v>
      </c>
      <c r="G32" s="3" t="str">
        <f>_xlfn.XLOOKUP(Tabla3[[#This Row],[ID]],Tabla2[ID],Tabla2[Corregimiento],"NA")</f>
        <v>Borrero Ayerbe</v>
      </c>
      <c r="H32" s="167">
        <f>_xlfn.XLOOKUP(Tabla3[[#This Row],[LUGAR ENVÍO]],Tabla9[[Nombre ]],Tabla9[Distancia],"NA")</f>
        <v>2.2689999999999992</v>
      </c>
      <c r="I32" s="68">
        <f>Tabla3[[#This Row],[Valor Tran]]/(Tabla3[[#This Row],[DISTANCIA (km)]]*2)</f>
        <v>15425.297487880129</v>
      </c>
      <c r="J32" s="150"/>
      <c r="K32" s="146">
        <v>1</v>
      </c>
      <c r="L32" s="152">
        <v>70000</v>
      </c>
      <c r="M32" s="152">
        <v>70000</v>
      </c>
      <c r="N32" s="152">
        <v>558600</v>
      </c>
      <c r="O32" s="15">
        <f>Tabla3[[#This Row],[VLR. TOTAL FACT.]]-Tabla3[[#This Row],[VLR. TRANSPORTE]]</f>
        <v>488600</v>
      </c>
      <c r="P32" s="146">
        <v>1</v>
      </c>
      <c r="Q32" s="146" t="s">
        <v>100</v>
      </c>
    </row>
    <row r="33" spans="1:17" ht="27.6" thickBot="1" x14ac:dyDescent="0.35">
      <c r="A33" s="146">
        <v>47307</v>
      </c>
      <c r="B33" s="148" t="s">
        <v>624</v>
      </c>
      <c r="C33" s="146" t="s">
        <v>94</v>
      </c>
      <c r="D33" s="146" t="s">
        <v>617</v>
      </c>
      <c r="E33" s="146" t="s">
        <v>619</v>
      </c>
      <c r="F33" s="146">
        <v>2</v>
      </c>
      <c r="G33" s="3" t="str">
        <f>_xlfn.XLOOKUP(Tabla3[[#This Row],[ID]],Tabla2[ID],Tabla2[Corregimiento],"NA")</f>
        <v>Borrero Ayerbe</v>
      </c>
      <c r="H33" s="167">
        <f>_xlfn.XLOOKUP(Tabla3[[#This Row],[LUGAR ENVÍO]],Tabla9[[Nombre ]],Tabla9[Distancia],"NA")</f>
        <v>2.2689999999999992</v>
      </c>
      <c r="I33" s="68">
        <f>Tabla3[[#This Row],[Valor Tran]]/(Tabla3[[#This Row],[DISTANCIA (km)]]*2)</f>
        <v>15425.297487880129</v>
      </c>
      <c r="J33" s="150"/>
      <c r="K33" s="146">
        <v>1</v>
      </c>
      <c r="L33" s="152">
        <v>70000</v>
      </c>
      <c r="M33" s="152">
        <v>70000</v>
      </c>
      <c r="N33" s="152">
        <v>626400</v>
      </c>
      <c r="O33" s="15">
        <f>Tabla3[[#This Row],[VLR. TOTAL FACT.]]-Tabla3[[#This Row],[VLR. TRANSPORTE]]</f>
        <v>556400</v>
      </c>
      <c r="P33" s="146">
        <v>1</v>
      </c>
      <c r="Q33" s="146" t="s">
        <v>100</v>
      </c>
    </row>
    <row r="34" spans="1:17" ht="27.6" thickBot="1" x14ac:dyDescent="0.35">
      <c r="A34" s="147">
        <v>58146</v>
      </c>
      <c r="B34" s="149" t="s">
        <v>651</v>
      </c>
      <c r="C34" s="147" t="s">
        <v>94</v>
      </c>
      <c r="D34" s="147" t="s">
        <v>294</v>
      </c>
      <c r="E34" s="147" t="s">
        <v>619</v>
      </c>
      <c r="F34" s="147">
        <v>2</v>
      </c>
      <c r="G34" s="3" t="str">
        <f>_xlfn.XLOOKUP(Tabla3[[#This Row],[ID]],Tabla2[ID],Tabla2[Corregimiento],"NA")</f>
        <v>Borrero Ayerbe</v>
      </c>
      <c r="H34" s="167">
        <f>_xlfn.XLOOKUP(Tabla3[[#This Row],[LUGAR ENVÍO]],Tabla9[[Nombre ]],Tabla9[Distancia],"NA")</f>
        <v>2.2689999999999992</v>
      </c>
      <c r="I34" s="68">
        <f>Tabla3[[#This Row],[Valor Tran]]/(Tabla3[[#This Row],[DISTANCIA (km)]]*2)</f>
        <v>15425.297487880129</v>
      </c>
      <c r="J34" s="151"/>
      <c r="K34" s="147">
        <v>1</v>
      </c>
      <c r="L34" s="153">
        <v>70000</v>
      </c>
      <c r="M34" s="153">
        <v>70000</v>
      </c>
      <c r="N34" s="153">
        <v>648300</v>
      </c>
      <c r="O34" s="15">
        <f>Tabla3[[#This Row],[VLR. TOTAL FACT.]]-Tabla3[[#This Row],[VLR. TRANSPORTE]]</f>
        <v>578300</v>
      </c>
      <c r="P34" s="147">
        <v>1</v>
      </c>
      <c r="Q34" s="147" t="s">
        <v>100</v>
      </c>
    </row>
    <row r="35" spans="1:17" ht="15" thickBot="1" x14ac:dyDescent="0.35">
      <c r="A35" s="3">
        <v>58837</v>
      </c>
      <c r="B35" s="184">
        <v>45995</v>
      </c>
      <c r="C35" s="3" t="s">
        <v>94</v>
      </c>
      <c r="D35" s="3" t="s">
        <v>102</v>
      </c>
      <c r="E35" s="3" t="s">
        <v>512</v>
      </c>
      <c r="F35" s="3">
        <v>2</v>
      </c>
      <c r="G35" s="3" t="str">
        <f>_xlfn.XLOOKUP(Tabla3[[#This Row],[ID]],Tabla2[ID],Tabla2[Corregimiento],"NA")</f>
        <v>Borrero Ayerbe</v>
      </c>
      <c r="H35" s="167">
        <f>_xlfn.XLOOKUP(Tabla3[[#This Row],[LUGAR ENVÍO]],Tabla9[[Nombre ]],Tabla9[Distancia],"NA")</f>
        <v>2.2689999999999992</v>
      </c>
      <c r="I35" s="68">
        <f>Tabla3[[#This Row],[Valor Tran]]/(Tabla3[[#This Row],[DISTANCIA (km)]]*2)</f>
        <v>6610.8417805200552</v>
      </c>
      <c r="J35" s="5"/>
      <c r="K35" s="3">
        <v>1</v>
      </c>
      <c r="L35" s="15">
        <v>30000</v>
      </c>
      <c r="M35" s="15">
        <f>Tabla3[[#This Row],[VLR. TRANSPORTE]]/Tabla3[[#This Row],[Numero de Transportes]]</f>
        <v>30000</v>
      </c>
      <c r="N35" s="15">
        <v>2391000</v>
      </c>
      <c r="O35" s="15">
        <f>Tabla3[[#This Row],[VLR. TOTAL FACT.]]-Tabla3[[#This Row],[VLR. TRANSPORTE]]</f>
        <v>2361000</v>
      </c>
      <c r="P35" s="3">
        <v>1</v>
      </c>
      <c r="Q35" s="3" t="s">
        <v>96</v>
      </c>
    </row>
    <row r="36" spans="1:17" ht="15" hidden="1" thickBot="1" x14ac:dyDescent="0.35">
      <c r="A36" s="3">
        <v>47219</v>
      </c>
      <c r="B36" s="4">
        <v>45971</v>
      </c>
      <c r="C36" s="3" t="s">
        <v>94</v>
      </c>
      <c r="D36" s="3" t="s">
        <v>127</v>
      </c>
      <c r="E36" s="172" t="s">
        <v>553</v>
      </c>
      <c r="F36" s="3">
        <v>12</v>
      </c>
      <c r="G36" s="3" t="str">
        <f>_xlfn.XLOOKUP(Tabla3[[#This Row],[ID]],Tabla2[ID],Tabla2[Corregimiento],"NA")</f>
        <v>El Salado</v>
      </c>
      <c r="H36" s="167">
        <f>_xlfn.XLOOKUP(Tabla3[[#This Row],[LUGAR ENVÍO]],Tabla9[[Nombre ]],Tabla9[Distancia],"NA")</f>
        <v>13.07</v>
      </c>
      <c r="I36" s="68">
        <f>Tabla3[[#This Row],[Valor Tran]]/(Tabla3[[#This Row],[DISTANCIA (km)]]*2)</f>
        <v>1530.221882172915</v>
      </c>
      <c r="J36" s="5"/>
      <c r="K36" s="3">
        <v>1</v>
      </c>
      <c r="L36" s="15">
        <v>40000</v>
      </c>
      <c r="M36" s="15">
        <f>Tabla3[[#This Row],[VLR. TRANSPORTE]]/Tabla3[[#This Row],[Numero de Transportes]]</f>
        <v>40000</v>
      </c>
      <c r="N36" s="15">
        <v>401900</v>
      </c>
      <c r="O36" s="15">
        <f>Tabla3[[#This Row],[VLR. TOTAL FACT.]]-Tabla3[[#This Row],[VLR. TRANSPORTE]]</f>
        <v>361900</v>
      </c>
      <c r="P36" s="3">
        <v>1</v>
      </c>
      <c r="Q36" s="3" t="s">
        <v>112</v>
      </c>
    </row>
    <row r="37" spans="1:17" ht="27.6" hidden="1" thickBot="1" x14ac:dyDescent="0.35">
      <c r="A37" s="3">
        <v>48298</v>
      </c>
      <c r="B37" s="4">
        <v>45982</v>
      </c>
      <c r="C37" s="3" t="s">
        <v>94</v>
      </c>
      <c r="D37" s="3" t="s">
        <v>132</v>
      </c>
      <c r="E37" s="188" t="s">
        <v>553</v>
      </c>
      <c r="F37" s="3">
        <v>12</v>
      </c>
      <c r="G37" s="3" t="str">
        <f>_xlfn.XLOOKUP(Tabla3[[#This Row],[ID]],Tabla2[ID],Tabla2[Corregimiento],"NA")</f>
        <v>El Salado</v>
      </c>
      <c r="H37" s="167">
        <f>_xlfn.XLOOKUP(Tabla3[[#This Row],[LUGAR ENVÍO]],Tabla9[[Nombre ]],Tabla9[Distancia],"NA")</f>
        <v>13.07</v>
      </c>
      <c r="I37" s="68">
        <f>Tabla3[[#This Row],[Valor Tran]]/(Tabla3[[#This Row],[DISTANCIA (km)]]*2)</f>
        <v>2677.8882938026013</v>
      </c>
      <c r="J37" s="5"/>
      <c r="K37" s="3">
        <v>1</v>
      </c>
      <c r="L37" s="15">
        <v>70000</v>
      </c>
      <c r="M37" s="15">
        <f>Tabla3[[#This Row],[VLR. TRANSPORTE]]/Tabla3[[#This Row],[Numero de Transportes]]</f>
        <v>70000</v>
      </c>
      <c r="N37" s="15">
        <v>542500</v>
      </c>
      <c r="O37" s="15">
        <f>Tabla3[[#This Row],[VLR. TOTAL FACT.]]-Tabla3[[#This Row],[VLR. TRANSPORTE]]</f>
        <v>472500</v>
      </c>
      <c r="P37" s="3">
        <v>1</v>
      </c>
      <c r="Q37" s="3" t="s">
        <v>100</v>
      </c>
    </row>
    <row r="38" spans="1:17" ht="27.6" hidden="1" thickBot="1" x14ac:dyDescent="0.35">
      <c r="A38" s="147">
        <v>50256</v>
      </c>
      <c r="B38" s="149" t="s">
        <v>647</v>
      </c>
      <c r="C38" s="147" t="s">
        <v>94</v>
      </c>
      <c r="D38" s="147" t="s">
        <v>633</v>
      </c>
      <c r="E38" s="177" t="s">
        <v>553</v>
      </c>
      <c r="F38" s="147">
        <v>12</v>
      </c>
      <c r="G38" s="3" t="str">
        <f>_xlfn.XLOOKUP(Tabla3[[#This Row],[ID]],Tabla2[ID],Tabla2[Corregimiento],"NA")</f>
        <v>El Salado</v>
      </c>
      <c r="H38" s="167">
        <f>_xlfn.XLOOKUP(Tabla3[[#This Row],[LUGAR ENVÍO]],Tabla9[[Nombre ]],Tabla9[Distancia],"NA")</f>
        <v>13.07</v>
      </c>
      <c r="I38" s="68">
        <f>Tabla3[[#This Row],[Valor Tran]]/(Tabla3[[#This Row],[DISTANCIA (km)]]*2)</f>
        <v>1530.221882172915</v>
      </c>
      <c r="J38" s="151"/>
      <c r="K38" s="147">
        <v>2</v>
      </c>
      <c r="L38" s="153">
        <v>80000</v>
      </c>
      <c r="M38" s="153">
        <v>40000</v>
      </c>
      <c r="N38" s="153">
        <v>633400</v>
      </c>
      <c r="O38" s="15">
        <f>Tabla3[[#This Row],[VLR. TOTAL FACT.]]-Tabla3[[#This Row],[VLR. TRANSPORTE]]</f>
        <v>553400</v>
      </c>
      <c r="P38" s="147">
        <v>1</v>
      </c>
      <c r="Q38" s="147" t="s">
        <v>96</v>
      </c>
    </row>
    <row r="39" spans="1:17" ht="15" hidden="1" thickBot="1" x14ac:dyDescent="0.35">
      <c r="A39" s="3">
        <v>46985</v>
      </c>
      <c r="B39" s="4">
        <v>45968</v>
      </c>
      <c r="C39" s="3" t="s">
        <v>94</v>
      </c>
      <c r="D39" s="3" t="s">
        <v>109</v>
      </c>
      <c r="E39" s="3" t="s">
        <v>553</v>
      </c>
      <c r="F39" s="3">
        <v>12</v>
      </c>
      <c r="G39" s="3" t="str">
        <f>_xlfn.XLOOKUP(Tabla3[[#This Row],[ID]],Tabla2[ID],Tabla2[Corregimiento],"NA")</f>
        <v>El Salado</v>
      </c>
      <c r="H39" s="167">
        <f>_xlfn.XLOOKUP(Tabla3[[#This Row],[LUGAR ENVÍO]],Tabla9[[Nombre ]],Tabla9[Distancia],"NA")</f>
        <v>13.07</v>
      </c>
      <c r="I39" s="68">
        <f>Tabla3[[#This Row],[Valor Tran]]/(Tabla3[[#This Row],[DISTANCIA (km)]]*2)</f>
        <v>1912.7773527161437</v>
      </c>
      <c r="J39" s="5"/>
      <c r="K39" s="3">
        <v>1</v>
      </c>
      <c r="L39" s="15">
        <v>50000</v>
      </c>
      <c r="M39" s="15">
        <f>Tabla3[[#This Row],[VLR. TRANSPORTE]]/Tabla3[[#This Row],[Numero de Transportes]]</f>
        <v>50000</v>
      </c>
      <c r="N39" s="15">
        <v>961900</v>
      </c>
      <c r="O39" s="15">
        <f>Tabla3[[#This Row],[VLR. TOTAL FACT.]]-Tabla3[[#This Row],[VLR. TRANSPORTE]]</f>
        <v>911900</v>
      </c>
      <c r="P39" s="3">
        <v>0</v>
      </c>
      <c r="Q39" s="3" t="s">
        <v>96</v>
      </c>
    </row>
    <row r="40" spans="1:17" ht="27.6" hidden="1" thickBot="1" x14ac:dyDescent="0.35">
      <c r="A40" s="146">
        <v>46966</v>
      </c>
      <c r="B40" s="148" t="s">
        <v>614</v>
      </c>
      <c r="C40" s="146" t="s">
        <v>94</v>
      </c>
      <c r="D40" s="146" t="s">
        <v>293</v>
      </c>
      <c r="E40" s="146" t="s">
        <v>553</v>
      </c>
      <c r="F40" s="146">
        <v>12</v>
      </c>
      <c r="G40" s="3" t="str">
        <f>_xlfn.XLOOKUP(Tabla3[[#This Row],[ID]],Tabla2[ID],Tabla2[Corregimiento],"NA")</f>
        <v>El Salado</v>
      </c>
      <c r="H40" s="167">
        <f>_xlfn.XLOOKUP(Tabla3[[#This Row],[LUGAR ENVÍO]],Tabla9[[Nombre ]],Tabla9[Distancia],"NA")</f>
        <v>13.07</v>
      </c>
      <c r="I40" s="68">
        <f>Tabla3[[#This Row],[Valor Tran]]/(Tabla3[[#This Row],[DISTANCIA (km)]]*2)</f>
        <v>2677.8882938026013</v>
      </c>
      <c r="J40" s="150"/>
      <c r="K40" s="146">
        <v>1</v>
      </c>
      <c r="L40" s="152">
        <v>70000</v>
      </c>
      <c r="M40" s="152">
        <v>70000</v>
      </c>
      <c r="N40" s="152">
        <v>1105700</v>
      </c>
      <c r="O40" s="15">
        <f>Tabla3[[#This Row],[VLR. TOTAL FACT.]]-Tabla3[[#This Row],[VLR. TRANSPORTE]]</f>
        <v>1035700</v>
      </c>
      <c r="P40" s="146">
        <v>1</v>
      </c>
      <c r="Q40" s="146" t="s">
        <v>100</v>
      </c>
    </row>
    <row r="41" spans="1:17" ht="27.6" hidden="1" thickBot="1" x14ac:dyDescent="0.35">
      <c r="A41" s="3">
        <v>30495</v>
      </c>
      <c r="B41" s="4">
        <v>45981</v>
      </c>
      <c r="C41" s="3" t="s">
        <v>94</v>
      </c>
      <c r="D41" s="3" t="s">
        <v>294</v>
      </c>
      <c r="E41" s="3" t="s">
        <v>553</v>
      </c>
      <c r="F41" s="3">
        <v>12</v>
      </c>
      <c r="G41" s="3" t="str">
        <f>_xlfn.XLOOKUP(Tabla3[[#This Row],[ID]],Tabla2[ID],Tabla2[Corregimiento],"NA")</f>
        <v>El Salado</v>
      </c>
      <c r="H41" s="167">
        <f>_xlfn.XLOOKUP(Tabla3[[#This Row],[LUGAR ENVÍO]],Tabla9[[Nombre ]],Tabla9[Distancia],"NA")</f>
        <v>13.07</v>
      </c>
      <c r="I41" s="68">
        <f>Tabla3[[#This Row],[Valor Tran]]/(Tabla3[[#This Row],[DISTANCIA (km)]]*2)</f>
        <v>2677.8882938026013</v>
      </c>
      <c r="J41" s="5"/>
      <c r="K41" s="3">
        <v>1</v>
      </c>
      <c r="L41" s="15">
        <v>70000</v>
      </c>
      <c r="M41" s="15">
        <f>Tabla3[[#This Row],[VLR. TRANSPORTE]]/Tabla3[[#This Row],[Numero de Transportes]]</f>
        <v>70000</v>
      </c>
      <c r="N41" s="15">
        <v>1343900</v>
      </c>
      <c r="O41" s="15">
        <f>Tabla3[[#This Row],[VLR. TOTAL FACT.]]-Tabla3[[#This Row],[VLR. TRANSPORTE]]</f>
        <v>1273900</v>
      </c>
      <c r="P41" s="3">
        <v>1</v>
      </c>
      <c r="Q41" s="3" t="s">
        <v>254</v>
      </c>
    </row>
    <row r="42" spans="1:17" ht="27.6" hidden="1" thickBot="1" x14ac:dyDescent="0.35">
      <c r="A42" s="3">
        <v>57099</v>
      </c>
      <c r="B42" s="4">
        <v>45962</v>
      </c>
      <c r="C42" s="3" t="s">
        <v>94</v>
      </c>
      <c r="D42" s="3" t="s">
        <v>256</v>
      </c>
      <c r="E42" s="188" t="s">
        <v>553</v>
      </c>
      <c r="F42" s="3">
        <v>12</v>
      </c>
      <c r="G42" s="3" t="str">
        <f>_xlfn.XLOOKUP(Tabla3[[#This Row],[ID]],Tabla2[ID],Tabla2[Corregimiento],"NA")</f>
        <v>El Salado</v>
      </c>
      <c r="H42" s="167">
        <f>_xlfn.XLOOKUP(Tabla3[[#This Row],[LUGAR ENVÍO]],Tabla9[[Nombre ]],Tabla9[Distancia],"NA")</f>
        <v>13.07</v>
      </c>
      <c r="I42" s="68">
        <f>Tabla3[[#This Row],[Valor Tran]]/(Tabla3[[#This Row],[DISTANCIA (km)]]*2)</f>
        <v>2295.3328232593726</v>
      </c>
      <c r="J42" s="5"/>
      <c r="K42" s="3">
        <v>2</v>
      </c>
      <c r="L42" s="15">
        <v>120000</v>
      </c>
      <c r="M42" s="15">
        <f>Tabla3[[#This Row],[VLR. TRANSPORTE]]/Tabla3[[#This Row],[Numero de Transportes]]</f>
        <v>60000</v>
      </c>
      <c r="N42" s="15">
        <v>1605000</v>
      </c>
      <c r="O42" s="15">
        <f>Tabla3[[#This Row],[VLR. TOTAL FACT.]]-Tabla3[[#This Row],[VLR. TRANSPORTE]]</f>
        <v>1485000</v>
      </c>
      <c r="P42" s="3">
        <v>0</v>
      </c>
      <c r="Q42" s="3" t="s">
        <v>251</v>
      </c>
    </row>
    <row r="43" spans="1:17" ht="27.6" hidden="1" thickBot="1" x14ac:dyDescent="0.35">
      <c r="A43" s="3">
        <v>58976</v>
      </c>
      <c r="B43" s="4">
        <v>45985</v>
      </c>
      <c r="C43" s="3" t="s">
        <v>101</v>
      </c>
      <c r="D43" s="3" t="s">
        <v>157</v>
      </c>
      <c r="E43" s="165" t="s">
        <v>515</v>
      </c>
      <c r="F43" s="3">
        <v>6</v>
      </c>
      <c r="G43" s="3" t="str">
        <f>_xlfn.XLOOKUP(Tabla3[[#This Row],[ID]],Tabla2[ID],Tabla2[Corregimiento],"NA")</f>
        <v>El Limonar</v>
      </c>
      <c r="H43" s="167">
        <f>_xlfn.XLOOKUP(Tabla3[[#This Row],[LUGAR ENVÍO]],Tabla9[[Nombre ]],Tabla9[Distancia],"NA")</f>
        <v>7.6033179999999998</v>
      </c>
      <c r="I43" s="68">
        <f>Tabla3[[#This Row],[Valor Tran]]/(Tabla3[[#This Row],[DISTANCIA (km)]]*2)</f>
        <v>4603.2534743384404</v>
      </c>
      <c r="J43" s="5"/>
      <c r="K43" s="3">
        <v>1</v>
      </c>
      <c r="L43" s="15">
        <v>70000</v>
      </c>
      <c r="M43" s="15">
        <f>Tabla3[[#This Row],[VLR. TRANSPORTE]]/Tabla3[[#This Row],[Numero de Transportes]]</f>
        <v>70000</v>
      </c>
      <c r="N43" s="15">
        <v>841000</v>
      </c>
      <c r="O43" s="15">
        <f>Tabla3[[#This Row],[VLR. TOTAL FACT.]]-Tabla3[[#This Row],[VLR. TRANSPORTE]]</f>
        <v>771000</v>
      </c>
      <c r="P43" s="3">
        <v>1</v>
      </c>
      <c r="Q43" s="3" t="s">
        <v>100</v>
      </c>
    </row>
    <row r="44" spans="1:17" ht="15" hidden="1" thickBot="1" x14ac:dyDescent="0.35">
      <c r="A44" s="12">
        <v>46592</v>
      </c>
      <c r="B44" s="13">
        <v>45964</v>
      </c>
      <c r="C44" s="12" t="s">
        <v>94</v>
      </c>
      <c r="D44" s="12" t="s">
        <v>194</v>
      </c>
      <c r="E44" s="165" t="s">
        <v>515</v>
      </c>
      <c r="F44" s="12">
        <v>6</v>
      </c>
      <c r="G44" s="12" t="str">
        <f>_xlfn.XLOOKUP(Tabla3[[#This Row],[ID]],Tabla2[ID],Tabla2[Corregimiento],"NA")</f>
        <v>El Limonar</v>
      </c>
      <c r="H44" s="167">
        <f>_xlfn.XLOOKUP(Tabla3[[#This Row],[LUGAR ENVÍO]],Tabla9[[Nombre ]],Tabla9[Distancia],"NA")</f>
        <v>7.6033179999999998</v>
      </c>
      <c r="I44" s="67">
        <f>Tabla3[[#This Row],[Valor Tran]]/(Tabla3[[#This Row],[DISTANCIA (km)]]*2)</f>
        <v>3945.6458351472347</v>
      </c>
      <c r="J44" s="14"/>
      <c r="K44" s="12">
        <v>1</v>
      </c>
      <c r="L44" s="16">
        <v>60000</v>
      </c>
      <c r="M44" s="16">
        <f>Tabla3[[#This Row],[VLR. TRANSPORTE]]/Tabla3[[#This Row],[Numero de Transportes]]</f>
        <v>60000</v>
      </c>
      <c r="N44" s="16">
        <v>846000</v>
      </c>
      <c r="O44" s="15">
        <f>Tabla3[[#This Row],[VLR. TOTAL FACT.]]-Tabla3[[#This Row],[VLR. TRANSPORTE]]</f>
        <v>786000</v>
      </c>
      <c r="P44" s="12">
        <v>1</v>
      </c>
      <c r="Q44" s="12" t="s">
        <v>96</v>
      </c>
    </row>
    <row r="45" spans="1:17" ht="27.6" hidden="1" thickBot="1" x14ac:dyDescent="0.35">
      <c r="A45" s="147">
        <v>55784</v>
      </c>
      <c r="B45" s="149" t="s">
        <v>624</v>
      </c>
      <c r="C45" s="147" t="s">
        <v>94</v>
      </c>
      <c r="D45" s="147" t="s">
        <v>645</v>
      </c>
      <c r="E45" s="171" t="s">
        <v>515</v>
      </c>
      <c r="F45" s="147">
        <v>6</v>
      </c>
      <c r="G45" s="3" t="str">
        <f>_xlfn.XLOOKUP(Tabla3[[#This Row],[ID]],Tabla2[ID],Tabla2[Corregimiento],"NA")</f>
        <v>El Limonar</v>
      </c>
      <c r="H45" s="167">
        <f>_xlfn.XLOOKUP(Tabla3[[#This Row],[LUGAR ENVÍO]],Tabla9[[Nombre ]],Tabla9[Distancia],"NA")</f>
        <v>7.6033179999999998</v>
      </c>
      <c r="I45" s="68">
        <f>Tabla3[[#This Row],[Valor Tran]]/(Tabla3[[#This Row],[DISTANCIA (km)]]*2)</f>
        <v>4603.2534743384404</v>
      </c>
      <c r="J45" s="151"/>
      <c r="K45" s="147">
        <v>1</v>
      </c>
      <c r="L45" s="153">
        <v>70000</v>
      </c>
      <c r="M45" s="153">
        <v>70000</v>
      </c>
      <c r="N45" s="153">
        <v>895600</v>
      </c>
      <c r="O45" s="15">
        <f>Tabla3[[#This Row],[VLR. TOTAL FACT.]]-Tabla3[[#This Row],[VLR. TRANSPORTE]]</f>
        <v>825600</v>
      </c>
      <c r="P45" s="147">
        <v>1</v>
      </c>
      <c r="Q45" s="147" t="s">
        <v>100</v>
      </c>
    </row>
    <row r="46" spans="1:17" ht="15" hidden="1" thickBot="1" x14ac:dyDescent="0.35">
      <c r="A46" s="12">
        <v>58524</v>
      </c>
      <c r="B46" s="13">
        <v>45976</v>
      </c>
      <c r="C46" s="12" t="s">
        <v>101</v>
      </c>
      <c r="D46" s="12" t="s">
        <v>223</v>
      </c>
      <c r="E46" s="12" t="s">
        <v>690</v>
      </c>
      <c r="F46" s="12">
        <v>4</v>
      </c>
      <c r="G46" s="12" t="str">
        <f>_xlfn.XLOOKUP(Tabla3[[#This Row],[ID]],Tabla2[ID],Tabla2[Corregimiento],"NA")</f>
        <v>El Carmen</v>
      </c>
      <c r="H46" s="167">
        <f>_xlfn.XLOOKUP(Tabla3[[#This Row],[LUGAR ENVÍO]],Tabla9[[Nombre ]],Tabla9[Distancia],"NA")</f>
        <v>4.7339999999999982</v>
      </c>
      <c r="I46" s="67">
        <f>Tabla3[[#This Row],[Valor Tran]]/(Tabla3[[#This Row],[DISTANCIA (km)]]*2)</f>
        <v>4224.757076468105</v>
      </c>
      <c r="J46" s="14"/>
      <c r="K46" s="12">
        <v>1</v>
      </c>
      <c r="L46" s="16">
        <v>40000</v>
      </c>
      <c r="M46" s="16">
        <f>Tabla3[[#This Row],[VLR. TRANSPORTE]]/Tabla3[[#This Row],[Numero de Transportes]]</f>
        <v>40000</v>
      </c>
      <c r="N46" s="16">
        <v>288000</v>
      </c>
      <c r="O46" s="15">
        <f>Tabla3[[#This Row],[VLR. TOTAL FACT.]]-Tabla3[[#This Row],[VLR. TRANSPORTE]]</f>
        <v>248000</v>
      </c>
      <c r="P46" s="12">
        <v>0</v>
      </c>
      <c r="Q46" s="12" t="s">
        <v>100</v>
      </c>
    </row>
    <row r="47" spans="1:17" ht="15" hidden="1" thickBot="1" x14ac:dyDescent="0.35">
      <c r="A47" s="3">
        <v>58868</v>
      </c>
      <c r="B47" s="184">
        <v>45998</v>
      </c>
      <c r="C47" s="3" t="s">
        <v>94</v>
      </c>
      <c r="D47" s="3" t="s">
        <v>359</v>
      </c>
      <c r="E47" s="172" t="s">
        <v>690</v>
      </c>
      <c r="F47" s="3">
        <v>4</v>
      </c>
      <c r="G47" s="3" t="str">
        <f>_xlfn.XLOOKUP(Tabla3[[#This Row],[ID]],Tabla2[ID],Tabla2[Corregimiento],"NA")</f>
        <v>El Carmen</v>
      </c>
      <c r="H47" s="167">
        <f>_xlfn.XLOOKUP(Tabla3[[#This Row],[LUGAR ENVÍO]],Tabla9[[Nombre ]],Tabla9[Distancia],"NA")</f>
        <v>4.7339999999999982</v>
      </c>
      <c r="I47" s="68">
        <f>Tabla3[[#This Row],[Valor Tran]]/(Tabla3[[#This Row],[DISTANCIA (km)]]*2)</f>
        <v>6337.135614702157</v>
      </c>
      <c r="J47" s="5"/>
      <c r="K47" s="3">
        <v>1</v>
      </c>
      <c r="L47" s="15">
        <v>60000</v>
      </c>
      <c r="M47" s="15">
        <f>Tabla3[[#This Row],[VLR. TRANSPORTE]]/Tabla3[[#This Row],[Numero de Transportes]]</f>
        <v>60000</v>
      </c>
      <c r="N47" s="15">
        <v>3389000</v>
      </c>
      <c r="O47" s="15">
        <f>Tabla3[[#This Row],[VLR. TOTAL FACT.]]-Tabla3[[#This Row],[VLR. TRANSPORTE]]</f>
        <v>3329000</v>
      </c>
      <c r="P47" s="3">
        <v>1</v>
      </c>
      <c r="Q47" s="3" t="s">
        <v>96</v>
      </c>
    </row>
    <row r="48" spans="1:17" ht="15" hidden="1" thickBot="1" x14ac:dyDescent="0.35">
      <c r="A48" s="12">
        <v>58704</v>
      </c>
      <c r="B48" s="185">
        <v>45996</v>
      </c>
      <c r="C48" s="12" t="s">
        <v>94</v>
      </c>
      <c r="D48" s="12" t="s">
        <v>146</v>
      </c>
      <c r="E48" s="172" t="s">
        <v>690</v>
      </c>
      <c r="F48" s="12">
        <v>4</v>
      </c>
      <c r="G48" s="12" t="str">
        <f>_xlfn.XLOOKUP(Tabla3[[#This Row],[ID]],Tabla2[ID],Tabla2[Corregimiento],"NA")</f>
        <v>El Carmen</v>
      </c>
      <c r="H48" s="167">
        <f>_xlfn.XLOOKUP(Tabla3[[#This Row],[LUGAR ENVÍO]],Tabla9[[Nombre ]],Tabla9[Distancia],"NA")</f>
        <v>4.7339999999999982</v>
      </c>
      <c r="I48" s="67">
        <f>Tabla3[[#This Row],[Valor Tran]]/(Tabla3[[#This Row],[DISTANCIA (km)]]*2)</f>
        <v>1584.2839036755392</v>
      </c>
      <c r="J48" s="14"/>
      <c r="K48" s="12">
        <v>1</v>
      </c>
      <c r="L48" s="16">
        <v>15000</v>
      </c>
      <c r="M48" s="16">
        <f>Tabla3[[#This Row],[VLR. TRANSPORTE]]/Tabla3[[#This Row],[Numero de Transportes]]</f>
        <v>15000</v>
      </c>
      <c r="N48" s="16">
        <v>3633000</v>
      </c>
      <c r="O48" s="15">
        <f>Tabla3[[#This Row],[VLR. TOTAL FACT.]]-Tabla3[[#This Row],[VLR. TRANSPORTE]]</f>
        <v>3618000</v>
      </c>
      <c r="P48" s="12">
        <v>0</v>
      </c>
      <c r="Q48" s="12" t="s">
        <v>96</v>
      </c>
    </row>
    <row r="49" spans="1:17" ht="27.6" thickBot="1" x14ac:dyDescent="0.35">
      <c r="A49" s="146">
        <v>56686</v>
      </c>
      <c r="B49" s="148" t="s">
        <v>629</v>
      </c>
      <c r="C49" s="146" t="s">
        <v>94</v>
      </c>
      <c r="D49" s="146" t="s">
        <v>247</v>
      </c>
      <c r="E49" s="171" t="s">
        <v>678</v>
      </c>
      <c r="F49" s="146">
        <v>2</v>
      </c>
      <c r="G49" s="3" t="str">
        <f>_xlfn.XLOOKUP(Tabla3[[#This Row],[ID]],Tabla2[ID],Tabla2[Corregimiento],"NA")</f>
        <v>Borrero Ayerbe</v>
      </c>
      <c r="H49" s="167">
        <f>_xlfn.XLOOKUP(Tabla3[[#This Row],[LUGAR ENVÍO]],Tabla9[[Nombre ]],Tabla9[Distancia],"NA")</f>
        <v>2.3290000000000006</v>
      </c>
      <c r="I49" s="68">
        <f>Tabla3[[#This Row],[Valor Tran]]/(Tabla3[[#This Row],[DISTANCIA (km)]]*2)</f>
        <v>6440.5324173464987</v>
      </c>
      <c r="J49" s="150"/>
      <c r="K49" s="146">
        <v>1</v>
      </c>
      <c r="L49" s="152">
        <v>30000</v>
      </c>
      <c r="M49" s="152">
        <v>30000</v>
      </c>
      <c r="N49" s="152">
        <v>592700</v>
      </c>
      <c r="O49" s="15">
        <f>Tabla3[[#This Row],[VLR. TOTAL FACT.]]-Tabla3[[#This Row],[VLR. TRANSPORTE]]</f>
        <v>562700</v>
      </c>
      <c r="P49" s="146">
        <v>1</v>
      </c>
      <c r="Q49" s="146" t="s">
        <v>100</v>
      </c>
    </row>
    <row r="50" spans="1:17" ht="27.6" thickBot="1" x14ac:dyDescent="0.35">
      <c r="A50" s="169">
        <v>58344</v>
      </c>
      <c r="B50" s="170" t="s">
        <v>614</v>
      </c>
      <c r="C50" s="169" t="s">
        <v>94</v>
      </c>
      <c r="D50" s="169" t="s">
        <v>615</v>
      </c>
      <c r="E50" s="175" t="s">
        <v>678</v>
      </c>
      <c r="F50" s="169">
        <v>2</v>
      </c>
      <c r="G50" s="12" t="str">
        <f>_xlfn.XLOOKUP(Tabla3[[#This Row],[ID]],Tabla2[ID],Tabla2[Corregimiento],"NA")</f>
        <v>Borrero Ayerbe</v>
      </c>
      <c r="H50" s="167">
        <f>_xlfn.XLOOKUP(Tabla3[[#This Row],[LUGAR ENVÍO]],Tabla9[[Nombre ]],Tabla9[Distancia],"NA")</f>
        <v>2.3290000000000006</v>
      </c>
      <c r="I50" s="67">
        <f>Tabla3[[#This Row],[Valor Tran]]/(Tabla3[[#This Row],[DISTANCIA (km)]]*2)</f>
        <v>6440.5324173464987</v>
      </c>
      <c r="J50" s="178"/>
      <c r="K50" s="169">
        <v>1</v>
      </c>
      <c r="L50" s="179">
        <v>30000</v>
      </c>
      <c r="M50" s="179">
        <v>30000</v>
      </c>
      <c r="N50" s="179">
        <v>612900</v>
      </c>
      <c r="O50" s="15">
        <f>Tabla3[[#This Row],[VLR. TOTAL FACT.]]-Tabla3[[#This Row],[VLR. TRANSPORTE]]</f>
        <v>582900</v>
      </c>
      <c r="P50" s="169">
        <v>1</v>
      </c>
      <c r="Q50" s="169" t="s">
        <v>96</v>
      </c>
    </row>
    <row r="51" spans="1:17" ht="27.6" thickBot="1" x14ac:dyDescent="0.35">
      <c r="A51" s="146">
        <v>47342</v>
      </c>
      <c r="B51" s="148" t="s">
        <v>648</v>
      </c>
      <c r="C51" s="146" t="s">
        <v>94</v>
      </c>
      <c r="D51" s="146" t="s">
        <v>331</v>
      </c>
      <c r="E51" s="189" t="s">
        <v>678</v>
      </c>
      <c r="F51" s="146">
        <v>2</v>
      </c>
      <c r="G51" s="3" t="str">
        <f>_xlfn.XLOOKUP(Tabla3[[#This Row],[ID]],Tabla2[ID],Tabla2[Corregimiento],"NA")</f>
        <v>Borrero Ayerbe</v>
      </c>
      <c r="H51" s="167">
        <f>_xlfn.XLOOKUP(Tabla3[[#This Row],[LUGAR ENVÍO]],Tabla9[[Nombre ]],Tabla9[Distancia],"NA")</f>
        <v>2.3290000000000006</v>
      </c>
      <c r="I51" s="68">
        <f>Tabla3[[#This Row],[Valor Tran]]/(Tabla3[[#This Row],[DISTANCIA (km)]]*2)</f>
        <v>6440.5324173464987</v>
      </c>
      <c r="J51" s="150"/>
      <c r="K51" s="146">
        <v>1</v>
      </c>
      <c r="L51" s="152">
        <v>30000</v>
      </c>
      <c r="M51" s="152">
        <v>30000</v>
      </c>
      <c r="N51" s="152">
        <v>637600</v>
      </c>
      <c r="O51" s="15">
        <f>Tabla3[[#This Row],[VLR. TOTAL FACT.]]-Tabla3[[#This Row],[VLR. TRANSPORTE]]</f>
        <v>607600</v>
      </c>
      <c r="P51" s="146">
        <v>1</v>
      </c>
      <c r="Q51" s="146" t="s">
        <v>100</v>
      </c>
    </row>
    <row r="52" spans="1:17" ht="15" thickBot="1" x14ac:dyDescent="0.35">
      <c r="A52" s="12">
        <v>58270</v>
      </c>
      <c r="B52" s="13">
        <v>45985</v>
      </c>
      <c r="C52" s="12" t="s">
        <v>101</v>
      </c>
      <c r="D52" s="12" t="s">
        <v>151</v>
      </c>
      <c r="E52" s="175" t="s">
        <v>678</v>
      </c>
      <c r="F52" s="12">
        <v>2</v>
      </c>
      <c r="G52" s="12" t="str">
        <f>_xlfn.XLOOKUP(Tabla3[[#This Row],[ID]],Tabla2[ID],Tabla2[Corregimiento],"NA")</f>
        <v>Borrero Ayerbe</v>
      </c>
      <c r="H52" s="167">
        <f>_xlfn.XLOOKUP(Tabla3[[#This Row],[LUGAR ENVÍO]],Tabla9[[Nombre ]],Tabla9[Distancia],"NA")</f>
        <v>2.3290000000000006</v>
      </c>
      <c r="I52" s="67">
        <f>Tabla3[[#This Row],[Valor Tran]]/(Tabla3[[#This Row],[DISTANCIA (km)]]*2)</f>
        <v>6440.5324173464987</v>
      </c>
      <c r="J52" s="14"/>
      <c r="K52" s="12">
        <v>1</v>
      </c>
      <c r="L52" s="16">
        <v>30000</v>
      </c>
      <c r="M52" s="16">
        <f>Tabla3[[#This Row],[VLR. TRANSPORTE]]/Tabla3[[#This Row],[Numero de Transportes]]</f>
        <v>30000</v>
      </c>
      <c r="N52" s="16">
        <v>656000</v>
      </c>
      <c r="O52" s="15">
        <f>Tabla3[[#This Row],[VLR. TOTAL FACT.]]-Tabla3[[#This Row],[VLR. TRANSPORTE]]</f>
        <v>626000</v>
      </c>
      <c r="P52" s="12">
        <v>1</v>
      </c>
      <c r="Q52" s="12" t="s">
        <v>100</v>
      </c>
    </row>
    <row r="53" spans="1:17" ht="27.6" thickBot="1" x14ac:dyDescent="0.35">
      <c r="A53" s="3">
        <v>58722</v>
      </c>
      <c r="B53" s="184">
        <v>45986</v>
      </c>
      <c r="C53" s="3" t="s">
        <v>94</v>
      </c>
      <c r="D53" s="3" t="s">
        <v>187</v>
      </c>
      <c r="E53" s="172" t="s">
        <v>678</v>
      </c>
      <c r="F53" s="3">
        <v>2</v>
      </c>
      <c r="G53" s="3" t="str">
        <f>_xlfn.XLOOKUP(Tabla3[[#This Row],[ID]],Tabla2[ID],Tabla2[Corregimiento],"NA")</f>
        <v>Borrero Ayerbe</v>
      </c>
      <c r="H53" s="167">
        <f>_xlfn.XLOOKUP(Tabla3[[#This Row],[LUGAR ENVÍO]],Tabla9[[Nombre ]],Tabla9[Distancia],"NA")</f>
        <v>2.3290000000000006</v>
      </c>
      <c r="I53" s="68">
        <f>Tabla3[[#This Row],[Valor Tran]]/(Tabla3[[#This Row],[DISTANCIA (km)]]*2)</f>
        <v>4293.6882782309995</v>
      </c>
      <c r="J53" s="5"/>
      <c r="K53" s="3">
        <v>1</v>
      </c>
      <c r="L53" s="15">
        <v>20000</v>
      </c>
      <c r="M53" s="15">
        <f>Tabla3[[#This Row],[VLR. TRANSPORTE]]/Tabla3[[#This Row],[Numero de Transportes]]</f>
        <v>20000</v>
      </c>
      <c r="N53" s="15">
        <v>4505000</v>
      </c>
      <c r="O53" s="15">
        <f>Tabla3[[#This Row],[VLR. TOTAL FACT.]]-Tabla3[[#This Row],[VLR. TRANSPORTE]]</f>
        <v>4485000</v>
      </c>
      <c r="P53" s="3">
        <v>1</v>
      </c>
      <c r="Q53" s="3" t="s">
        <v>100</v>
      </c>
    </row>
    <row r="54" spans="1:17" ht="27.6" hidden="1" thickBot="1" x14ac:dyDescent="0.35">
      <c r="A54" s="12">
        <v>47572</v>
      </c>
      <c r="B54" s="13">
        <v>45974</v>
      </c>
      <c r="C54" s="12" t="s">
        <v>94</v>
      </c>
      <c r="D54" s="12" t="s">
        <v>242</v>
      </c>
      <c r="E54" s="175" t="s">
        <v>545</v>
      </c>
      <c r="F54" s="12">
        <v>4</v>
      </c>
      <c r="G54" s="12" t="str">
        <f>_xlfn.XLOOKUP(Tabla3[[#This Row],[ID]],Tabla2[ID],Tabla2[Corregimiento],"NA")</f>
        <v>El Carmen</v>
      </c>
      <c r="H54" s="167">
        <f>_xlfn.XLOOKUP(Tabla3[[#This Row],[LUGAR ENVÍO]],Tabla9[[Nombre ]],Tabla9[Distancia],"NA")</f>
        <v>2.6666500000000002</v>
      </c>
      <c r="I54" s="67">
        <f>Tabla3[[#This Row],[Valor Tran]]/(Tabla3[[#This Row],[DISTANCIA (km)]]*2)</f>
        <v>5625.0351564697276</v>
      </c>
      <c r="J54" s="14"/>
      <c r="K54" s="12">
        <v>1</v>
      </c>
      <c r="L54" s="16">
        <v>30000</v>
      </c>
      <c r="M54" s="16">
        <f>Tabla3[[#This Row],[VLR. TRANSPORTE]]/Tabla3[[#This Row],[Numero de Transportes]]</f>
        <v>30000</v>
      </c>
      <c r="N54" s="16">
        <v>164000</v>
      </c>
      <c r="O54" s="15">
        <f>Tabla3[[#This Row],[VLR. TOTAL FACT.]]-Tabla3[[#This Row],[VLR. TRANSPORTE]]</f>
        <v>134000</v>
      </c>
      <c r="P54" s="12">
        <v>0</v>
      </c>
      <c r="Q54" s="12" t="s">
        <v>96</v>
      </c>
    </row>
    <row r="55" spans="1:17" ht="40.799999999999997" hidden="1" thickBot="1" x14ac:dyDescent="0.35">
      <c r="A55" s="3">
        <v>30489</v>
      </c>
      <c r="B55" s="4">
        <v>45981</v>
      </c>
      <c r="C55" s="3" t="s">
        <v>94</v>
      </c>
      <c r="D55" s="3" t="s">
        <v>302</v>
      </c>
      <c r="E55" s="165" t="s">
        <v>545</v>
      </c>
      <c r="F55" s="3">
        <v>4</v>
      </c>
      <c r="G55" s="3" t="str">
        <f>_xlfn.XLOOKUP(Tabla3[[#This Row],[ID]],Tabla2[ID],Tabla2[Corregimiento],"NA")</f>
        <v>El Carmen</v>
      </c>
      <c r="H55" s="167">
        <f>_xlfn.XLOOKUP(Tabla3[[#This Row],[LUGAR ENVÍO]],Tabla9[[Nombre ]],Tabla9[Distancia],"NA")</f>
        <v>2.6666500000000002</v>
      </c>
      <c r="I55" s="68">
        <f>Tabla3[[#This Row],[Valor Tran]]/(Tabla3[[#This Row],[DISTANCIA (km)]]*2)</f>
        <v>5625.0351564697276</v>
      </c>
      <c r="J55" s="5"/>
      <c r="K55" s="3">
        <v>1</v>
      </c>
      <c r="L55" s="15">
        <v>30000</v>
      </c>
      <c r="M55" s="15">
        <f>Tabla3[[#This Row],[VLR. TRANSPORTE]]/Tabla3[[#This Row],[Numero de Transportes]]</f>
        <v>30000</v>
      </c>
      <c r="N55" s="15">
        <v>220000</v>
      </c>
      <c r="O55" s="15">
        <f>Tabla3[[#This Row],[VLR. TOTAL FACT.]]-Tabla3[[#This Row],[VLR. TRANSPORTE]]</f>
        <v>190000</v>
      </c>
      <c r="P55" s="3">
        <v>0</v>
      </c>
      <c r="Q55" s="3" t="s">
        <v>120</v>
      </c>
    </row>
    <row r="56" spans="1:17" ht="27.6" hidden="1" thickBot="1" x14ac:dyDescent="0.35">
      <c r="A56" s="12">
        <v>30586</v>
      </c>
      <c r="B56" s="13">
        <v>45980</v>
      </c>
      <c r="C56" s="12" t="s">
        <v>94</v>
      </c>
      <c r="D56" s="12" t="s">
        <v>293</v>
      </c>
      <c r="E56" s="171" t="s">
        <v>545</v>
      </c>
      <c r="F56" s="12">
        <v>4</v>
      </c>
      <c r="G56" s="12" t="str">
        <f>_xlfn.XLOOKUP(Tabla3[[#This Row],[ID]],Tabla2[ID],Tabla2[Corregimiento],"NA")</f>
        <v>El Carmen</v>
      </c>
      <c r="H56" s="167">
        <f>_xlfn.XLOOKUP(Tabla3[[#This Row],[LUGAR ENVÍO]],Tabla9[[Nombre ]],Tabla9[Distancia],"NA")</f>
        <v>2.6666500000000002</v>
      </c>
      <c r="I56" s="67">
        <f>Tabla3[[#This Row],[Valor Tran]]/(Tabla3[[#This Row],[DISTANCIA (km)]]*2)</f>
        <v>9375.0585941162117</v>
      </c>
      <c r="J56" s="14"/>
      <c r="K56" s="12">
        <v>1</v>
      </c>
      <c r="L56" s="16">
        <v>50000</v>
      </c>
      <c r="M56" s="16">
        <f>Tabla3[[#This Row],[VLR. TRANSPORTE]]/Tabla3[[#This Row],[Numero de Transportes]]</f>
        <v>50000</v>
      </c>
      <c r="N56" s="16">
        <v>303000</v>
      </c>
      <c r="O56" s="15">
        <f>Tabla3[[#This Row],[VLR. TOTAL FACT.]]-Tabla3[[#This Row],[VLR. TRANSPORTE]]</f>
        <v>253000</v>
      </c>
      <c r="P56" s="12">
        <v>0</v>
      </c>
      <c r="Q56" s="12" t="s">
        <v>251</v>
      </c>
    </row>
    <row r="57" spans="1:17" ht="27.6" hidden="1" thickBot="1" x14ac:dyDescent="0.35">
      <c r="A57" s="3">
        <v>58813</v>
      </c>
      <c r="B57" s="184">
        <v>45997</v>
      </c>
      <c r="C57" s="3" t="s">
        <v>94</v>
      </c>
      <c r="D57" s="3" t="s">
        <v>118</v>
      </c>
      <c r="E57" s="3" t="s">
        <v>545</v>
      </c>
      <c r="F57" s="3">
        <v>4</v>
      </c>
      <c r="G57" s="3" t="str">
        <f>_xlfn.XLOOKUP(Tabla3[[#This Row],[ID]],Tabla2[ID],Tabla2[Corregimiento],"NA")</f>
        <v>El Carmen</v>
      </c>
      <c r="H57" s="167">
        <f>_xlfn.XLOOKUP(Tabla3[[#This Row],[LUGAR ENVÍO]],Tabla9[[Nombre ]],Tabla9[Distancia],"NA")</f>
        <v>2.6666500000000002</v>
      </c>
      <c r="I57" s="68">
        <f>Tabla3[[#This Row],[Valor Tran]]/(Tabla3[[#This Row],[DISTANCIA (km)]]*2)</f>
        <v>13125.082031762697</v>
      </c>
      <c r="J57" s="5"/>
      <c r="K57" s="3">
        <v>1</v>
      </c>
      <c r="L57" s="15">
        <v>70000</v>
      </c>
      <c r="M57" s="15">
        <f>Tabla3[[#This Row],[VLR. TRANSPORTE]]/Tabla3[[#This Row],[Numero de Transportes]]</f>
        <v>70000</v>
      </c>
      <c r="N57" s="15">
        <v>621000</v>
      </c>
      <c r="O57" s="15">
        <f>Tabla3[[#This Row],[VLR. TOTAL FACT.]]-Tabla3[[#This Row],[VLR. TRANSPORTE]]</f>
        <v>551000</v>
      </c>
      <c r="P57" s="3">
        <v>1</v>
      </c>
      <c r="Q57" s="3" t="s">
        <v>100</v>
      </c>
    </row>
    <row r="58" spans="1:17" ht="27.6" hidden="1" thickBot="1" x14ac:dyDescent="0.35">
      <c r="A58" s="12">
        <v>47292</v>
      </c>
      <c r="B58" s="13">
        <v>45970</v>
      </c>
      <c r="C58" s="12" t="s">
        <v>94</v>
      </c>
      <c r="D58" s="12" t="s">
        <v>124</v>
      </c>
      <c r="E58" s="189" t="s">
        <v>545</v>
      </c>
      <c r="F58" s="12">
        <v>4</v>
      </c>
      <c r="G58" s="12" t="str">
        <f>_xlfn.XLOOKUP(Tabla3[[#This Row],[ID]],Tabla2[ID],Tabla2[Corregimiento],"NA")</f>
        <v>El Carmen</v>
      </c>
      <c r="H58" s="167">
        <f>_xlfn.XLOOKUP(Tabla3[[#This Row],[LUGAR ENVÍO]],Tabla9[[Nombre ]],Tabla9[Distancia],"NA")</f>
        <v>2.6666500000000002</v>
      </c>
      <c r="I58" s="67">
        <f>Tabla3[[#This Row],[Valor Tran]]/(Tabla3[[#This Row],[DISTANCIA (km)]]*2)</f>
        <v>11250.070312939455</v>
      </c>
      <c r="J58" s="14"/>
      <c r="K58" s="12">
        <v>1</v>
      </c>
      <c r="L58" s="16">
        <v>60000</v>
      </c>
      <c r="M58" s="16">
        <f>Tabla3[[#This Row],[VLR. TRANSPORTE]]/Tabla3[[#This Row],[Numero de Transportes]]</f>
        <v>60000</v>
      </c>
      <c r="N58" s="16">
        <v>736800</v>
      </c>
      <c r="O58" s="15">
        <f>Tabla3[[#This Row],[VLR. TOTAL FACT.]]-Tabla3[[#This Row],[VLR. TRANSPORTE]]</f>
        <v>676800</v>
      </c>
      <c r="P58" s="12">
        <v>1</v>
      </c>
      <c r="Q58" s="12" t="s">
        <v>96</v>
      </c>
    </row>
    <row r="59" spans="1:17" ht="27.6" hidden="1" thickBot="1" x14ac:dyDescent="0.35">
      <c r="A59" s="3">
        <v>48527</v>
      </c>
      <c r="B59" s="4">
        <v>45983</v>
      </c>
      <c r="C59" s="3" t="s">
        <v>94</v>
      </c>
      <c r="D59" s="3" t="s">
        <v>153</v>
      </c>
      <c r="E59" s="189" t="s">
        <v>545</v>
      </c>
      <c r="F59" s="3">
        <v>4</v>
      </c>
      <c r="G59" s="3" t="str">
        <f>_xlfn.XLOOKUP(Tabla3[[#This Row],[ID]],Tabla2[ID],Tabla2[Corregimiento],"NA")</f>
        <v>El Carmen</v>
      </c>
      <c r="H59" s="167">
        <f>_xlfn.XLOOKUP(Tabla3[[#This Row],[LUGAR ENVÍO]],Tabla9[[Nombre ]],Tabla9[Distancia],"NA")</f>
        <v>2.6666500000000002</v>
      </c>
      <c r="I59" s="68">
        <f>Tabla3[[#This Row],[Valor Tran]]/(Tabla3[[#This Row],[DISTANCIA (km)]]*2)</f>
        <v>11250.070312939455</v>
      </c>
      <c r="J59" s="5"/>
      <c r="K59" s="3">
        <v>1</v>
      </c>
      <c r="L59" s="15">
        <v>60000</v>
      </c>
      <c r="M59" s="15">
        <f>Tabla3[[#This Row],[VLR. TRANSPORTE]]/Tabla3[[#This Row],[Numero de Transportes]]</f>
        <v>60000</v>
      </c>
      <c r="N59" s="15">
        <v>838000</v>
      </c>
      <c r="O59" s="15">
        <f>Tabla3[[#This Row],[VLR. TOTAL FACT.]]-Tabla3[[#This Row],[VLR. TRANSPORTE]]</f>
        <v>778000</v>
      </c>
      <c r="P59" s="3">
        <v>1</v>
      </c>
      <c r="Q59" s="3" t="s">
        <v>96</v>
      </c>
    </row>
    <row r="60" spans="1:17" ht="27.6" hidden="1" thickBot="1" x14ac:dyDescent="0.35">
      <c r="A60" s="169">
        <v>36307</v>
      </c>
      <c r="B60" s="170" t="s">
        <v>648</v>
      </c>
      <c r="C60" s="169" t="s">
        <v>101</v>
      </c>
      <c r="D60" s="169" t="s">
        <v>331</v>
      </c>
      <c r="E60" s="175" t="s">
        <v>545</v>
      </c>
      <c r="F60" s="169">
        <v>4</v>
      </c>
      <c r="G60" s="12" t="str">
        <f>_xlfn.XLOOKUP(Tabla3[[#This Row],[ID]],Tabla2[ID],Tabla2[Corregimiento],"NA")</f>
        <v>El Carmen</v>
      </c>
      <c r="H60" s="167">
        <f>_xlfn.XLOOKUP(Tabla3[[#This Row],[LUGAR ENVÍO]],Tabla9[[Nombre ]],Tabla9[Distancia],"NA")</f>
        <v>2.6666500000000002</v>
      </c>
      <c r="I60" s="67">
        <f>Tabla3[[#This Row],[Valor Tran]]/(Tabla3[[#This Row],[DISTANCIA (km)]]*2)</f>
        <v>11250.070312939455</v>
      </c>
      <c r="J60" s="178"/>
      <c r="K60" s="169">
        <v>2</v>
      </c>
      <c r="L60" s="179">
        <v>120000</v>
      </c>
      <c r="M60" s="179">
        <v>60000</v>
      </c>
      <c r="N60" s="179">
        <v>1301500</v>
      </c>
      <c r="O60" s="15">
        <f>Tabla3[[#This Row],[VLR. TOTAL FACT.]]-Tabla3[[#This Row],[VLR. TRANSPORTE]]</f>
        <v>1181500</v>
      </c>
      <c r="P60" s="169">
        <v>1</v>
      </c>
      <c r="Q60" s="169" t="s">
        <v>120</v>
      </c>
    </row>
    <row r="61" spans="1:17" ht="27.6" hidden="1" thickBot="1" x14ac:dyDescent="0.35">
      <c r="A61" s="3">
        <v>58313</v>
      </c>
      <c r="B61" s="4">
        <v>45972</v>
      </c>
      <c r="C61" s="3" t="s">
        <v>94</v>
      </c>
      <c r="D61" s="3" t="s">
        <v>261</v>
      </c>
      <c r="E61" s="171" t="s">
        <v>545</v>
      </c>
      <c r="F61" s="3">
        <v>4</v>
      </c>
      <c r="G61" s="3" t="str">
        <f>_xlfn.XLOOKUP(Tabla3[[#This Row],[ID]],Tabla2[ID],Tabla2[Corregimiento],"NA")</f>
        <v>El Carmen</v>
      </c>
      <c r="H61" s="167">
        <f>_xlfn.XLOOKUP(Tabla3[[#This Row],[LUGAR ENVÍO]],Tabla9[[Nombre ]],Tabla9[Distancia],"NA")</f>
        <v>2.6666500000000002</v>
      </c>
      <c r="I61" s="68">
        <f>Tabla3[[#This Row],[Valor Tran]]/(Tabla3[[#This Row],[DISTANCIA (km)]]*2)</f>
        <v>11250.070312939455</v>
      </c>
      <c r="J61" s="5"/>
      <c r="K61" s="3">
        <v>1</v>
      </c>
      <c r="L61" s="15">
        <v>60000</v>
      </c>
      <c r="M61" s="15">
        <f>Tabla3[[#This Row],[VLR. TRANSPORTE]]/Tabla3[[#This Row],[Numero de Transportes]]</f>
        <v>60000</v>
      </c>
      <c r="N61" s="15">
        <v>1630800</v>
      </c>
      <c r="O61" s="15">
        <f>Tabla3[[#This Row],[VLR. TOTAL FACT.]]-Tabla3[[#This Row],[VLR. TRANSPORTE]]</f>
        <v>1570800</v>
      </c>
      <c r="P61" s="3">
        <v>1</v>
      </c>
      <c r="Q61" s="3" t="s">
        <v>100</v>
      </c>
    </row>
    <row r="62" spans="1:17" ht="27.6" hidden="1" thickBot="1" x14ac:dyDescent="0.35">
      <c r="A62" s="12">
        <v>58802</v>
      </c>
      <c r="B62" s="185">
        <v>45986</v>
      </c>
      <c r="C62" s="12" t="s">
        <v>101</v>
      </c>
      <c r="D62" s="12" t="s">
        <v>282</v>
      </c>
      <c r="E62" s="12" t="s">
        <v>545</v>
      </c>
      <c r="F62" s="12">
        <v>4</v>
      </c>
      <c r="G62" s="12" t="str">
        <f>_xlfn.XLOOKUP(Tabla3[[#This Row],[ID]],Tabla2[ID],Tabla2[Corregimiento],"NA")</f>
        <v>El Carmen</v>
      </c>
      <c r="H62" s="167">
        <f>_xlfn.XLOOKUP(Tabla3[[#This Row],[LUGAR ENVÍO]],Tabla9[[Nombre ]],Tabla9[Distancia],"NA")</f>
        <v>2.6666500000000002</v>
      </c>
      <c r="I62" s="67">
        <f>Tabla3[[#This Row],[Valor Tran]]/(Tabla3[[#This Row],[DISTANCIA (km)]]*2)</f>
        <v>2812.5175782348638</v>
      </c>
      <c r="J62" s="14"/>
      <c r="K62" s="12">
        <v>1</v>
      </c>
      <c r="L62" s="16">
        <v>15000</v>
      </c>
      <c r="M62" s="16">
        <f>Tabla3[[#This Row],[VLR. TRANSPORTE]]/Tabla3[[#This Row],[Numero de Transportes]]</f>
        <v>15000</v>
      </c>
      <c r="N62" s="16">
        <v>4270000</v>
      </c>
      <c r="O62" s="15">
        <f>Tabla3[[#This Row],[VLR. TOTAL FACT.]]-Tabla3[[#This Row],[VLR. TRANSPORTE]]</f>
        <v>4255000</v>
      </c>
      <c r="P62" s="12">
        <v>1</v>
      </c>
      <c r="Q62" s="12" t="s">
        <v>96</v>
      </c>
    </row>
    <row r="63" spans="1:17" ht="15" hidden="1" thickBot="1" x14ac:dyDescent="0.35">
      <c r="A63" s="146">
        <v>48951</v>
      </c>
      <c r="B63" s="148" t="s">
        <v>620</v>
      </c>
      <c r="C63" s="146" t="s">
        <v>101</v>
      </c>
      <c r="D63" s="146" t="s">
        <v>650</v>
      </c>
      <c r="E63" s="146" t="s">
        <v>665</v>
      </c>
      <c r="F63" s="146">
        <v>4</v>
      </c>
      <c r="G63" s="3" t="str">
        <f>_xlfn.XLOOKUP(Tabla3[[#This Row],[ID]],Tabla2[ID],Tabla2[Corregimiento],"NA")</f>
        <v>El Carmen</v>
      </c>
      <c r="H63" s="167">
        <f>_xlfn.XLOOKUP(Tabla3[[#This Row],[LUGAR ENVÍO]],Tabla9[[Nombre ]],Tabla9[Distancia],"NA")</f>
        <v>2.6410000000000009</v>
      </c>
      <c r="I63" s="68">
        <f>Tabla3[[#This Row],[Valor Tran]]/(Tabla3[[#This Row],[DISTANCIA (km)]]*2)</f>
        <v>7572.88905717531</v>
      </c>
      <c r="J63" s="150"/>
      <c r="K63" s="146">
        <v>1</v>
      </c>
      <c r="L63" s="152">
        <v>40000</v>
      </c>
      <c r="M63" s="152">
        <v>40000</v>
      </c>
      <c r="N63" s="152">
        <v>472500</v>
      </c>
      <c r="O63" s="15">
        <f>Tabla3[[#This Row],[VLR. TOTAL FACT.]]-Tabla3[[#This Row],[VLR. TRANSPORTE]]</f>
        <v>432500</v>
      </c>
      <c r="P63" s="146">
        <v>1</v>
      </c>
      <c r="Q63" s="146" t="s">
        <v>96</v>
      </c>
    </row>
    <row r="64" spans="1:17" ht="27.6" hidden="1" thickBot="1" x14ac:dyDescent="0.35">
      <c r="A64" s="186">
        <v>52866</v>
      </c>
      <c r="B64" s="187" t="s">
        <v>614</v>
      </c>
      <c r="C64" s="186" t="s">
        <v>94</v>
      </c>
      <c r="D64" s="186" t="s">
        <v>622</v>
      </c>
      <c r="E64" s="177" t="s">
        <v>665</v>
      </c>
      <c r="F64" s="186">
        <v>4</v>
      </c>
      <c r="G64" s="12" t="str">
        <f>_xlfn.XLOOKUP(Tabla3[[#This Row],[ID]],Tabla2[ID],Tabla2[Corregimiento],"NA")</f>
        <v>El Carmen</v>
      </c>
      <c r="H64" s="167">
        <f>_xlfn.XLOOKUP(Tabla3[[#This Row],[LUGAR ENVÍO]],Tabla9[[Nombre ]],Tabla9[Distancia],"NA")</f>
        <v>2.6410000000000009</v>
      </c>
      <c r="I64" s="67">
        <f>Tabla3[[#This Row],[Valor Tran]]/(Tabla3[[#This Row],[DISTANCIA (km)]]*2)</f>
        <v>7572.88905717531</v>
      </c>
      <c r="J64" s="193"/>
      <c r="K64" s="186">
        <v>1</v>
      </c>
      <c r="L64" s="194">
        <v>40000</v>
      </c>
      <c r="M64" s="194">
        <v>40000</v>
      </c>
      <c r="N64" s="194">
        <v>486200</v>
      </c>
      <c r="O64" s="15">
        <f>Tabla3[[#This Row],[VLR. TOTAL FACT.]]-Tabla3[[#This Row],[VLR. TRANSPORTE]]</f>
        <v>446200</v>
      </c>
      <c r="P64" s="186">
        <v>1</v>
      </c>
      <c r="Q64" s="186" t="s">
        <v>100</v>
      </c>
    </row>
    <row r="65" spans="1:17" s="59" customFormat="1" ht="27.6" hidden="1" thickBot="1" x14ac:dyDescent="0.35">
      <c r="A65" s="3">
        <v>58352</v>
      </c>
      <c r="B65" s="4">
        <v>45987</v>
      </c>
      <c r="C65" s="3" t="s">
        <v>94</v>
      </c>
      <c r="D65" s="3" t="s">
        <v>299</v>
      </c>
      <c r="E65" s="172" t="s">
        <v>665</v>
      </c>
      <c r="F65" s="3">
        <v>8</v>
      </c>
      <c r="G65" s="3" t="str">
        <f>_xlfn.XLOOKUP(Tabla3[[#This Row],[ID]],Tabla2[ID],Tabla2[Corregimiento],"NA")</f>
        <v>El Palmar</v>
      </c>
      <c r="H65" s="167">
        <f>_xlfn.XLOOKUP(Tabla3[[#This Row],[LUGAR ENVÍO]],Tabla9[[Nombre ]],Tabla9[Distancia],"NA")</f>
        <v>2.6410000000000009</v>
      </c>
      <c r="I65" s="68">
        <f>Tabla3[[#This Row],[Valor Tran]]/(Tabla3[[#This Row],[DISTANCIA (km)]]*2)</f>
        <v>7572.88905717531</v>
      </c>
      <c r="J65" s="5"/>
      <c r="K65" s="3">
        <v>1</v>
      </c>
      <c r="L65" s="15">
        <v>40000</v>
      </c>
      <c r="M65" s="15">
        <f>Tabla3[[#This Row],[VLR. TRANSPORTE]]/Tabla3[[#This Row],[Numero de Transportes]]</f>
        <v>40000</v>
      </c>
      <c r="N65" s="15">
        <v>533000</v>
      </c>
      <c r="O65" s="15">
        <f>Tabla3[[#This Row],[VLR. TOTAL FACT.]]-Tabla3[[#This Row],[VLR. TRANSPORTE]]</f>
        <v>493000</v>
      </c>
      <c r="P65" s="3">
        <v>1</v>
      </c>
      <c r="Q65" s="3" t="s">
        <v>251</v>
      </c>
    </row>
    <row r="66" spans="1:17" ht="15" hidden="1" thickBot="1" x14ac:dyDescent="0.35">
      <c r="A66" s="186">
        <v>51245</v>
      </c>
      <c r="B66" s="187" t="s">
        <v>643</v>
      </c>
      <c r="C66" s="186" t="s">
        <v>94</v>
      </c>
      <c r="D66" s="186" t="s">
        <v>276</v>
      </c>
      <c r="E66" s="190" t="s">
        <v>665</v>
      </c>
      <c r="F66" s="186">
        <v>4</v>
      </c>
      <c r="G66" s="12" t="str">
        <f>_xlfn.XLOOKUP(Tabla3[[#This Row],[ID]],Tabla2[ID],Tabla2[Corregimiento],"NA")</f>
        <v>El Carmen</v>
      </c>
      <c r="H66" s="167">
        <f>_xlfn.XLOOKUP(Tabla3[[#This Row],[LUGAR ENVÍO]],Tabla9[[Nombre ]],Tabla9[Distancia],"NA")</f>
        <v>2.6410000000000009</v>
      </c>
      <c r="I66" s="67">
        <f>Tabla3[[#This Row],[Valor Tran]]/(Tabla3[[#This Row],[DISTANCIA (km)]]*2)</f>
        <v>7572.88905717531</v>
      </c>
      <c r="J66" s="193"/>
      <c r="K66" s="186">
        <v>1</v>
      </c>
      <c r="L66" s="194">
        <v>40000</v>
      </c>
      <c r="M66" s="194">
        <v>40000</v>
      </c>
      <c r="N66" s="194">
        <v>605800</v>
      </c>
      <c r="O66" s="15">
        <f>Tabla3[[#This Row],[VLR. TOTAL FACT.]]-Tabla3[[#This Row],[VLR. TRANSPORTE]]</f>
        <v>565800</v>
      </c>
      <c r="P66" s="186">
        <v>1</v>
      </c>
      <c r="Q66" s="186" t="s">
        <v>100</v>
      </c>
    </row>
    <row r="67" spans="1:17" ht="15" hidden="1" thickBot="1" x14ac:dyDescent="0.35">
      <c r="A67" s="3">
        <v>59128</v>
      </c>
      <c r="B67" s="4">
        <v>45988</v>
      </c>
      <c r="C67" s="3" t="s">
        <v>94</v>
      </c>
      <c r="D67" s="3" t="s">
        <v>116</v>
      </c>
      <c r="E67" s="172" t="s">
        <v>665</v>
      </c>
      <c r="F67" s="3">
        <v>4</v>
      </c>
      <c r="G67" s="3" t="str">
        <f>_xlfn.XLOOKUP(Tabla3[[#This Row],[ID]],Tabla2[ID],Tabla2[Corregimiento],"NA")</f>
        <v>El Carmen</v>
      </c>
      <c r="H67" s="167">
        <f>_xlfn.XLOOKUP(Tabla3[[#This Row],[LUGAR ENVÍO]],Tabla9[[Nombre ]],Tabla9[Distancia],"NA")</f>
        <v>2.6410000000000009</v>
      </c>
      <c r="I67" s="68">
        <f>Tabla3[[#This Row],[Valor Tran]]/(Tabla3[[#This Row],[DISTANCIA (km)]]*2)</f>
        <v>7572.88905717531</v>
      </c>
      <c r="J67" s="5"/>
      <c r="K67" s="3">
        <v>1</v>
      </c>
      <c r="L67" s="15">
        <v>40000</v>
      </c>
      <c r="M67" s="15">
        <f>Tabla3[[#This Row],[VLR. TRANSPORTE]]/Tabla3[[#This Row],[Numero de Transportes]]</f>
        <v>40000</v>
      </c>
      <c r="N67" s="15">
        <v>665000</v>
      </c>
      <c r="O67" s="15">
        <f>Tabla3[[#This Row],[VLR. TOTAL FACT.]]-Tabla3[[#This Row],[VLR. TRANSPORTE]]</f>
        <v>625000</v>
      </c>
      <c r="P67" s="3">
        <v>0</v>
      </c>
      <c r="Q67" s="3" t="s">
        <v>251</v>
      </c>
    </row>
    <row r="68" spans="1:17" ht="15" hidden="1" thickBot="1" x14ac:dyDescent="0.35">
      <c r="A68" s="12">
        <v>46700</v>
      </c>
      <c r="B68" s="13">
        <v>45965</v>
      </c>
      <c r="C68" s="12" t="s">
        <v>94</v>
      </c>
      <c r="D68" s="12" t="s">
        <v>204</v>
      </c>
      <c r="E68" s="175" t="s">
        <v>669</v>
      </c>
      <c r="F68" s="12">
        <v>4</v>
      </c>
      <c r="G68" s="12" t="str">
        <f>_xlfn.XLOOKUP(Tabla3[[#This Row],[ID]],Tabla2[ID],Tabla2[Corregimiento],"NA")</f>
        <v>El Carmen</v>
      </c>
      <c r="H68" s="167">
        <f>_xlfn.XLOOKUP(Tabla3[[#This Row],[LUGAR ENVÍO]],Tabla9[[Nombre ]],Tabla9[Distancia],"NA")</f>
        <v>9.826848</v>
      </c>
      <c r="I68" s="67">
        <f>Tabla3[[#This Row],[Valor Tran]]/(Tabla3[[#This Row],[DISTANCIA (km)]]*2)</f>
        <v>2544.0507475031668</v>
      </c>
      <c r="J68" s="14"/>
      <c r="K68" s="12">
        <v>1</v>
      </c>
      <c r="L68" s="16">
        <v>50000</v>
      </c>
      <c r="M68" s="16">
        <f>Tabla3[[#This Row],[VLR. TRANSPORTE]]/Tabla3[[#This Row],[Numero de Transportes]]</f>
        <v>50000</v>
      </c>
      <c r="N68" s="16">
        <v>138500</v>
      </c>
      <c r="O68" s="15">
        <f>Tabla3[[#This Row],[VLR. TOTAL FACT.]]-Tabla3[[#This Row],[VLR. TRANSPORTE]]</f>
        <v>88500</v>
      </c>
      <c r="P68" s="12">
        <v>0</v>
      </c>
      <c r="Q68" s="12" t="s">
        <v>96</v>
      </c>
    </row>
    <row r="69" spans="1:17" ht="27.6" hidden="1" thickBot="1" x14ac:dyDescent="0.35">
      <c r="A69" s="3">
        <v>46946</v>
      </c>
      <c r="B69" s="4">
        <v>45968</v>
      </c>
      <c r="C69" s="3" t="s">
        <v>94</v>
      </c>
      <c r="D69" s="3" t="s">
        <v>113</v>
      </c>
      <c r="E69" s="3" t="s">
        <v>669</v>
      </c>
      <c r="F69" s="3">
        <v>4</v>
      </c>
      <c r="G69" s="3" t="str">
        <f>_xlfn.XLOOKUP(Tabla3[[#This Row],[ID]],Tabla2[ID],Tabla2[Corregimiento],"NA")</f>
        <v>El Carmen</v>
      </c>
      <c r="H69" s="167">
        <f>_xlfn.XLOOKUP(Tabla3[[#This Row],[LUGAR ENVÍO]],Tabla9[[Nombre ]],Tabla9[Distancia],"NA")</f>
        <v>9.826848</v>
      </c>
      <c r="I69" s="68">
        <f>Tabla3[[#This Row],[Valor Tran]]/(Tabla3[[#This Row],[DISTANCIA (km)]]*2)</f>
        <v>6614.5319435082338</v>
      </c>
      <c r="J69" s="5"/>
      <c r="K69" s="3">
        <v>1</v>
      </c>
      <c r="L69" s="15">
        <v>130000</v>
      </c>
      <c r="M69" s="15">
        <f>Tabla3[[#This Row],[VLR. TRANSPORTE]]/Tabla3[[#This Row],[Numero de Transportes]]</f>
        <v>130000</v>
      </c>
      <c r="N69" s="15">
        <v>1458000</v>
      </c>
      <c r="O69" s="15">
        <f>Tabla3[[#This Row],[VLR. TOTAL FACT.]]-Tabla3[[#This Row],[VLR. TRANSPORTE]]</f>
        <v>1328000</v>
      </c>
      <c r="P69" s="3">
        <v>1</v>
      </c>
      <c r="Q69" s="3" t="s">
        <v>115</v>
      </c>
    </row>
    <row r="70" spans="1:17" ht="27.6" hidden="1" thickBot="1" x14ac:dyDescent="0.35">
      <c r="A70" s="12">
        <v>30441</v>
      </c>
      <c r="B70" s="13">
        <v>45971</v>
      </c>
      <c r="C70" s="12" t="s">
        <v>94</v>
      </c>
      <c r="D70" s="12" t="s">
        <v>259</v>
      </c>
      <c r="E70" s="173" t="s">
        <v>555</v>
      </c>
      <c r="F70" s="12">
        <v>4</v>
      </c>
      <c r="G70" s="12" t="str">
        <f>_xlfn.XLOOKUP(Tabla3[[#This Row],[ID]],Tabla2[ID],Tabla2[Corregimiento],"NA")</f>
        <v>El Carmen</v>
      </c>
      <c r="H70" s="167">
        <f>_xlfn.XLOOKUP(Tabla3[[#This Row],[LUGAR ENVÍO]],Tabla9[[Nombre ]],Tabla9[Distancia],"NA")</f>
        <v>2.7099999999999986</v>
      </c>
      <c r="I70" s="67">
        <f>Tabla3[[#This Row],[Valor Tran]]/(Tabla3[[#This Row],[DISTANCIA (km)]]*2)</f>
        <v>11070.110701107016</v>
      </c>
      <c r="J70" s="14"/>
      <c r="K70" s="12">
        <v>1</v>
      </c>
      <c r="L70" s="16">
        <v>60000</v>
      </c>
      <c r="M70" s="16">
        <f>Tabla3[[#This Row],[VLR. TRANSPORTE]]/Tabla3[[#This Row],[Numero de Transportes]]</f>
        <v>60000</v>
      </c>
      <c r="N70" s="16">
        <v>258000</v>
      </c>
      <c r="O70" s="15">
        <f>Tabla3[[#This Row],[VLR. TOTAL FACT.]]-Tabla3[[#This Row],[VLR. TRANSPORTE]]</f>
        <v>198000</v>
      </c>
      <c r="P70" s="12">
        <v>1</v>
      </c>
      <c r="Q70" s="12" t="s">
        <v>251</v>
      </c>
    </row>
    <row r="71" spans="1:17" s="59" customFormat="1" ht="19.5" hidden="1" customHeight="1" thickBot="1" x14ac:dyDescent="0.35">
      <c r="A71" s="147">
        <v>52758</v>
      </c>
      <c r="B71" s="149" t="s">
        <v>616</v>
      </c>
      <c r="C71" s="147" t="s">
        <v>94</v>
      </c>
      <c r="D71" s="147" t="s">
        <v>617</v>
      </c>
      <c r="E71" s="171" t="s">
        <v>555</v>
      </c>
      <c r="F71" s="147">
        <v>4</v>
      </c>
      <c r="G71" s="3" t="str">
        <f>_xlfn.XLOOKUP(Tabla3[[#This Row],[ID]],Tabla2[ID],Tabla2[Corregimiento],"NA")</f>
        <v>El Carmen</v>
      </c>
      <c r="H71" s="167">
        <f>_xlfn.XLOOKUP(Tabla3[[#This Row],[LUGAR ENVÍO]],Tabla9[[Nombre ]],Tabla9[Distancia],"NA")</f>
        <v>2.7099999999999986</v>
      </c>
      <c r="I71" s="68">
        <f>Tabla3[[#This Row],[Valor Tran]]/(Tabla3[[#This Row],[DISTANCIA (km)]]*2)</f>
        <v>7380.0738007380114</v>
      </c>
      <c r="J71" s="151"/>
      <c r="K71" s="147">
        <v>1</v>
      </c>
      <c r="L71" s="153">
        <v>40000</v>
      </c>
      <c r="M71" s="153">
        <v>40000</v>
      </c>
      <c r="N71" s="153">
        <v>346100</v>
      </c>
      <c r="O71" s="15">
        <f>Tabla3[[#This Row],[VLR. TOTAL FACT.]]-Tabla3[[#This Row],[VLR. TRANSPORTE]]</f>
        <v>306100</v>
      </c>
      <c r="P71" s="147">
        <v>1</v>
      </c>
      <c r="Q71" s="147" t="s">
        <v>96</v>
      </c>
    </row>
    <row r="72" spans="1:17" s="59" customFormat="1" ht="27.6" hidden="1" thickBot="1" x14ac:dyDescent="0.35">
      <c r="A72" s="12">
        <v>57849</v>
      </c>
      <c r="B72" s="13">
        <v>45972</v>
      </c>
      <c r="C72" s="12" t="s">
        <v>94</v>
      </c>
      <c r="D72" s="12" t="s">
        <v>260</v>
      </c>
      <c r="E72" s="172" t="s">
        <v>555</v>
      </c>
      <c r="F72" s="12">
        <v>4</v>
      </c>
      <c r="G72" s="12" t="str">
        <f>_xlfn.XLOOKUP(Tabla3[[#This Row],[ID]],Tabla2[ID],Tabla2[Corregimiento],"NA")</f>
        <v>El Carmen</v>
      </c>
      <c r="H72" s="167">
        <f>_xlfn.XLOOKUP(Tabla3[[#This Row],[LUGAR ENVÍO]],Tabla9[[Nombre ]],Tabla9[Distancia],"NA")</f>
        <v>2.7099999999999986</v>
      </c>
      <c r="I72" s="67">
        <f>Tabla3[[#This Row],[Valor Tran]]/(Tabla3[[#This Row],[DISTANCIA (km)]]*2)</f>
        <v>11070.110701107016</v>
      </c>
      <c r="J72" s="14"/>
      <c r="K72" s="12">
        <v>1</v>
      </c>
      <c r="L72" s="16">
        <v>60000</v>
      </c>
      <c r="M72" s="16">
        <f>Tabla3[[#This Row],[VLR. TRANSPORTE]]/Tabla3[[#This Row],[Numero de Transportes]]</f>
        <v>60000</v>
      </c>
      <c r="N72" s="16">
        <v>400000</v>
      </c>
      <c r="O72" s="15">
        <f>Tabla3[[#This Row],[VLR. TOTAL FACT.]]-Tabla3[[#This Row],[VLR. TRANSPORTE]]</f>
        <v>340000</v>
      </c>
      <c r="P72" s="12">
        <v>1</v>
      </c>
      <c r="Q72" s="12" t="s">
        <v>254</v>
      </c>
    </row>
    <row r="73" spans="1:17" ht="27.6" hidden="1" thickBot="1" x14ac:dyDescent="0.35">
      <c r="A73" s="3">
        <v>46605</v>
      </c>
      <c r="B73" s="4">
        <v>45963</v>
      </c>
      <c r="C73" s="3" t="s">
        <v>94</v>
      </c>
      <c r="D73" s="3" t="s">
        <v>206</v>
      </c>
      <c r="E73" s="3" t="s">
        <v>555</v>
      </c>
      <c r="F73" s="3">
        <v>4</v>
      </c>
      <c r="G73" s="3" t="str">
        <f>_xlfn.XLOOKUP(Tabla3[[#This Row],[ID]],Tabla2[ID],Tabla2[Corregimiento],"NA")</f>
        <v>El Carmen</v>
      </c>
      <c r="H73" s="167">
        <f>_xlfn.XLOOKUP(Tabla3[[#This Row],[LUGAR ENVÍO]],Tabla9[[Nombre ]],Tabla9[Distancia],"NA")</f>
        <v>2.7099999999999986</v>
      </c>
      <c r="I73" s="68">
        <f>Tabla3[[#This Row],[Valor Tran]]/(Tabla3[[#This Row],[DISTANCIA (km)]]*2)</f>
        <v>11070.110701107016</v>
      </c>
      <c r="J73" s="5"/>
      <c r="K73" s="3">
        <v>1</v>
      </c>
      <c r="L73" s="15">
        <v>60000</v>
      </c>
      <c r="M73" s="15">
        <f>Tabla3[[#This Row],[VLR. TRANSPORTE]]/Tabla3[[#This Row],[Numero de Transportes]]</f>
        <v>60000</v>
      </c>
      <c r="N73" s="15">
        <v>419500</v>
      </c>
      <c r="O73" s="15">
        <f>Tabla3[[#This Row],[VLR. TOTAL FACT.]]-Tabla3[[#This Row],[VLR. TRANSPORTE]]</f>
        <v>359500</v>
      </c>
      <c r="P73" s="3">
        <v>1</v>
      </c>
      <c r="Q73" s="3" t="s">
        <v>96</v>
      </c>
    </row>
    <row r="74" spans="1:17" ht="27.6" hidden="1" thickBot="1" x14ac:dyDescent="0.35">
      <c r="A74" s="12">
        <v>48324</v>
      </c>
      <c r="B74" s="13">
        <v>45983</v>
      </c>
      <c r="C74" s="12" t="s">
        <v>94</v>
      </c>
      <c r="D74" s="12" t="s">
        <v>144</v>
      </c>
      <c r="E74" s="172" t="s">
        <v>555</v>
      </c>
      <c r="F74" s="12">
        <v>4</v>
      </c>
      <c r="G74" s="12" t="str">
        <f>_xlfn.XLOOKUP(Tabla3[[#This Row],[ID]],Tabla2[ID],Tabla2[Corregimiento],"NA")</f>
        <v>El Carmen</v>
      </c>
      <c r="H74" s="167">
        <f>_xlfn.XLOOKUP(Tabla3[[#This Row],[LUGAR ENVÍO]],Tabla9[[Nombre ]],Tabla9[Distancia],"NA")</f>
        <v>2.7099999999999986</v>
      </c>
      <c r="I74" s="87">
        <f>Tabla3[[#This Row],[Valor Tran]]/(Tabla3[[#This Row],[DISTANCIA (km)]]*2)</f>
        <v>9225.0922509225147</v>
      </c>
      <c r="J74" s="14"/>
      <c r="K74" s="12">
        <v>1</v>
      </c>
      <c r="L74" s="16">
        <v>50000</v>
      </c>
      <c r="M74" s="16">
        <f>Tabla3[[#This Row],[VLR. TRANSPORTE]]/Tabla3[[#This Row],[Numero de Transportes]]</f>
        <v>50000</v>
      </c>
      <c r="N74" s="16">
        <v>515000</v>
      </c>
      <c r="O74" s="15">
        <f>Tabla3[[#This Row],[VLR. TOTAL FACT.]]-Tabla3[[#This Row],[VLR. TRANSPORTE]]</f>
        <v>465000</v>
      </c>
      <c r="P74" s="12">
        <v>0</v>
      </c>
      <c r="Q74" s="12" t="s">
        <v>112</v>
      </c>
    </row>
    <row r="75" spans="1:17" ht="15" hidden="1" thickBot="1" x14ac:dyDescent="0.35">
      <c r="A75" s="3">
        <v>57737</v>
      </c>
      <c r="B75" s="4">
        <v>45966</v>
      </c>
      <c r="C75" s="3" t="s">
        <v>94</v>
      </c>
      <c r="D75" s="3" t="s">
        <v>210</v>
      </c>
      <c r="E75" s="191" t="s">
        <v>670</v>
      </c>
      <c r="F75" s="3">
        <v>4</v>
      </c>
      <c r="G75" s="3" t="str">
        <f>_xlfn.XLOOKUP(Tabla3[[#This Row],[ID]],Tabla2[ID],Tabla2[Corregimiento],"NA")</f>
        <v>El Carmen</v>
      </c>
      <c r="H75" s="167">
        <f>_xlfn.XLOOKUP(Tabla3[[#This Row],[LUGAR ENVÍO]],Tabla9[[Nombre ]],Tabla9[Distancia],"NA")</f>
        <v>4.8000390000000017</v>
      </c>
      <c r="I75" s="68">
        <f>Tabla3[[#This Row],[Valor Tran]]/(Tabla3[[#This Row],[DISTANCIA (km)]]*2)</f>
        <v>5208.2910159688263</v>
      </c>
      <c r="J75" s="5"/>
      <c r="K75" s="3">
        <v>1</v>
      </c>
      <c r="L75" s="15">
        <v>50000</v>
      </c>
      <c r="M75" s="15">
        <f>Tabla3[[#This Row],[VLR. TRANSPORTE]]/Tabla3[[#This Row],[Numero de Transportes]]</f>
        <v>50000</v>
      </c>
      <c r="N75" s="15">
        <v>304500</v>
      </c>
      <c r="O75" s="15">
        <f>Tabla3[[#This Row],[VLR. TOTAL FACT.]]-Tabla3[[#This Row],[VLR. TRANSPORTE]]</f>
        <v>254500</v>
      </c>
      <c r="P75" s="3">
        <v>1</v>
      </c>
      <c r="Q75" s="3" t="s">
        <v>100</v>
      </c>
    </row>
    <row r="76" spans="1:17" s="59" customFormat="1" ht="27.6" hidden="1" thickBot="1" x14ac:dyDescent="0.35">
      <c r="A76" s="12">
        <v>47439</v>
      </c>
      <c r="B76" s="13">
        <v>45972</v>
      </c>
      <c r="C76" s="12" t="s">
        <v>94</v>
      </c>
      <c r="D76" s="12" t="s">
        <v>245</v>
      </c>
      <c r="E76" s="175" t="s">
        <v>670</v>
      </c>
      <c r="F76" s="12">
        <v>4</v>
      </c>
      <c r="G76" s="12" t="str">
        <f>_xlfn.XLOOKUP(Tabla3[[#This Row],[ID]],Tabla2[ID],Tabla2[Corregimiento],"NA")</f>
        <v>El Carmen</v>
      </c>
      <c r="H76" s="167">
        <f>_xlfn.XLOOKUP(Tabla3[[#This Row],[LUGAR ENVÍO]],Tabla9[[Nombre ]],Tabla9[Distancia],"NA")</f>
        <v>4.8000390000000017</v>
      </c>
      <c r="I76" s="67">
        <f>Tabla3[[#This Row],[Valor Tran]]/(Tabla3[[#This Row],[DISTANCIA (km)]]*2)</f>
        <v>7291.6074223563573</v>
      </c>
      <c r="J76" s="14"/>
      <c r="K76" s="12">
        <v>1</v>
      </c>
      <c r="L76" s="16">
        <v>70000</v>
      </c>
      <c r="M76" s="16">
        <f>Tabla3[[#This Row],[VLR. TRANSPORTE]]/Tabla3[[#This Row],[Numero de Transportes]]</f>
        <v>70000</v>
      </c>
      <c r="N76" s="16">
        <v>420400</v>
      </c>
      <c r="O76" s="15">
        <f>Tabla3[[#This Row],[VLR. TOTAL FACT.]]-Tabla3[[#This Row],[VLR. TRANSPORTE]]</f>
        <v>350400</v>
      </c>
      <c r="P76" s="12">
        <v>1</v>
      </c>
      <c r="Q76" s="12" t="s">
        <v>120</v>
      </c>
    </row>
    <row r="77" spans="1:17" s="59" customFormat="1" ht="27.6" hidden="1" thickBot="1" x14ac:dyDescent="0.35">
      <c r="A77" s="146">
        <v>53251</v>
      </c>
      <c r="B77" s="148" t="s">
        <v>630</v>
      </c>
      <c r="C77" s="146" t="s">
        <v>94</v>
      </c>
      <c r="D77" s="146" t="s">
        <v>622</v>
      </c>
      <c r="E77" s="171" t="s">
        <v>670</v>
      </c>
      <c r="F77" s="146">
        <v>4</v>
      </c>
      <c r="G77" s="3" t="str">
        <f>_xlfn.XLOOKUP(Tabla3[[#This Row],[ID]],Tabla2[ID],Tabla2[Corregimiento],"NA")</f>
        <v>El Carmen</v>
      </c>
      <c r="H77" s="167">
        <f>_xlfn.XLOOKUP(Tabla3[[#This Row],[LUGAR ENVÍO]],Tabla9[[Nombre ]],Tabla9[Distancia],"NA")</f>
        <v>4.8000390000000017</v>
      </c>
      <c r="I77" s="68">
        <f>Tabla3[[#This Row],[Valor Tran]]/(Tabla3[[#This Row],[DISTANCIA (km)]]*2)</f>
        <v>6249.9492191625923</v>
      </c>
      <c r="J77" s="150"/>
      <c r="K77" s="146">
        <v>1</v>
      </c>
      <c r="L77" s="152">
        <v>60000</v>
      </c>
      <c r="M77" s="152">
        <v>60000</v>
      </c>
      <c r="N77" s="152">
        <v>717900</v>
      </c>
      <c r="O77" s="15">
        <f>Tabla3[[#This Row],[VLR. TOTAL FACT.]]-Tabla3[[#This Row],[VLR. TRANSPORTE]]</f>
        <v>657900</v>
      </c>
      <c r="P77" s="146">
        <v>1</v>
      </c>
      <c r="Q77" s="146" t="s">
        <v>100</v>
      </c>
    </row>
    <row r="78" spans="1:17" ht="15" hidden="1" thickBot="1" x14ac:dyDescent="0.35">
      <c r="A78" s="12">
        <v>58415</v>
      </c>
      <c r="B78" s="13">
        <v>45974</v>
      </c>
      <c r="C78" s="12" t="s">
        <v>94</v>
      </c>
      <c r="D78" s="12" t="s">
        <v>273</v>
      </c>
      <c r="E78" s="196" t="s">
        <v>670</v>
      </c>
      <c r="F78" s="12">
        <v>4</v>
      </c>
      <c r="G78" s="12" t="str">
        <f>_xlfn.XLOOKUP(Tabla3[[#This Row],[ID]],Tabla2[ID],Tabla2[Corregimiento],"NA")</f>
        <v>El Carmen</v>
      </c>
      <c r="H78" s="167">
        <f>_xlfn.XLOOKUP(Tabla3[[#This Row],[LUGAR ENVÍO]],Tabla9[[Nombre ]],Tabla9[Distancia],"NA")</f>
        <v>4.8000390000000017</v>
      </c>
      <c r="I78" s="67">
        <f>Tabla3[[#This Row],[Valor Tran]]/(Tabla3[[#This Row],[DISTANCIA (km)]]*2)</f>
        <v>6249.9492191625923</v>
      </c>
      <c r="J78" s="14"/>
      <c r="K78" s="12">
        <v>1</v>
      </c>
      <c r="L78" s="15">
        <v>60000</v>
      </c>
      <c r="M78" s="16">
        <f>Tabla3[[#This Row],[VLR. TRANSPORTE]]/Tabla3[[#This Row],[Numero de Transportes]]</f>
        <v>60000</v>
      </c>
      <c r="N78" s="16">
        <v>956000</v>
      </c>
      <c r="O78" s="15">
        <f>Tabla3[[#This Row],[VLR. TOTAL FACT.]]-Tabla3[[#This Row],[VLR. TRANSPORTE]]</f>
        <v>896000</v>
      </c>
      <c r="P78" s="12">
        <v>1</v>
      </c>
      <c r="Q78" s="12" t="s">
        <v>100</v>
      </c>
    </row>
    <row r="79" spans="1:17" s="59" customFormat="1" ht="15" thickBot="1" x14ac:dyDescent="0.35">
      <c r="A79" s="93">
        <v>48228</v>
      </c>
      <c r="B79" s="98">
        <v>45972</v>
      </c>
      <c r="C79" s="93" t="s">
        <v>94</v>
      </c>
      <c r="D79" s="93" t="s">
        <v>128</v>
      </c>
      <c r="E79" s="171" t="s">
        <v>679</v>
      </c>
      <c r="F79" s="93">
        <v>2</v>
      </c>
      <c r="G79" s="93" t="str">
        <f>_xlfn.XLOOKUP(Tabla3[[#This Row],[ID]],Tabla2[ID],Tabla2[Corregimiento],"NA")</f>
        <v>Borrero Ayerbe</v>
      </c>
      <c r="H79" s="167">
        <f>_xlfn.XLOOKUP(Tabla3[[#This Row],[LUGAR ENVÍO]],Tabla9[[Nombre ]],Tabla9[Distancia],"NA")</f>
        <v>3.6839999999999993</v>
      </c>
      <c r="I79" s="101">
        <f>Tabla3[[#This Row],[Valor Tran]]/(Tabla3[[#This Row],[DISTANCIA (km)]]*2)</f>
        <v>5428.8816503800226</v>
      </c>
      <c r="J79" s="99"/>
      <c r="K79" s="93">
        <v>1</v>
      </c>
      <c r="L79" s="96">
        <v>40000</v>
      </c>
      <c r="M79" s="96">
        <f>Tabla3[[#This Row],[VLR. TRANSPORTE]]/Tabla3[[#This Row],[Numero de Transportes]]</f>
        <v>40000</v>
      </c>
      <c r="N79" s="96">
        <v>181500</v>
      </c>
      <c r="O79" s="96">
        <f>Tabla3[[#This Row],[VLR. TOTAL FACT.]]-Tabla3[[#This Row],[VLR. TRANSPORTE]]</f>
        <v>141500</v>
      </c>
      <c r="P79" s="93">
        <v>0</v>
      </c>
      <c r="Q79" s="93" t="s">
        <v>120</v>
      </c>
    </row>
    <row r="80" spans="1:17" ht="15" thickBot="1" x14ac:dyDescent="0.35">
      <c r="A80" s="91">
        <v>59040</v>
      </c>
      <c r="B80" s="92">
        <v>45987</v>
      </c>
      <c r="C80" s="91" t="s">
        <v>94</v>
      </c>
      <c r="D80" s="91" t="s">
        <v>116</v>
      </c>
      <c r="E80" s="91" t="s">
        <v>688</v>
      </c>
      <c r="F80" s="91">
        <v>2</v>
      </c>
      <c r="G80" s="91" t="str">
        <f>_xlfn.XLOOKUP(Tabla3[[#This Row],[ID]],Tabla2[ID],Tabla2[Corregimiento],"NA")</f>
        <v>Borrero Ayerbe</v>
      </c>
      <c r="H80" s="167">
        <f>_xlfn.XLOOKUP(Tabla3[[#This Row],[LUGAR ENVÍO]],Tabla9[[Nombre ]],Tabla9[Distancia],"NA")</f>
        <v>1.1270000000000002</v>
      </c>
      <c r="I80" s="192">
        <f>Tabla3[[#This Row],[Valor Tran]]/(Tabla3[[#This Row],[DISTANCIA (km)]]*2)</f>
        <v>4436.5572315882864</v>
      </c>
      <c r="J80" s="94"/>
      <c r="K80" s="91">
        <v>1</v>
      </c>
      <c r="L80" s="96">
        <v>10000</v>
      </c>
      <c r="M80" s="95">
        <f>Tabla3[[#This Row],[VLR. TRANSPORTE]]/Tabla3[[#This Row],[Numero de Transportes]]</f>
        <v>10000</v>
      </c>
      <c r="N80" s="95">
        <v>207000</v>
      </c>
      <c r="O80" s="96">
        <f>Tabla3[[#This Row],[VLR. TOTAL FACT.]]-Tabla3[[#This Row],[VLR. TRANSPORTE]]</f>
        <v>197000</v>
      </c>
      <c r="P80" s="91">
        <v>0</v>
      </c>
      <c r="Q80" s="91" t="s">
        <v>251</v>
      </c>
    </row>
    <row r="81" spans="1:17" ht="27.6" thickBot="1" x14ac:dyDescent="0.35">
      <c r="A81" s="3">
        <v>58796</v>
      </c>
      <c r="B81" s="184">
        <v>45987</v>
      </c>
      <c r="C81" s="3" t="s">
        <v>101</v>
      </c>
      <c r="D81" s="3" t="s">
        <v>187</v>
      </c>
      <c r="E81" s="3" t="s">
        <v>688</v>
      </c>
      <c r="F81" s="3">
        <v>2</v>
      </c>
      <c r="G81" s="3" t="str">
        <f>_xlfn.XLOOKUP(Tabla3[[#This Row],[ID]],Tabla2[ID],Tabla2[Corregimiento],"NA")</f>
        <v>Borrero Ayerbe</v>
      </c>
      <c r="H81" s="167">
        <f>_xlfn.XLOOKUP(Tabla3[[#This Row],[LUGAR ENVÍO]],Tabla9[[Nombre ]],Tabla9[Distancia],"NA")</f>
        <v>1.1270000000000002</v>
      </c>
      <c r="I81" s="68">
        <f>Tabla3[[#This Row],[Valor Tran]]/(Tabla3[[#This Row],[DISTANCIA (km)]]*2)</f>
        <v>8873.1144631765728</v>
      </c>
      <c r="J81" s="5"/>
      <c r="K81" s="3">
        <v>1</v>
      </c>
      <c r="L81" s="15">
        <v>20000</v>
      </c>
      <c r="M81" s="15">
        <f>Tabla3[[#This Row],[VLR. TRANSPORTE]]/Tabla3[[#This Row],[Numero de Transportes]]</f>
        <v>20000</v>
      </c>
      <c r="N81" s="15">
        <v>2207000</v>
      </c>
      <c r="O81" s="15">
        <f>Tabla3[[#This Row],[VLR. TOTAL FACT.]]-Tabla3[[#This Row],[VLR. TRANSPORTE]]</f>
        <v>2187000</v>
      </c>
      <c r="P81" s="3">
        <v>1</v>
      </c>
      <c r="Q81" s="3" t="s">
        <v>96</v>
      </c>
    </row>
    <row r="82" spans="1:17" s="59" customFormat="1" ht="27.6" hidden="1" thickBot="1" x14ac:dyDescent="0.35">
      <c r="A82" s="169">
        <v>41501</v>
      </c>
      <c r="B82" s="170" t="s">
        <v>624</v>
      </c>
      <c r="C82" s="169" t="s">
        <v>101</v>
      </c>
      <c r="D82" s="169" t="s">
        <v>328</v>
      </c>
      <c r="E82" s="169" t="s">
        <v>99</v>
      </c>
      <c r="F82" s="169">
        <v>6</v>
      </c>
      <c r="G82" s="12" t="str">
        <f>_xlfn.XLOOKUP(Tabla3[[#This Row],[ID]],Tabla2[ID],Tabla2[Corregimiento],"NA")</f>
        <v>El Limonar</v>
      </c>
      <c r="H82" s="167">
        <f>_xlfn.XLOOKUP(Tabla3[[#This Row],[LUGAR ENVÍO]],Tabla9[[Nombre ]],Tabla9[Distancia],"NA")</f>
        <v>4.4759999999999982</v>
      </c>
      <c r="I82" s="67">
        <f>Tabla3[[#This Row],[Valor Tran]]/(Tabla3[[#This Row],[DISTANCIA (km)]]*2)</f>
        <v>8378.0160857908886</v>
      </c>
      <c r="J82" s="178"/>
      <c r="K82" s="169">
        <v>3</v>
      </c>
      <c r="L82" s="179">
        <v>225000</v>
      </c>
      <c r="M82" s="179">
        <v>75000</v>
      </c>
      <c r="N82" s="179">
        <v>593900</v>
      </c>
      <c r="O82" s="15">
        <f>Tabla3[[#This Row],[VLR. TOTAL FACT.]]-Tabla3[[#This Row],[VLR. TRANSPORTE]]</f>
        <v>368900</v>
      </c>
      <c r="P82" s="169">
        <v>1</v>
      </c>
      <c r="Q82" s="169" t="s">
        <v>96</v>
      </c>
    </row>
    <row r="83" spans="1:17" ht="15" hidden="1" thickBot="1" x14ac:dyDescent="0.35">
      <c r="A83" s="3">
        <v>48616</v>
      </c>
      <c r="B83" s="4">
        <v>45986</v>
      </c>
      <c r="C83" s="3" t="s">
        <v>94</v>
      </c>
      <c r="D83" s="3" t="s">
        <v>98</v>
      </c>
      <c r="E83" s="173" t="s">
        <v>99</v>
      </c>
      <c r="F83" s="3">
        <v>6</v>
      </c>
      <c r="G83" s="3" t="str">
        <f>_xlfn.XLOOKUP(Tabla3[[#This Row],[ID]],Tabla2[ID],Tabla2[Corregimiento],"NA")</f>
        <v>El Limonar</v>
      </c>
      <c r="H83" s="167">
        <f>_xlfn.XLOOKUP(Tabla3[[#This Row],[LUGAR ENVÍO]],Tabla9[[Nombre ]],Tabla9[Distancia],"NA")</f>
        <v>4.4759999999999982</v>
      </c>
      <c r="I83" s="69">
        <f>Tabla3[[#This Row],[Valor Tran]]/(Tabla3[[#This Row],[DISTANCIA (km)]]*2)</f>
        <v>7819.4816800714952</v>
      </c>
      <c r="J83" s="5"/>
      <c r="K83" s="3">
        <v>1</v>
      </c>
      <c r="L83" s="15">
        <v>70000</v>
      </c>
      <c r="M83" s="15">
        <f>Tabla3[[#This Row],[VLR. TRANSPORTE]]/Tabla3[[#This Row],[Numero de Transportes]]</f>
        <v>70000</v>
      </c>
      <c r="N83" s="15">
        <v>480300</v>
      </c>
      <c r="O83" s="15">
        <f>Tabla3[[#This Row],[VLR. TOTAL FACT.]]-Tabla3[[#This Row],[VLR. TRANSPORTE]]</f>
        <v>410300</v>
      </c>
      <c r="P83" s="3">
        <v>1</v>
      </c>
      <c r="Q83" s="3" t="s">
        <v>100</v>
      </c>
    </row>
    <row r="84" spans="1:17" ht="27.6" hidden="1" thickBot="1" x14ac:dyDescent="0.35">
      <c r="A84" s="186">
        <v>50115</v>
      </c>
      <c r="B84" s="187" t="s">
        <v>616</v>
      </c>
      <c r="C84" s="186" t="s">
        <v>94</v>
      </c>
      <c r="D84" s="186" t="s">
        <v>331</v>
      </c>
      <c r="E84" s="177" t="s">
        <v>99</v>
      </c>
      <c r="F84" s="186">
        <v>6</v>
      </c>
      <c r="G84" s="12" t="str">
        <f>_xlfn.XLOOKUP(Tabla3[[#This Row],[ID]],Tabla2[ID],Tabla2[Corregimiento],"NA")</f>
        <v>El Limonar</v>
      </c>
      <c r="H84" s="167">
        <f>_xlfn.XLOOKUP(Tabla3[[#This Row],[LUGAR ENVÍO]],Tabla9[[Nombre ]],Tabla9[Distancia],"NA")</f>
        <v>4.4759999999999982</v>
      </c>
      <c r="I84" s="67">
        <f>Tabla3[[#This Row],[Valor Tran]]/(Tabla3[[#This Row],[DISTANCIA (km)]]*2)</f>
        <v>7819.4816800714952</v>
      </c>
      <c r="J84" s="193"/>
      <c r="K84" s="186">
        <v>1</v>
      </c>
      <c r="L84" s="153">
        <v>70000</v>
      </c>
      <c r="M84" s="194">
        <v>70000</v>
      </c>
      <c r="N84" s="194">
        <v>557500</v>
      </c>
      <c r="O84" s="15">
        <f>Tabla3[[#This Row],[VLR. TOTAL FACT.]]-Tabla3[[#This Row],[VLR. TRANSPORTE]]</f>
        <v>487500</v>
      </c>
      <c r="P84" s="186">
        <v>1</v>
      </c>
      <c r="Q84" s="186" t="s">
        <v>96</v>
      </c>
    </row>
    <row r="85" spans="1:17" ht="27.6" hidden="1" thickBot="1" x14ac:dyDescent="0.35">
      <c r="A85" s="3">
        <v>58809</v>
      </c>
      <c r="B85" s="184">
        <v>45993</v>
      </c>
      <c r="C85" s="3" t="s">
        <v>94</v>
      </c>
      <c r="D85" s="3" t="s">
        <v>626</v>
      </c>
      <c r="E85" s="3" t="s">
        <v>99</v>
      </c>
      <c r="F85" s="3">
        <v>6</v>
      </c>
      <c r="G85" s="3" t="str">
        <f>_xlfn.XLOOKUP(Tabla3[[#This Row],[ID]],Tabla2[ID],Tabla2[Corregimiento],"NA")</f>
        <v>El Limonar</v>
      </c>
      <c r="H85" s="167">
        <f>_xlfn.XLOOKUP(Tabla3[[#This Row],[LUGAR ENVÍO]],Tabla9[[Nombre ]],Tabla9[Distancia],"NA")</f>
        <v>4.4759999999999982</v>
      </c>
      <c r="I85" s="68">
        <f>Tabla3[[#This Row],[Valor Tran]]/(Tabla3[[#This Row],[DISTANCIA (km)]]*2)</f>
        <v>3351.2064343163552</v>
      </c>
      <c r="J85" s="5"/>
      <c r="K85" s="3">
        <v>3</v>
      </c>
      <c r="L85" s="15">
        <v>90000</v>
      </c>
      <c r="M85" s="15">
        <f>Tabla3[[#This Row],[VLR. TRANSPORTE]]/Tabla3[[#This Row],[Numero de Transportes]]</f>
        <v>30000</v>
      </c>
      <c r="N85" s="15">
        <v>1382000</v>
      </c>
      <c r="O85" s="15">
        <f>Tabla3[[#This Row],[VLR. TOTAL FACT.]]-Tabla3[[#This Row],[VLR. TRANSPORTE]]</f>
        <v>1292000</v>
      </c>
      <c r="P85" s="3">
        <v>1</v>
      </c>
      <c r="Q85" s="3" t="s">
        <v>120</v>
      </c>
    </row>
    <row r="86" spans="1:17" ht="15" hidden="1" thickBot="1" x14ac:dyDescent="0.35">
      <c r="A86" s="12">
        <v>58609</v>
      </c>
      <c r="B86" s="185">
        <v>45995</v>
      </c>
      <c r="C86" s="12" t="s">
        <v>94</v>
      </c>
      <c r="D86" s="12" t="s">
        <v>128</v>
      </c>
      <c r="E86" s="172" t="s">
        <v>99</v>
      </c>
      <c r="F86" s="12">
        <v>6</v>
      </c>
      <c r="G86" s="12" t="str">
        <f>_xlfn.XLOOKUP(Tabla3[[#This Row],[ID]],Tabla2[ID],Tabla2[Corregimiento],"NA")</f>
        <v>El Limonar</v>
      </c>
      <c r="H86" s="167">
        <f>_xlfn.XLOOKUP(Tabla3[[#This Row],[LUGAR ENVÍO]],Tabla9[[Nombre ]],Tabla9[Distancia],"NA")</f>
        <v>4.4759999999999982</v>
      </c>
      <c r="I86" s="67">
        <f>Tabla3[[#This Row],[Valor Tran]]/(Tabla3[[#This Row],[DISTANCIA (km)]]*2)</f>
        <v>2234.1376228775703</v>
      </c>
      <c r="J86" s="14"/>
      <c r="K86" s="12">
        <v>1</v>
      </c>
      <c r="L86" s="15">
        <v>20000</v>
      </c>
      <c r="M86" s="16">
        <f>Tabla3[[#This Row],[VLR. TRANSPORTE]]/Tabla3[[#This Row],[Numero de Transportes]]</f>
        <v>20000</v>
      </c>
      <c r="N86" s="16">
        <v>3259000</v>
      </c>
      <c r="O86" s="15">
        <f>Tabla3[[#This Row],[VLR. TOTAL FACT.]]-Tabla3[[#This Row],[VLR. TRANSPORTE]]</f>
        <v>3239000</v>
      </c>
      <c r="P86" s="12">
        <v>1</v>
      </c>
      <c r="Q86" s="12" t="s">
        <v>100</v>
      </c>
    </row>
    <row r="87" spans="1:17" s="59" customFormat="1" ht="27.6" thickBot="1" x14ac:dyDescent="0.35">
      <c r="A87" s="3">
        <v>57636</v>
      </c>
      <c r="B87" s="4">
        <v>45962</v>
      </c>
      <c r="C87" s="3" t="s">
        <v>101</v>
      </c>
      <c r="D87" s="3" t="s">
        <v>178</v>
      </c>
      <c r="E87" s="189" t="s">
        <v>498</v>
      </c>
      <c r="F87" s="3">
        <v>2</v>
      </c>
      <c r="G87" s="3" t="str">
        <f>_xlfn.XLOOKUP(Tabla3[[#This Row],[ID]],Tabla2[ID],Tabla2[Corregimiento],"NA")</f>
        <v>Borrero Ayerbe</v>
      </c>
      <c r="H87" s="167">
        <f>_xlfn.XLOOKUP(Tabla3[[#This Row],[LUGAR ENVÍO]],Tabla9[[Nombre ]],Tabla9[Distancia],"NA")</f>
        <v>1.3099999999999998</v>
      </c>
      <c r="I87" s="68">
        <f>Tabla3[[#This Row],[Valor Tran]]/(Tabla3[[#This Row],[DISTANCIA (km)]]*2)</f>
        <v>5725.1908396946574</v>
      </c>
      <c r="J87" s="5"/>
      <c r="K87" s="3">
        <v>1</v>
      </c>
      <c r="L87" s="15">
        <v>15000</v>
      </c>
      <c r="M87" s="15">
        <f>Tabla3[[#This Row],[VLR. TRANSPORTE]]/Tabla3[[#This Row],[Numero de Transportes]]</f>
        <v>15000</v>
      </c>
      <c r="N87" s="15">
        <v>526000</v>
      </c>
      <c r="O87" s="15">
        <f>Tabla3[[#This Row],[VLR. TOTAL FACT.]]-Tabla3[[#This Row],[VLR. TRANSPORTE]]</f>
        <v>511000</v>
      </c>
      <c r="P87" s="3">
        <v>0</v>
      </c>
      <c r="Q87" s="3" t="s">
        <v>100</v>
      </c>
    </row>
    <row r="88" spans="1:17" ht="27.6" thickBot="1" x14ac:dyDescent="0.35">
      <c r="A88" s="12">
        <v>58457</v>
      </c>
      <c r="B88" s="13">
        <v>45974</v>
      </c>
      <c r="C88" s="12" t="s">
        <v>101</v>
      </c>
      <c r="D88" s="12" t="s">
        <v>233</v>
      </c>
      <c r="E88" s="172" t="s">
        <v>487</v>
      </c>
      <c r="F88" s="12">
        <v>2</v>
      </c>
      <c r="G88" s="12" t="str">
        <f>_xlfn.XLOOKUP(Tabla3[[#This Row],[ID]],Tabla2[ID],Tabla2[Corregimiento],"NA")</f>
        <v>Borrero Ayerbe</v>
      </c>
      <c r="H88" s="167">
        <f>_xlfn.XLOOKUP(Tabla3[[#This Row],[LUGAR ENVÍO]],Tabla9[[Nombre ]],Tabla9[Distancia],"NA")</f>
        <v>0.42800000000000005</v>
      </c>
      <c r="I88" s="67">
        <f>Tabla3[[#This Row],[Valor Tran]]/(Tabla3[[#This Row],[DISTANCIA (km)]]*2)</f>
        <v>35046.728971962613</v>
      </c>
      <c r="J88" s="14"/>
      <c r="K88" s="12">
        <v>1</v>
      </c>
      <c r="L88" s="16">
        <v>30000</v>
      </c>
      <c r="M88" s="16">
        <f>Tabla3[[#This Row],[VLR. TRANSPORTE]]/Tabla3[[#This Row],[Numero de Transportes]]</f>
        <v>30000</v>
      </c>
      <c r="N88" s="16">
        <v>210000</v>
      </c>
      <c r="O88" s="15">
        <f>Tabla3[[#This Row],[VLR. TOTAL FACT.]]-Tabla3[[#This Row],[VLR. TRANSPORTE]]</f>
        <v>180000</v>
      </c>
      <c r="P88" s="12">
        <v>1</v>
      </c>
      <c r="Q88" s="12" t="s">
        <v>100</v>
      </c>
    </row>
    <row r="89" spans="1:17" ht="15" thickBot="1" x14ac:dyDescent="0.35">
      <c r="A89" s="3">
        <v>58466</v>
      </c>
      <c r="B89" s="4">
        <v>45974</v>
      </c>
      <c r="C89" s="3" t="s">
        <v>101</v>
      </c>
      <c r="D89" s="3" t="s">
        <v>169</v>
      </c>
      <c r="E89" s="172" t="s">
        <v>487</v>
      </c>
      <c r="F89" s="3">
        <v>2</v>
      </c>
      <c r="G89" s="3" t="str">
        <f>_xlfn.XLOOKUP(Tabla3[[#This Row],[ID]],Tabla2[ID],Tabla2[Corregimiento],"NA")</f>
        <v>Borrero Ayerbe</v>
      </c>
      <c r="H89" s="167">
        <f>_xlfn.XLOOKUP(Tabla3[[#This Row],[LUGAR ENVÍO]],Tabla9[[Nombre ]],Tabla9[Distancia],"NA")</f>
        <v>0.42800000000000005</v>
      </c>
      <c r="I89" s="68">
        <f>Tabla3[[#This Row],[Valor Tran]]/(Tabla3[[#This Row],[DISTANCIA (km)]]*2)</f>
        <v>17523.364485981307</v>
      </c>
      <c r="J89" s="5"/>
      <c r="K89" s="3">
        <v>1</v>
      </c>
      <c r="L89" s="15">
        <v>15000</v>
      </c>
      <c r="M89" s="15">
        <f>Tabla3[[#This Row],[VLR. TRANSPORTE]]/Tabla3[[#This Row],[Numero de Transportes]]</f>
        <v>15000</v>
      </c>
      <c r="N89" s="15">
        <v>246000</v>
      </c>
      <c r="O89" s="15">
        <f>Tabla3[[#This Row],[VLR. TOTAL FACT.]]-Tabla3[[#This Row],[VLR. TRANSPORTE]]</f>
        <v>231000</v>
      </c>
      <c r="P89" s="3">
        <v>0</v>
      </c>
      <c r="Q89" s="3" t="s">
        <v>100</v>
      </c>
    </row>
    <row r="90" spans="1:17" ht="27.6" thickBot="1" x14ac:dyDescent="0.35">
      <c r="A90" s="169">
        <v>38790</v>
      </c>
      <c r="B90" s="170" t="s">
        <v>627</v>
      </c>
      <c r="C90" s="169" t="s">
        <v>101</v>
      </c>
      <c r="D90" s="169" t="s">
        <v>247</v>
      </c>
      <c r="E90" s="169" t="s">
        <v>487</v>
      </c>
      <c r="F90" s="169">
        <v>2</v>
      </c>
      <c r="G90" s="12" t="str">
        <f>_xlfn.XLOOKUP(Tabla3[[#This Row],[ID]],Tabla2[ID],Tabla2[Corregimiento],"NA")</f>
        <v>Borrero Ayerbe</v>
      </c>
      <c r="H90" s="167">
        <f>_xlfn.XLOOKUP(Tabla3[[#This Row],[LUGAR ENVÍO]],Tabla9[[Nombre ]],Tabla9[Distancia],"NA")</f>
        <v>0.42800000000000005</v>
      </c>
      <c r="I90" s="67">
        <f>Tabla3[[#This Row],[Valor Tran]]/(Tabla3[[#This Row],[DISTANCIA (km)]]*2)</f>
        <v>35046.728971962613</v>
      </c>
      <c r="J90" s="178"/>
      <c r="K90" s="169">
        <v>2</v>
      </c>
      <c r="L90" s="152">
        <v>60000</v>
      </c>
      <c r="M90" s="179">
        <v>30000</v>
      </c>
      <c r="N90" s="179">
        <v>307800</v>
      </c>
      <c r="O90" s="15">
        <f>Tabla3[[#This Row],[VLR. TOTAL FACT.]]-Tabla3[[#This Row],[VLR. TRANSPORTE]]</f>
        <v>247800</v>
      </c>
      <c r="P90" s="169">
        <v>1</v>
      </c>
      <c r="Q90" s="169" t="s">
        <v>100</v>
      </c>
    </row>
    <row r="91" spans="1:17" ht="27.6" thickBot="1" x14ac:dyDescent="0.35">
      <c r="A91" s="93">
        <v>57842</v>
      </c>
      <c r="B91" s="98">
        <v>45971</v>
      </c>
      <c r="C91" s="93" t="s">
        <v>101</v>
      </c>
      <c r="D91" s="93" t="s">
        <v>123</v>
      </c>
      <c r="E91" s="174" t="s">
        <v>487</v>
      </c>
      <c r="F91" s="93">
        <v>2</v>
      </c>
      <c r="G91" s="93" t="str">
        <f>_xlfn.XLOOKUP(Tabla3[[#This Row],[ID]],Tabla2[ID],Tabla2[Corregimiento],"NA")</f>
        <v>Borrero Ayerbe</v>
      </c>
      <c r="H91" s="167">
        <f>_xlfn.XLOOKUP(Tabla3[[#This Row],[LUGAR ENVÍO]],Tabla9[[Nombre ]],Tabla9[Distancia],"NA")</f>
        <v>0.42800000000000005</v>
      </c>
      <c r="I91" s="100">
        <f>Tabla3[[#This Row],[Valor Tran]]/(Tabla3[[#This Row],[DISTANCIA (km)]]*2)</f>
        <v>17523.364485981307</v>
      </c>
      <c r="J91" s="99"/>
      <c r="K91" s="93">
        <v>1</v>
      </c>
      <c r="L91" s="96">
        <v>15000</v>
      </c>
      <c r="M91" s="96">
        <f>Tabla3[[#This Row],[VLR. TRANSPORTE]]/Tabla3[[#This Row],[Numero de Transportes]]</f>
        <v>15000</v>
      </c>
      <c r="N91" s="96">
        <v>351000</v>
      </c>
      <c r="O91" s="96">
        <f>Tabla3[[#This Row],[VLR. TOTAL FACT.]]-Tabla3[[#This Row],[VLR. TRANSPORTE]]</f>
        <v>336000</v>
      </c>
      <c r="P91" s="93">
        <v>0</v>
      </c>
      <c r="Q91" s="93" t="s">
        <v>100</v>
      </c>
    </row>
    <row r="92" spans="1:17" ht="15" thickBot="1" x14ac:dyDescent="0.35">
      <c r="A92" s="12">
        <v>46430</v>
      </c>
      <c r="B92" s="13">
        <v>45962</v>
      </c>
      <c r="C92" s="12" t="s">
        <v>94</v>
      </c>
      <c r="D92" s="12" t="s">
        <v>169</v>
      </c>
      <c r="E92" s="12" t="s">
        <v>487</v>
      </c>
      <c r="F92" s="12">
        <v>2</v>
      </c>
      <c r="G92" s="12" t="str">
        <f>_xlfn.XLOOKUP(Tabla3[[#This Row],[ID]],Tabla2[ID],Tabla2[Corregimiento],"NA")</f>
        <v>Borrero Ayerbe</v>
      </c>
      <c r="H92" s="167">
        <f>_xlfn.XLOOKUP(Tabla3[[#This Row],[LUGAR ENVÍO]],Tabla9[[Nombre ]],Tabla9[Distancia],"NA")</f>
        <v>0.42800000000000005</v>
      </c>
      <c r="I92" s="67">
        <f>Tabla3[[#This Row],[Valor Tran]]/(Tabla3[[#This Row],[DISTANCIA (km)]]*2)</f>
        <v>35046.728971962613</v>
      </c>
      <c r="J92" s="14"/>
      <c r="K92" s="12">
        <v>1</v>
      </c>
      <c r="L92" s="15">
        <v>30000</v>
      </c>
      <c r="M92" s="16">
        <f>Tabla3[[#This Row],[VLR. TRANSPORTE]]/Tabla3[[#This Row],[Numero de Transportes]]</f>
        <v>30000</v>
      </c>
      <c r="N92" s="16">
        <v>768000</v>
      </c>
      <c r="O92" s="15">
        <f>Tabla3[[#This Row],[VLR. TOTAL FACT.]]-Tabla3[[#This Row],[VLR. TRANSPORTE]]</f>
        <v>738000</v>
      </c>
      <c r="P92" s="12">
        <v>0</v>
      </c>
      <c r="Q92" s="12" t="s">
        <v>96</v>
      </c>
    </row>
    <row r="93" spans="1:17" ht="27.6" thickBot="1" x14ac:dyDescent="0.35">
      <c r="A93" s="3">
        <v>0</v>
      </c>
      <c r="B93" s="4">
        <v>45962</v>
      </c>
      <c r="C93" s="3" t="s">
        <v>94</v>
      </c>
      <c r="D93" s="3" t="s">
        <v>165</v>
      </c>
      <c r="E93" s="172" t="s">
        <v>499</v>
      </c>
      <c r="F93" s="3">
        <v>2</v>
      </c>
      <c r="G93" s="3" t="str">
        <f>_xlfn.XLOOKUP(Tabla3[[#This Row],[ID]],Tabla2[ID],Tabla2[Corregimiento],"NA")</f>
        <v>Borrero Ayerbe</v>
      </c>
      <c r="H93" s="167">
        <f>_xlfn.XLOOKUP(Tabla3[[#This Row],[LUGAR ENVÍO]],Tabla9[[Nombre ]],Tabla9[Distancia],"NA")</f>
        <v>1.2010000000000001</v>
      </c>
      <c r="I93" s="68">
        <f>Tabla3[[#This Row],[Valor Tran]]/(Tabla3[[#This Row],[DISTANCIA (km)]]*2)</f>
        <v>16652.789342214819</v>
      </c>
      <c r="J93" s="5"/>
      <c r="K93" s="3">
        <v>1</v>
      </c>
      <c r="L93" s="15">
        <v>40000</v>
      </c>
      <c r="M93" s="15">
        <f>Tabla3[[#This Row],[VLR. TRANSPORTE]]/Tabla3[[#This Row],[Numero de Transportes]]</f>
        <v>40000</v>
      </c>
      <c r="N93" s="15">
        <v>369000</v>
      </c>
      <c r="O93" s="15">
        <f>Tabla3[[#This Row],[VLR. TOTAL FACT.]]-Tabla3[[#This Row],[VLR. TRANSPORTE]]</f>
        <v>329000</v>
      </c>
      <c r="P93" s="3">
        <v>0</v>
      </c>
      <c r="Q93" s="3" t="s">
        <v>100</v>
      </c>
    </row>
    <row r="94" spans="1:17" ht="27.6" thickBot="1" x14ac:dyDescent="0.35">
      <c r="A94" s="12">
        <v>58326</v>
      </c>
      <c r="B94" s="13">
        <v>45986</v>
      </c>
      <c r="C94" s="12" t="s">
        <v>94</v>
      </c>
      <c r="D94" s="12" t="s">
        <v>331</v>
      </c>
      <c r="E94" s="172" t="s">
        <v>499</v>
      </c>
      <c r="F94" s="12">
        <v>2</v>
      </c>
      <c r="G94" s="12" t="str">
        <f>_xlfn.XLOOKUP(Tabla3[[#This Row],[ID]],Tabla2[ID],Tabla2[Corregimiento],"NA")</f>
        <v>Borrero Ayerbe</v>
      </c>
      <c r="H94" s="167">
        <f>_xlfn.XLOOKUP(Tabla3[[#This Row],[LUGAR ENVÍO]],Tabla9[[Nombre ]],Tabla9[Distancia],"NA")</f>
        <v>1.2010000000000001</v>
      </c>
      <c r="I94" s="67">
        <f>Tabla3[[#This Row],[Valor Tran]]/(Tabla3[[#This Row],[DISTANCIA (km)]]*2)</f>
        <v>16652.789342214819</v>
      </c>
      <c r="J94" s="14"/>
      <c r="K94" s="12">
        <v>1</v>
      </c>
      <c r="L94" s="15">
        <v>40000</v>
      </c>
      <c r="M94" s="16">
        <f>Tabla3[[#This Row],[VLR. TRANSPORTE]]/Tabla3[[#This Row],[Numero de Transportes]]</f>
        <v>40000</v>
      </c>
      <c r="N94" s="16">
        <v>436000</v>
      </c>
      <c r="O94" s="15">
        <f>Tabla3[[#This Row],[VLR. TOTAL FACT.]]-Tabla3[[#This Row],[VLR. TRANSPORTE]]</f>
        <v>396000</v>
      </c>
      <c r="P94" s="12">
        <v>1</v>
      </c>
      <c r="Q94" s="12" t="s">
        <v>100</v>
      </c>
    </row>
    <row r="95" spans="1:17" ht="15" hidden="1" thickBot="1" x14ac:dyDescent="0.35">
      <c r="A95" s="3">
        <v>511</v>
      </c>
      <c r="B95" s="4">
        <v>45966</v>
      </c>
      <c r="C95" s="3" t="s">
        <v>94</v>
      </c>
      <c r="D95" s="3" t="s">
        <v>207</v>
      </c>
      <c r="E95" s="165" t="s">
        <v>508</v>
      </c>
      <c r="F95" s="3">
        <v>4</v>
      </c>
      <c r="G95" s="3" t="str">
        <f>_xlfn.XLOOKUP(Tabla3[[#This Row],[ID]],Tabla2[ID],Tabla2[Corregimiento],"NA")</f>
        <v>El Carmen</v>
      </c>
      <c r="H95" s="167">
        <f>_xlfn.XLOOKUP(Tabla3[[#This Row],[LUGAR ENVÍO]],Tabla9[[Nombre ]],Tabla9[Distancia],"NA")</f>
        <v>2.0919999999999992</v>
      </c>
      <c r="I95" s="68">
        <f>Tabla3[[#This Row],[Valor Tran]]/(Tabla3[[#This Row],[DISTANCIA (km)]]*2)</f>
        <v>3585.086042065011</v>
      </c>
      <c r="J95" s="5"/>
      <c r="K95" s="3">
        <v>1</v>
      </c>
      <c r="L95" s="16">
        <v>15000</v>
      </c>
      <c r="M95" s="16">
        <f>Tabla3[[#This Row],[VLR. TRANSPORTE]]/Tabla3[[#This Row],[Numero de Transportes]]</f>
        <v>15000</v>
      </c>
      <c r="N95" s="15">
        <v>189000</v>
      </c>
      <c r="O95" s="15">
        <f>Tabla3[[#This Row],[VLR. TOTAL FACT.]]-Tabla3[[#This Row],[VLR. TRANSPORTE]]</f>
        <v>174000</v>
      </c>
      <c r="P95" s="3">
        <v>0</v>
      </c>
      <c r="Q95" s="3" t="s">
        <v>96</v>
      </c>
    </row>
    <row r="96" spans="1:17" ht="27.6" hidden="1" thickBot="1" x14ac:dyDescent="0.35">
      <c r="A96" s="12">
        <v>59175</v>
      </c>
      <c r="B96" s="13">
        <v>45969</v>
      </c>
      <c r="C96" s="12" t="s">
        <v>94</v>
      </c>
      <c r="D96" s="12" t="s">
        <v>327</v>
      </c>
      <c r="E96" s="175" t="s">
        <v>508</v>
      </c>
      <c r="F96" s="12">
        <v>4</v>
      </c>
      <c r="G96" s="12" t="str">
        <f>_xlfn.XLOOKUP(Tabla3[[#This Row],[ID]],Tabla2[ID],Tabla2[Corregimiento],"NA")</f>
        <v>El Carmen</v>
      </c>
      <c r="H96" s="167">
        <f>_xlfn.XLOOKUP(Tabla3[[#This Row],[LUGAR ENVÍO]],Tabla9[[Nombre ]],Tabla9[Distancia],"NA")</f>
        <v>2.0919999999999992</v>
      </c>
      <c r="I96" s="67">
        <f>Tabla3[[#This Row],[Valor Tran]]/(Tabla3[[#This Row],[DISTANCIA (km)]]*2)</f>
        <v>9560.2294455066967</v>
      </c>
      <c r="J96" s="14"/>
      <c r="K96" s="12">
        <v>1</v>
      </c>
      <c r="L96" s="15">
        <v>40000</v>
      </c>
      <c r="M96" s="16">
        <f>Tabla3[[#This Row],[VLR. TRANSPORTE]]/Tabla3[[#This Row],[Numero de Transportes]]</f>
        <v>40000</v>
      </c>
      <c r="N96" s="16">
        <v>280000</v>
      </c>
      <c r="O96" s="15">
        <f>Tabla3[[#This Row],[VLR. TOTAL FACT.]]-Tabla3[[#This Row],[VLR. TRANSPORTE]]</f>
        <v>240000</v>
      </c>
      <c r="P96" s="12">
        <v>0</v>
      </c>
      <c r="Q96" s="12" t="s">
        <v>100</v>
      </c>
    </row>
    <row r="97" spans="1:17" ht="27.6" hidden="1" thickBot="1" x14ac:dyDescent="0.35">
      <c r="A97" s="3">
        <v>58549</v>
      </c>
      <c r="B97" s="4">
        <v>45978</v>
      </c>
      <c r="C97" s="3" t="s">
        <v>94</v>
      </c>
      <c r="D97" s="3" t="s">
        <v>264</v>
      </c>
      <c r="E97" s="171" t="s">
        <v>508</v>
      </c>
      <c r="F97" s="3">
        <v>4</v>
      </c>
      <c r="G97" s="3" t="str">
        <f>_xlfn.XLOOKUP(Tabla3[[#This Row],[ID]],Tabla2[ID],Tabla2[Corregimiento],"NA")</f>
        <v>El Carmen</v>
      </c>
      <c r="H97" s="167">
        <f>_xlfn.XLOOKUP(Tabla3[[#This Row],[LUGAR ENVÍO]],Tabla9[[Nombre ]],Tabla9[Distancia],"NA")</f>
        <v>2.0919999999999992</v>
      </c>
      <c r="I97" s="68">
        <f>Tabla3[[#This Row],[Valor Tran]]/(Tabla3[[#This Row],[DISTANCIA (km)]]*2)</f>
        <v>11950.28680688337</v>
      </c>
      <c r="J97" s="5"/>
      <c r="K97" s="3">
        <v>1</v>
      </c>
      <c r="L97" s="15">
        <v>50000</v>
      </c>
      <c r="M97" s="15">
        <f>Tabla3[[#This Row],[VLR. TRANSPORTE]]/Tabla3[[#This Row],[Numero de Transportes]]</f>
        <v>50000</v>
      </c>
      <c r="N97" s="15">
        <v>1794500</v>
      </c>
      <c r="O97" s="15">
        <f>Tabla3[[#This Row],[VLR. TOTAL FACT.]]-Tabla3[[#This Row],[VLR. TRANSPORTE]]</f>
        <v>1744500</v>
      </c>
      <c r="P97" s="3">
        <v>1</v>
      </c>
      <c r="Q97" s="3" t="s">
        <v>120</v>
      </c>
    </row>
    <row r="98" spans="1:17" ht="15" hidden="1" thickBot="1" x14ac:dyDescent="0.35">
      <c r="A98" s="12">
        <v>58718</v>
      </c>
      <c r="B98" s="185">
        <v>46003</v>
      </c>
      <c r="C98" s="12" t="s">
        <v>94</v>
      </c>
      <c r="D98" s="12" t="s">
        <v>224</v>
      </c>
      <c r="E98" s="188" t="s">
        <v>508</v>
      </c>
      <c r="F98" s="12">
        <v>4</v>
      </c>
      <c r="G98" s="12" t="str">
        <f>_xlfn.XLOOKUP(Tabla3[[#This Row],[ID]],Tabla2[ID],Tabla2[Corregimiento],"NA")</f>
        <v>El Carmen</v>
      </c>
      <c r="H98" s="167">
        <f>_xlfn.XLOOKUP(Tabla3[[#This Row],[LUGAR ENVÍO]],Tabla9[[Nombre ]],Tabla9[Distancia],"NA")</f>
        <v>2.0919999999999992</v>
      </c>
      <c r="I98" s="67">
        <f>Tabla3[[#This Row],[Valor Tran]]/(Tabla3[[#This Row],[DISTANCIA (km)]]*2)</f>
        <v>7170.1720841300221</v>
      </c>
      <c r="J98" s="14"/>
      <c r="K98" s="12">
        <v>2</v>
      </c>
      <c r="L98" s="15">
        <v>60000</v>
      </c>
      <c r="M98" s="16">
        <f>Tabla3[[#This Row],[VLR. TRANSPORTE]]/Tabla3[[#This Row],[Numero de Transportes]]</f>
        <v>30000</v>
      </c>
      <c r="N98" s="16">
        <v>3563000</v>
      </c>
      <c r="O98" s="15">
        <f>Tabla3[[#This Row],[VLR. TOTAL FACT.]]-Tabla3[[#This Row],[VLR. TRANSPORTE]]</f>
        <v>3503000</v>
      </c>
      <c r="P98" s="12">
        <v>1</v>
      </c>
      <c r="Q98" s="12" t="s">
        <v>96</v>
      </c>
    </row>
    <row r="99" spans="1:17" ht="27.6" hidden="1" thickBot="1" x14ac:dyDescent="0.35">
      <c r="A99" s="147">
        <v>50413</v>
      </c>
      <c r="B99" s="149" t="s">
        <v>630</v>
      </c>
      <c r="C99" s="147" t="s">
        <v>94</v>
      </c>
      <c r="D99" s="147" t="s">
        <v>626</v>
      </c>
      <c r="E99" s="147" t="s">
        <v>508</v>
      </c>
      <c r="F99" s="147">
        <v>4</v>
      </c>
      <c r="G99" s="3" t="str">
        <f>_xlfn.XLOOKUP(Tabla3[[#This Row],[ID]],Tabla2[ID],Tabla2[Corregimiento],"NA")</f>
        <v>El Carmen</v>
      </c>
      <c r="H99" s="167">
        <f>_xlfn.XLOOKUP(Tabla3[[#This Row],[LUGAR ENVÍO]],Tabla9[[Nombre ]],Tabla9[Distancia],"NA")</f>
        <v>2.0919999999999992</v>
      </c>
      <c r="I99" s="68">
        <f>Tabla3[[#This Row],[Valor Tran]]/(Tabla3[[#This Row],[DISTANCIA (km)]]*2)</f>
        <v>13145.315487571706</v>
      </c>
      <c r="J99" s="151"/>
      <c r="K99" s="147">
        <v>1</v>
      </c>
      <c r="L99" s="153">
        <v>55000</v>
      </c>
      <c r="M99" s="153">
        <v>55000</v>
      </c>
      <c r="N99" s="153">
        <v>4103000</v>
      </c>
      <c r="O99" s="15">
        <f>Tabla3[[#This Row],[VLR. TOTAL FACT.]]-Tabla3[[#This Row],[VLR. TRANSPORTE]]</f>
        <v>4048000</v>
      </c>
      <c r="P99" s="147">
        <v>1</v>
      </c>
      <c r="Q99" s="147" t="s">
        <v>100</v>
      </c>
    </row>
    <row r="100" spans="1:17" s="59" customFormat="1" ht="15" hidden="1" thickBot="1" x14ac:dyDescent="0.35">
      <c r="A100" s="12">
        <v>30710</v>
      </c>
      <c r="B100" s="13">
        <v>45986</v>
      </c>
      <c r="C100" s="12" t="s">
        <v>101</v>
      </c>
      <c r="D100" s="12" t="s">
        <v>155</v>
      </c>
      <c r="E100" s="175" t="s">
        <v>508</v>
      </c>
      <c r="F100" s="12">
        <v>4</v>
      </c>
      <c r="G100" s="12" t="str">
        <f>_xlfn.XLOOKUP(Tabla3[[#This Row],[ID]],Tabla2[ID],Tabla2[Corregimiento],"NA")</f>
        <v>El Carmen</v>
      </c>
      <c r="H100" s="167">
        <f>_xlfn.XLOOKUP(Tabla3[[#This Row],[LUGAR ENVÍO]],Tabla9[[Nombre ]],Tabla9[Distancia],"NA")</f>
        <v>2.0919999999999992</v>
      </c>
      <c r="I100" s="67">
        <f>Tabla3[[#This Row],[Valor Tran]]/(Tabla3[[#This Row],[DISTANCIA (km)]]*2)</f>
        <v>4780.1147227533484</v>
      </c>
      <c r="J100" s="14"/>
      <c r="K100" s="12">
        <v>2</v>
      </c>
      <c r="L100" s="15">
        <v>40000</v>
      </c>
      <c r="M100" s="16">
        <f>Tabla3[[#This Row],[VLR. TRANSPORTE]]/Tabla3[[#This Row],[Numero de Transportes]]</f>
        <v>20000</v>
      </c>
      <c r="N100" s="16">
        <v>5045600</v>
      </c>
      <c r="O100" s="15">
        <f>Tabla3[[#This Row],[VLR. TOTAL FACT.]]-Tabla3[[#This Row],[VLR. TRANSPORTE]]</f>
        <v>5005600</v>
      </c>
      <c r="P100" s="12">
        <v>1</v>
      </c>
      <c r="Q100" s="12" t="s">
        <v>100</v>
      </c>
    </row>
    <row r="101" spans="1:17" ht="15" hidden="1" thickBot="1" x14ac:dyDescent="0.35">
      <c r="A101" s="3">
        <v>30574</v>
      </c>
      <c r="B101" s="4">
        <v>45980</v>
      </c>
      <c r="C101" s="3" t="s">
        <v>94</v>
      </c>
      <c r="D101" s="3" t="s">
        <v>291</v>
      </c>
      <c r="E101" s="172" t="s">
        <v>664</v>
      </c>
      <c r="F101" s="3">
        <v>4</v>
      </c>
      <c r="G101" s="3" t="str">
        <f>_xlfn.XLOOKUP(Tabla3[[#This Row],[ID]],Tabla2[ID],Tabla2[Corregimiento],"NA")</f>
        <v>El Carmen</v>
      </c>
      <c r="H101" s="167">
        <f>_xlfn.XLOOKUP(Tabla3[[#This Row],[LUGAR ENVÍO]],Tabla9[[Nombre ]],Tabla9[Distancia],"NA")</f>
        <v>3.5070000000000001</v>
      </c>
      <c r="I101" s="68">
        <f>Tabla3[[#This Row],[Valor Tran]]/(Tabla3[[#This Row],[DISTANCIA (km)]]*2)</f>
        <v>2851.43997718848</v>
      </c>
      <c r="J101" s="5"/>
      <c r="K101" s="3">
        <v>1</v>
      </c>
      <c r="L101" s="15">
        <v>20000</v>
      </c>
      <c r="M101" s="15">
        <f>Tabla3[[#This Row],[VLR. TRANSPORTE]]/Tabla3[[#This Row],[Numero de Transportes]]</f>
        <v>20000</v>
      </c>
      <c r="N101" s="15">
        <v>240000</v>
      </c>
      <c r="O101" s="15">
        <f>Tabla3[[#This Row],[VLR. TOTAL FACT.]]-Tabla3[[#This Row],[VLR. TRANSPORTE]]</f>
        <v>220000</v>
      </c>
      <c r="P101" s="3">
        <v>0</v>
      </c>
      <c r="Q101" s="3" t="s">
        <v>254</v>
      </c>
    </row>
    <row r="102" spans="1:17" ht="15" hidden="1" thickBot="1" x14ac:dyDescent="0.35">
      <c r="A102" s="12">
        <v>58619</v>
      </c>
      <c r="B102" s="184">
        <v>45988</v>
      </c>
      <c r="C102" s="12" t="s">
        <v>94</v>
      </c>
      <c r="D102" s="12" t="s">
        <v>139</v>
      </c>
      <c r="E102" s="12" t="s">
        <v>664</v>
      </c>
      <c r="F102" s="12">
        <v>4</v>
      </c>
      <c r="G102" s="12" t="str">
        <f>_xlfn.XLOOKUP(Tabla3[[#This Row],[ID]],Tabla2[ID],Tabla2[Corregimiento],"NA")</f>
        <v>El Carmen</v>
      </c>
      <c r="H102" s="167">
        <f>_xlfn.XLOOKUP(Tabla3[[#This Row],[LUGAR ENVÍO]],Tabla9[[Nombre ]],Tabla9[Distancia],"NA")</f>
        <v>3.5070000000000001</v>
      </c>
      <c r="I102" s="67">
        <f>Tabla3[[#This Row],[Valor Tran]]/(Tabla3[[#This Row],[DISTANCIA (km)]]*2)</f>
        <v>2851.43997718848</v>
      </c>
      <c r="J102" s="14"/>
      <c r="K102" s="12">
        <v>1</v>
      </c>
      <c r="L102" s="15">
        <v>20000</v>
      </c>
      <c r="M102" s="16">
        <f>Tabla3[[#This Row],[VLR. TRANSPORTE]]/Tabla3[[#This Row],[Numero de Transportes]]</f>
        <v>20000</v>
      </c>
      <c r="N102" s="16">
        <v>392000</v>
      </c>
      <c r="O102" s="15">
        <f>Tabla3[[#This Row],[VLR. TOTAL FACT.]]-Tabla3[[#This Row],[VLR. TRANSPORTE]]</f>
        <v>372000</v>
      </c>
      <c r="P102" s="12">
        <v>1</v>
      </c>
      <c r="Q102" s="12" t="s">
        <v>120</v>
      </c>
    </row>
    <row r="103" spans="1:17" s="59" customFormat="1" ht="15" hidden="1" thickBot="1" x14ac:dyDescent="0.35">
      <c r="A103" s="93">
        <v>58517</v>
      </c>
      <c r="B103" s="98">
        <v>45976</v>
      </c>
      <c r="C103" s="93" t="s">
        <v>94</v>
      </c>
      <c r="D103" s="93" t="s">
        <v>224</v>
      </c>
      <c r="E103" s="189" t="s">
        <v>664</v>
      </c>
      <c r="F103" s="93">
        <v>4</v>
      </c>
      <c r="G103" s="93" t="str">
        <f>_xlfn.XLOOKUP(Tabla3[[#This Row],[ID]],Tabla2[ID],Tabla2[Corregimiento],"NA")</f>
        <v>El Carmen</v>
      </c>
      <c r="H103" s="167">
        <f>_xlfn.XLOOKUP(Tabla3[[#This Row],[LUGAR ENVÍO]],Tabla9[[Nombre ]],Tabla9[Distancia],"NA")</f>
        <v>3.5070000000000001</v>
      </c>
      <c r="I103" s="101">
        <f>Tabla3[[#This Row],[Valor Tran]]/(Tabla3[[#This Row],[DISTANCIA (km)]]*2)</f>
        <v>4277.1599657827201</v>
      </c>
      <c r="J103" s="99"/>
      <c r="K103" s="93">
        <v>1</v>
      </c>
      <c r="L103" s="96">
        <v>30000</v>
      </c>
      <c r="M103" s="96">
        <f>Tabla3[[#This Row],[VLR. TRANSPORTE]]/Tabla3[[#This Row],[Numero de Transportes]]</f>
        <v>30000</v>
      </c>
      <c r="N103" s="96">
        <v>408500</v>
      </c>
      <c r="O103" s="96">
        <f>Tabla3[[#This Row],[VLR. TOTAL FACT.]]-Tabla3[[#This Row],[VLR. TRANSPORTE]]</f>
        <v>378500</v>
      </c>
      <c r="P103" s="93">
        <v>0</v>
      </c>
      <c r="Q103" s="93" t="s">
        <v>96</v>
      </c>
    </row>
    <row r="104" spans="1:17" ht="15" hidden="1" thickBot="1" x14ac:dyDescent="0.35">
      <c r="A104" s="12">
        <v>59071</v>
      </c>
      <c r="B104" s="13">
        <v>45987</v>
      </c>
      <c r="C104" s="12" t="s">
        <v>94</v>
      </c>
      <c r="D104" s="12" t="s">
        <v>291</v>
      </c>
      <c r="E104" s="12" t="s">
        <v>664</v>
      </c>
      <c r="F104" s="12">
        <v>4</v>
      </c>
      <c r="G104" s="12" t="str">
        <f>_xlfn.XLOOKUP(Tabla3[[#This Row],[ID]],Tabla2[ID],Tabla2[Corregimiento],"NA")</f>
        <v>El Carmen</v>
      </c>
      <c r="H104" s="167">
        <f>_xlfn.XLOOKUP(Tabla3[[#This Row],[LUGAR ENVÍO]],Tabla9[[Nombre ]],Tabla9[Distancia],"NA")</f>
        <v>3.5070000000000001</v>
      </c>
      <c r="I104" s="67">
        <f>Tabla3[[#This Row],[Valor Tran]]/(Tabla3[[#This Row],[DISTANCIA (km)]]*2)</f>
        <v>7128.5999429712001</v>
      </c>
      <c r="J104" s="14"/>
      <c r="K104" s="12">
        <v>1</v>
      </c>
      <c r="L104" s="16">
        <v>50000</v>
      </c>
      <c r="M104" s="16">
        <f>Tabla3[[#This Row],[VLR. TRANSPORTE]]/Tabla3[[#This Row],[Numero de Transportes]]</f>
        <v>50000</v>
      </c>
      <c r="N104" s="16">
        <v>660000</v>
      </c>
      <c r="O104" s="15">
        <f>Tabla3[[#This Row],[VLR. TOTAL FACT.]]-Tabla3[[#This Row],[VLR. TRANSPORTE]]</f>
        <v>610000</v>
      </c>
      <c r="P104" s="12">
        <v>0</v>
      </c>
      <c r="Q104" s="12" t="s">
        <v>251</v>
      </c>
    </row>
    <row r="105" spans="1:17" s="59" customFormat="1" ht="15" hidden="1" thickBot="1" x14ac:dyDescent="0.35">
      <c r="A105" s="3">
        <v>48216</v>
      </c>
      <c r="B105" s="4">
        <v>45981</v>
      </c>
      <c r="C105" s="3" t="s">
        <v>94</v>
      </c>
      <c r="D105" s="3" t="s">
        <v>130</v>
      </c>
      <c r="E105" s="172" t="s">
        <v>664</v>
      </c>
      <c r="F105" s="3">
        <v>4</v>
      </c>
      <c r="G105" s="3" t="str">
        <f>_xlfn.XLOOKUP(Tabla3[[#This Row],[ID]],Tabla2[ID],Tabla2[Corregimiento],"NA")</f>
        <v>El Carmen</v>
      </c>
      <c r="H105" s="167">
        <f>_xlfn.XLOOKUP(Tabla3[[#This Row],[LUGAR ENVÍO]],Tabla9[[Nombre ]],Tabla9[Distancia],"NA")</f>
        <v>3.5070000000000001</v>
      </c>
      <c r="I105" s="68">
        <f>Tabla3[[#This Row],[Valor Tran]]/(Tabla3[[#This Row],[DISTANCIA (km)]]*2)</f>
        <v>4277.1599657827201</v>
      </c>
      <c r="J105" s="5"/>
      <c r="K105" s="3">
        <v>1</v>
      </c>
      <c r="L105" s="15">
        <v>30000</v>
      </c>
      <c r="M105" s="15">
        <f>Tabla3[[#This Row],[VLR. TRANSPORTE]]/Tabla3[[#This Row],[Numero de Transportes]]</f>
        <v>30000</v>
      </c>
      <c r="N105" s="15">
        <v>660000</v>
      </c>
      <c r="O105" s="15">
        <f>Tabla3[[#This Row],[VLR. TOTAL FACT.]]-Tabla3[[#This Row],[VLR. TRANSPORTE]]</f>
        <v>630000</v>
      </c>
      <c r="P105" s="3">
        <v>1</v>
      </c>
      <c r="Q105" s="3" t="s">
        <v>96</v>
      </c>
    </row>
    <row r="106" spans="1:17" ht="15" hidden="1" thickBot="1" x14ac:dyDescent="0.35">
      <c r="A106" s="12">
        <v>59184</v>
      </c>
      <c r="B106" s="13">
        <v>45989</v>
      </c>
      <c r="C106" s="12" t="s">
        <v>94</v>
      </c>
      <c r="D106" s="12" t="s">
        <v>323</v>
      </c>
      <c r="E106" s="12" t="s">
        <v>689</v>
      </c>
      <c r="F106" s="12">
        <v>4</v>
      </c>
      <c r="G106" s="12" t="str">
        <f>_xlfn.XLOOKUP(Tabla3[[#This Row],[ID]],Tabla2[ID],Tabla2[Corregimiento],"NA")</f>
        <v>El Carmen</v>
      </c>
      <c r="H106" s="167">
        <f>_xlfn.XLOOKUP(Tabla3[[#This Row],[LUGAR ENVÍO]],Tabla9[[Nombre ]],Tabla9[Distancia],"NA")</f>
        <v>2.1290000000000004</v>
      </c>
      <c r="I106" s="67">
        <f>Tabla3[[#This Row],[Valor Tran]]/(Tabla3[[#This Row],[DISTANCIA (km)]]*2)</f>
        <v>9394.0817285110352</v>
      </c>
      <c r="J106" s="14"/>
      <c r="K106" s="12">
        <v>1</v>
      </c>
      <c r="L106" s="16">
        <v>40000</v>
      </c>
      <c r="M106" s="16">
        <f>Tabla3[[#This Row],[VLR. TRANSPORTE]]/Tabla3[[#This Row],[Numero de Transportes]]</f>
        <v>40000</v>
      </c>
      <c r="N106" s="16">
        <v>1699000</v>
      </c>
      <c r="O106" s="15">
        <f>Tabla3[[#This Row],[VLR. TOTAL FACT.]]-Tabla3[[#This Row],[VLR. TRANSPORTE]]</f>
        <v>1659000</v>
      </c>
      <c r="P106" s="12">
        <v>0</v>
      </c>
      <c r="Q106" s="12" t="s">
        <v>100</v>
      </c>
    </row>
    <row r="107" spans="1:17" ht="15" thickBot="1" x14ac:dyDescent="0.35">
      <c r="A107" s="93">
        <v>48374</v>
      </c>
      <c r="B107" s="98">
        <v>45983</v>
      </c>
      <c r="C107" s="93" t="s">
        <v>94</v>
      </c>
      <c r="D107" s="93" t="s">
        <v>116</v>
      </c>
      <c r="E107" s="174" t="s">
        <v>495</v>
      </c>
      <c r="F107" s="93">
        <v>2</v>
      </c>
      <c r="G107" s="93" t="str">
        <f>_xlfn.XLOOKUP(Tabla3[[#This Row],[ID]],Tabla2[ID],Tabla2[Corregimiento],"NA")</f>
        <v>Borrero Ayerbe</v>
      </c>
      <c r="H107" s="167">
        <f>_xlfn.XLOOKUP(Tabla3[[#This Row],[LUGAR ENVÍO]],Tabla9[[Nombre ]],Tabla9[Distancia],"NA")</f>
        <v>1.087</v>
      </c>
      <c r="I107" s="100">
        <f>Tabla3[[#This Row],[Valor Tran]]/(Tabla3[[#This Row],[DISTANCIA (km)]]*2)</f>
        <v>13799.448022079117</v>
      </c>
      <c r="J107" s="99"/>
      <c r="K107" s="93">
        <v>1</v>
      </c>
      <c r="L107" s="96">
        <v>30000</v>
      </c>
      <c r="M107" s="96">
        <f>Tabla3[[#This Row],[VLR. TRANSPORTE]]/Tabla3[[#This Row],[Numero de Transportes]]</f>
        <v>30000</v>
      </c>
      <c r="N107" s="96">
        <v>215400</v>
      </c>
      <c r="O107" s="96">
        <f>Tabla3[[#This Row],[VLR. TOTAL FACT.]]-Tabla3[[#This Row],[VLR. TRANSPORTE]]</f>
        <v>185400</v>
      </c>
      <c r="P107" s="93">
        <v>1</v>
      </c>
      <c r="Q107" s="93" t="s">
        <v>112</v>
      </c>
    </row>
    <row r="108" spans="1:17" ht="15" thickBot="1" x14ac:dyDescent="0.35">
      <c r="A108" s="12">
        <v>47609</v>
      </c>
      <c r="B108" s="13">
        <v>45974</v>
      </c>
      <c r="C108" s="12" t="s">
        <v>94</v>
      </c>
      <c r="D108" s="12" t="s">
        <v>228</v>
      </c>
      <c r="E108" s="175" t="s">
        <v>495</v>
      </c>
      <c r="F108" s="12">
        <v>2</v>
      </c>
      <c r="G108" s="12" t="str">
        <f>_xlfn.XLOOKUP(Tabla3[[#This Row],[ID]],Tabla2[ID],Tabla2[Corregimiento],"NA")</f>
        <v>Borrero Ayerbe</v>
      </c>
      <c r="H108" s="167">
        <f>_xlfn.XLOOKUP(Tabla3[[#This Row],[LUGAR ENVÍO]],Tabla9[[Nombre ]],Tabla9[Distancia],"NA")</f>
        <v>1.087</v>
      </c>
      <c r="I108" s="67">
        <f>Tabla3[[#This Row],[Valor Tran]]/(Tabla3[[#This Row],[DISTANCIA (km)]]*2)</f>
        <v>6899.7240110395587</v>
      </c>
      <c r="J108" s="14"/>
      <c r="K108" s="12">
        <v>1</v>
      </c>
      <c r="L108" s="16">
        <v>15000</v>
      </c>
      <c r="M108" s="16">
        <f>Tabla3[[#This Row],[VLR. TRANSPORTE]]/Tabla3[[#This Row],[Numero de Transportes]]</f>
        <v>15000</v>
      </c>
      <c r="N108" s="16">
        <v>300000</v>
      </c>
      <c r="O108" s="15">
        <f>Tabla3[[#This Row],[VLR. TOTAL FACT.]]-Tabla3[[#This Row],[VLR. TRANSPORTE]]</f>
        <v>285000</v>
      </c>
      <c r="P108" s="12">
        <v>0</v>
      </c>
      <c r="Q108" s="12" t="s">
        <v>120</v>
      </c>
    </row>
    <row r="109" spans="1:17" ht="15" thickBot="1" x14ac:dyDescent="0.35">
      <c r="A109" s="3">
        <v>58886</v>
      </c>
      <c r="B109" s="184">
        <v>45984</v>
      </c>
      <c r="C109" s="3" t="s">
        <v>94</v>
      </c>
      <c r="D109" s="3" t="s">
        <v>207</v>
      </c>
      <c r="E109" s="173" t="s">
        <v>495</v>
      </c>
      <c r="F109" s="3">
        <v>2</v>
      </c>
      <c r="G109" s="3" t="str">
        <f>_xlfn.XLOOKUP(Tabla3[[#This Row],[ID]],Tabla2[ID],Tabla2[Corregimiento],"NA")</f>
        <v>Borrero Ayerbe</v>
      </c>
      <c r="H109" s="167">
        <f>_xlfn.XLOOKUP(Tabla3[[#This Row],[LUGAR ENVÍO]],Tabla9[[Nombre ]],Tabla9[Distancia],"NA")</f>
        <v>1.087</v>
      </c>
      <c r="I109" s="68">
        <f>Tabla3[[#This Row],[Valor Tran]]/(Tabla3[[#This Row],[DISTANCIA (km)]]*2)</f>
        <v>22999.080036798528</v>
      </c>
      <c r="J109" s="5"/>
      <c r="K109" s="3">
        <v>1</v>
      </c>
      <c r="L109" s="15">
        <v>50000</v>
      </c>
      <c r="M109" s="15">
        <f>Tabla3[[#This Row],[VLR. TRANSPORTE]]/Tabla3[[#This Row],[Numero de Transportes]]</f>
        <v>50000</v>
      </c>
      <c r="N109" s="15">
        <v>728000</v>
      </c>
      <c r="O109" s="15">
        <f>Tabla3[[#This Row],[VLR. TOTAL FACT.]]-Tabla3[[#This Row],[VLR. TRANSPORTE]]</f>
        <v>678000</v>
      </c>
      <c r="P109" s="3">
        <v>1</v>
      </c>
      <c r="Q109" s="3" t="s">
        <v>96</v>
      </c>
    </row>
    <row r="110" spans="1:17" s="59" customFormat="1" ht="15" thickBot="1" x14ac:dyDescent="0.35">
      <c r="A110" s="12">
        <v>58727</v>
      </c>
      <c r="B110" s="185">
        <v>46001</v>
      </c>
      <c r="C110" s="12" t="s">
        <v>94</v>
      </c>
      <c r="D110" s="12" t="s">
        <v>151</v>
      </c>
      <c r="E110" s="12" t="s">
        <v>495</v>
      </c>
      <c r="F110" s="12">
        <v>2</v>
      </c>
      <c r="G110" s="12" t="str">
        <f>_xlfn.XLOOKUP(Tabla3[[#This Row],[ID]],Tabla2[ID],Tabla2[Corregimiento],"NA")</f>
        <v>Borrero Ayerbe</v>
      </c>
      <c r="H110" s="167">
        <f>_xlfn.XLOOKUP(Tabla3[[#This Row],[LUGAR ENVÍO]],Tabla9[[Nombre ]],Tabla9[Distancia],"NA")</f>
        <v>1.087</v>
      </c>
      <c r="I110" s="67">
        <f>Tabla3[[#This Row],[Valor Tran]]/(Tabla3[[#This Row],[DISTANCIA (km)]]*2)</f>
        <v>22999.080036798528</v>
      </c>
      <c r="J110" s="14"/>
      <c r="K110" s="12">
        <v>1</v>
      </c>
      <c r="L110" s="15">
        <v>50000</v>
      </c>
      <c r="M110" s="16">
        <f>Tabla3[[#This Row],[VLR. TRANSPORTE]]/Tabla3[[#This Row],[Numero de Transportes]]</f>
        <v>50000</v>
      </c>
      <c r="N110" s="16">
        <v>1940000</v>
      </c>
      <c r="O110" s="15">
        <f>Tabla3[[#This Row],[VLR. TOTAL FACT.]]-Tabla3[[#This Row],[VLR. TRANSPORTE]]</f>
        <v>1890000</v>
      </c>
      <c r="P110" s="12">
        <v>1</v>
      </c>
      <c r="Q110" s="12" t="s">
        <v>120</v>
      </c>
    </row>
    <row r="111" spans="1:17" s="59" customFormat="1" ht="27.6" thickBot="1" x14ac:dyDescent="0.35">
      <c r="A111" s="3">
        <v>57979</v>
      </c>
      <c r="B111" s="4">
        <v>45974</v>
      </c>
      <c r="C111" s="3" t="s">
        <v>101</v>
      </c>
      <c r="D111" s="3" t="s">
        <v>234</v>
      </c>
      <c r="E111" s="171" t="s">
        <v>496</v>
      </c>
      <c r="F111" s="3">
        <v>2</v>
      </c>
      <c r="G111" s="3" t="str">
        <f>_xlfn.XLOOKUP(Tabla3[[#This Row],[ID]],Tabla2[ID],Tabla2[Corregimiento],"NA")</f>
        <v>Borrero Ayerbe</v>
      </c>
      <c r="H111" s="167">
        <f>_xlfn.XLOOKUP(Tabla3[[#This Row],[LUGAR ENVÍO]],Tabla9[[Nombre ]],Tabla9[Distancia],"NA")</f>
        <v>1.2480000000000002</v>
      </c>
      <c r="I111" s="68">
        <f>Tabla3[[#This Row],[Valor Tran]]/(Tabla3[[#This Row],[DISTANCIA (km)]]*2)</f>
        <v>6009.6153846153838</v>
      </c>
      <c r="J111" s="5"/>
      <c r="K111" s="3">
        <v>1</v>
      </c>
      <c r="L111" s="15">
        <v>15000</v>
      </c>
      <c r="M111" s="15">
        <f>Tabla3[[#This Row],[VLR. TRANSPORTE]]/Tabla3[[#This Row],[Numero de Transportes]]</f>
        <v>15000</v>
      </c>
      <c r="N111" s="15">
        <v>377800</v>
      </c>
      <c r="O111" s="15">
        <f>Tabla3[[#This Row],[VLR. TOTAL FACT.]]-Tabla3[[#This Row],[VLR. TRANSPORTE]]</f>
        <v>362800</v>
      </c>
      <c r="P111" s="3">
        <v>0</v>
      </c>
      <c r="Q111" s="3" t="s">
        <v>100</v>
      </c>
    </row>
    <row r="112" spans="1:17" ht="15" thickBot="1" x14ac:dyDescent="0.35">
      <c r="A112" s="12">
        <v>46982</v>
      </c>
      <c r="B112" s="13">
        <v>45968</v>
      </c>
      <c r="C112" s="12" t="s">
        <v>94</v>
      </c>
      <c r="D112" s="12" t="s">
        <v>110</v>
      </c>
      <c r="E112" s="165" t="s">
        <v>496</v>
      </c>
      <c r="F112" s="12">
        <v>2</v>
      </c>
      <c r="G112" s="12" t="str">
        <f>_xlfn.XLOOKUP(Tabla3[[#This Row],[ID]],Tabla2[ID],Tabla2[Corregimiento],"NA")</f>
        <v>Borrero Ayerbe</v>
      </c>
      <c r="H112" s="167">
        <f>_xlfn.XLOOKUP(Tabla3[[#This Row],[LUGAR ENVÍO]],Tabla9[[Nombre ]],Tabla9[Distancia],"NA")</f>
        <v>1.2480000000000002</v>
      </c>
      <c r="I112" s="67">
        <f>Tabla3[[#This Row],[Valor Tran]]/(Tabla3[[#This Row],[DISTANCIA (km)]]*2)</f>
        <v>12019.230769230768</v>
      </c>
      <c r="J112" s="14"/>
      <c r="K112" s="12">
        <v>1</v>
      </c>
      <c r="L112" s="16">
        <v>30000</v>
      </c>
      <c r="M112" s="16">
        <f>Tabla3[[#This Row],[VLR. TRANSPORTE]]/Tabla3[[#This Row],[Numero de Transportes]]</f>
        <v>30000</v>
      </c>
      <c r="N112" s="16">
        <v>282500</v>
      </c>
      <c r="O112" s="15">
        <f>Tabla3[[#This Row],[VLR. TOTAL FACT.]]-Tabla3[[#This Row],[VLR. TRANSPORTE]]</f>
        <v>252500</v>
      </c>
      <c r="P112" s="12">
        <v>0</v>
      </c>
      <c r="Q112" s="12" t="s">
        <v>112</v>
      </c>
    </row>
    <row r="113" spans="1:17" ht="27.6" thickBot="1" x14ac:dyDescent="0.35">
      <c r="A113" s="146">
        <v>56967</v>
      </c>
      <c r="B113" s="148" t="s">
        <v>629</v>
      </c>
      <c r="C113" s="146" t="s">
        <v>94</v>
      </c>
      <c r="D113" s="146" t="s">
        <v>636</v>
      </c>
      <c r="E113" s="197" t="s">
        <v>496</v>
      </c>
      <c r="F113" s="146">
        <v>2</v>
      </c>
      <c r="G113" s="3" t="str">
        <f>_xlfn.XLOOKUP(Tabla3[[#This Row],[ID]],Tabla2[ID],Tabla2[Corregimiento],"NA")</f>
        <v>Borrero Ayerbe</v>
      </c>
      <c r="H113" s="167">
        <f>_xlfn.XLOOKUP(Tabla3[[#This Row],[LUGAR ENVÍO]],Tabla9[[Nombre ]],Tabla9[Distancia],"NA")</f>
        <v>1.2480000000000002</v>
      </c>
      <c r="I113" s="68">
        <f>Tabla3[[#This Row],[Valor Tran]]/(Tabla3[[#This Row],[DISTANCIA (km)]]*2)</f>
        <v>16025.641025641024</v>
      </c>
      <c r="J113" s="150"/>
      <c r="K113" s="146">
        <v>1</v>
      </c>
      <c r="L113" s="152">
        <v>40000</v>
      </c>
      <c r="M113" s="152">
        <v>40000</v>
      </c>
      <c r="N113" s="152">
        <v>458500</v>
      </c>
      <c r="O113" s="15">
        <f>Tabla3[[#This Row],[VLR. TOTAL FACT.]]-Tabla3[[#This Row],[VLR. TRANSPORTE]]</f>
        <v>418500</v>
      </c>
      <c r="P113" s="146">
        <v>1</v>
      </c>
      <c r="Q113" s="146" t="s">
        <v>100</v>
      </c>
    </row>
    <row r="114" spans="1:17" ht="15" thickBot="1" x14ac:dyDescent="0.35">
      <c r="A114" s="12">
        <v>48256</v>
      </c>
      <c r="B114" s="13">
        <v>45982</v>
      </c>
      <c r="C114" s="12" t="s">
        <v>94</v>
      </c>
      <c r="D114" s="12" t="s">
        <v>139</v>
      </c>
      <c r="E114" s="166" t="s">
        <v>496</v>
      </c>
      <c r="F114" s="12">
        <v>2</v>
      </c>
      <c r="G114" s="12" t="str">
        <f>_xlfn.XLOOKUP(Tabla3[[#This Row],[ID]],Tabla2[ID],Tabla2[Corregimiento],"NA")</f>
        <v>Borrero Ayerbe</v>
      </c>
      <c r="H114" s="167">
        <f>_xlfn.XLOOKUP(Tabla3[[#This Row],[LUGAR ENVÍO]],Tabla9[[Nombre ]],Tabla9[Distancia],"NA")</f>
        <v>1.2480000000000002</v>
      </c>
      <c r="I114" s="67">
        <f>Tabla3[[#This Row],[Valor Tran]]/(Tabla3[[#This Row],[DISTANCIA (km)]]*2)</f>
        <v>16025.641025641024</v>
      </c>
      <c r="J114" s="14"/>
      <c r="K114" s="12">
        <v>1</v>
      </c>
      <c r="L114" s="16">
        <v>40000</v>
      </c>
      <c r="M114" s="16">
        <f>Tabla3[[#This Row],[VLR. TRANSPORTE]]/Tabla3[[#This Row],[Numero de Transportes]]</f>
        <v>40000</v>
      </c>
      <c r="N114" s="16">
        <v>606000</v>
      </c>
      <c r="O114" s="15">
        <f>Tabla3[[#This Row],[VLR. TOTAL FACT.]]-Tabla3[[#This Row],[VLR. TRANSPORTE]]</f>
        <v>566000</v>
      </c>
      <c r="P114" s="12">
        <v>1</v>
      </c>
      <c r="Q114" s="12" t="s">
        <v>96</v>
      </c>
    </row>
    <row r="115" spans="1:17" ht="27.6" thickBot="1" x14ac:dyDescent="0.35">
      <c r="A115" s="146">
        <v>57933</v>
      </c>
      <c r="B115" s="148" t="s">
        <v>621</v>
      </c>
      <c r="C115" s="146" t="s">
        <v>94</v>
      </c>
      <c r="D115" s="146" t="s">
        <v>636</v>
      </c>
      <c r="E115" s="176" t="s">
        <v>496</v>
      </c>
      <c r="F115" s="146">
        <v>2</v>
      </c>
      <c r="G115" s="3" t="str">
        <f>_xlfn.XLOOKUP(Tabla3[[#This Row],[ID]],Tabla2[ID],Tabla2[Corregimiento],"NA")</f>
        <v>Borrero Ayerbe</v>
      </c>
      <c r="H115" s="167">
        <f>_xlfn.XLOOKUP(Tabla3[[#This Row],[LUGAR ENVÍO]],Tabla9[[Nombre ]],Tabla9[Distancia],"NA")</f>
        <v>1.2480000000000002</v>
      </c>
      <c r="I115" s="68">
        <f>Tabla3[[#This Row],[Valor Tran]]/(Tabla3[[#This Row],[DISTANCIA (km)]]*2)</f>
        <v>16025.641025641024</v>
      </c>
      <c r="J115" s="150"/>
      <c r="K115" s="146">
        <v>1</v>
      </c>
      <c r="L115" s="152">
        <v>40000</v>
      </c>
      <c r="M115" s="152">
        <v>40000</v>
      </c>
      <c r="N115" s="152">
        <v>676500</v>
      </c>
      <c r="O115" s="15">
        <f>Tabla3[[#This Row],[VLR. TOTAL FACT.]]-Tabla3[[#This Row],[VLR. TRANSPORTE]]</f>
        <v>636500</v>
      </c>
      <c r="P115" s="146">
        <v>1</v>
      </c>
      <c r="Q115" s="146" t="s">
        <v>100</v>
      </c>
    </row>
    <row r="116" spans="1:17" s="59" customFormat="1" ht="27.6" thickBot="1" x14ac:dyDescent="0.35">
      <c r="A116" s="12">
        <v>58539</v>
      </c>
      <c r="B116" s="13">
        <v>45978</v>
      </c>
      <c r="C116" s="12" t="s">
        <v>94</v>
      </c>
      <c r="D116" s="12" t="s">
        <v>243</v>
      </c>
      <c r="E116" s="165" t="s">
        <v>492</v>
      </c>
      <c r="F116" s="12">
        <v>2</v>
      </c>
      <c r="G116" s="12" t="str">
        <f>_xlfn.XLOOKUP(Tabla3[[#This Row],[ID]],Tabla2[ID],Tabla2[Corregimiento],"NA")</f>
        <v>Borrero Ayerbe</v>
      </c>
      <c r="H116" s="167">
        <f>_xlfn.XLOOKUP(Tabla3[[#This Row],[LUGAR ENVÍO]],Tabla9[[Nombre ]],Tabla9[Distancia],"NA")</f>
        <v>0.94400000000000039</v>
      </c>
      <c r="I116" s="67">
        <f>Tabla3[[#This Row],[Valor Tran]]/(Tabla3[[#This Row],[DISTANCIA (km)]]*2)</f>
        <v>21186.440677966093</v>
      </c>
      <c r="J116" s="14"/>
      <c r="K116" s="12">
        <v>1</v>
      </c>
      <c r="L116" s="15">
        <v>40000</v>
      </c>
      <c r="M116" s="16">
        <f>Tabla3[[#This Row],[VLR. TRANSPORTE]]/Tabla3[[#This Row],[Numero de Transportes]]</f>
        <v>40000</v>
      </c>
      <c r="N116" s="16">
        <v>162000</v>
      </c>
      <c r="O116" s="15">
        <f>Tabla3[[#This Row],[VLR. TOTAL FACT.]]-Tabla3[[#This Row],[VLR. TRANSPORTE]]</f>
        <v>122000</v>
      </c>
      <c r="P116" s="12">
        <v>1</v>
      </c>
      <c r="Q116" s="12" t="s">
        <v>100</v>
      </c>
    </row>
    <row r="117" spans="1:17" ht="27.6" thickBot="1" x14ac:dyDescent="0.35">
      <c r="A117" s="3">
        <v>57923</v>
      </c>
      <c r="B117" s="4">
        <v>45962</v>
      </c>
      <c r="C117" s="3" t="s">
        <v>101</v>
      </c>
      <c r="D117" s="3" t="s">
        <v>243</v>
      </c>
      <c r="E117" s="165" t="s">
        <v>492</v>
      </c>
      <c r="F117" s="3">
        <v>2</v>
      </c>
      <c r="G117" s="3" t="str">
        <f>_xlfn.XLOOKUP(Tabla3[[#This Row],[ID]],Tabla2[ID],Tabla2[Corregimiento],"NA")</f>
        <v>Borrero Ayerbe</v>
      </c>
      <c r="H117" s="167">
        <f>_xlfn.XLOOKUP(Tabla3[[#This Row],[LUGAR ENVÍO]],Tabla9[[Nombre ]],Tabla9[Distancia],"NA")</f>
        <v>0.94400000000000039</v>
      </c>
      <c r="I117" s="68">
        <f>Tabla3[[#This Row],[Valor Tran]]/(Tabla3[[#This Row],[DISTANCIA (km)]]*2)</f>
        <v>21186.440677966093</v>
      </c>
      <c r="J117" s="5"/>
      <c r="K117" s="3">
        <v>1</v>
      </c>
      <c r="L117" s="15">
        <v>40000</v>
      </c>
      <c r="M117" s="15">
        <f>Tabla3[[#This Row],[VLR. TRANSPORTE]]/Tabla3[[#This Row],[Numero de Transportes]]</f>
        <v>40000</v>
      </c>
      <c r="N117" s="15">
        <v>341000</v>
      </c>
      <c r="O117" s="15">
        <f>Tabla3[[#This Row],[VLR. TOTAL FACT.]]-Tabla3[[#This Row],[VLR. TRANSPORTE]]</f>
        <v>301000</v>
      </c>
      <c r="P117" s="3">
        <v>1</v>
      </c>
      <c r="Q117" s="3" t="s">
        <v>100</v>
      </c>
    </row>
    <row r="118" spans="1:17" ht="15" thickBot="1" x14ac:dyDescent="0.35">
      <c r="A118" s="12">
        <v>58656</v>
      </c>
      <c r="B118" s="185">
        <v>46004</v>
      </c>
      <c r="C118" s="12" t="s">
        <v>94</v>
      </c>
      <c r="D118" s="12" t="s">
        <v>110</v>
      </c>
      <c r="E118" s="172" t="s">
        <v>492</v>
      </c>
      <c r="F118" s="12">
        <v>2</v>
      </c>
      <c r="G118" s="12" t="str">
        <f>_xlfn.XLOOKUP(Tabla3[[#This Row],[ID]],Tabla2[ID],Tabla2[Corregimiento],"NA")</f>
        <v>Borrero Ayerbe</v>
      </c>
      <c r="H118" s="167">
        <f>_xlfn.XLOOKUP(Tabla3[[#This Row],[LUGAR ENVÍO]],Tabla9[[Nombre ]],Tabla9[Distancia],"NA")</f>
        <v>0.94400000000000039</v>
      </c>
      <c r="I118" s="67">
        <f>Tabla3[[#This Row],[Valor Tran]]/(Tabla3[[#This Row],[DISTANCIA (km)]]*2)</f>
        <v>15889.83050847457</v>
      </c>
      <c r="J118" s="14"/>
      <c r="K118" s="12">
        <v>3</v>
      </c>
      <c r="L118" s="15">
        <v>90000</v>
      </c>
      <c r="M118" s="16">
        <f>Tabla3[[#This Row],[VLR. TRANSPORTE]]/Tabla3[[#This Row],[Numero de Transportes]]</f>
        <v>30000</v>
      </c>
      <c r="N118" s="16">
        <v>453000</v>
      </c>
      <c r="O118" s="15">
        <f>Tabla3[[#This Row],[VLR. TOTAL FACT.]]-Tabla3[[#This Row],[VLR. TRANSPORTE]]</f>
        <v>363000</v>
      </c>
      <c r="P118" s="12">
        <v>1</v>
      </c>
      <c r="Q118" s="12" t="s">
        <v>100</v>
      </c>
    </row>
    <row r="119" spans="1:17" ht="15" thickBot="1" x14ac:dyDescent="0.35">
      <c r="A119" s="3">
        <v>58771</v>
      </c>
      <c r="B119" s="4">
        <v>45981</v>
      </c>
      <c r="C119" s="3" t="s">
        <v>101</v>
      </c>
      <c r="D119" s="3" t="s">
        <v>129</v>
      </c>
      <c r="E119" s="171" t="s">
        <v>494</v>
      </c>
      <c r="F119" s="3">
        <v>2</v>
      </c>
      <c r="G119" s="3" t="str">
        <f>_xlfn.XLOOKUP(Tabla3[[#This Row],[ID]],Tabla2[ID],Tabla2[Corregimiento],"NA")</f>
        <v>Borrero Ayerbe</v>
      </c>
      <c r="H119" s="167">
        <f>_xlfn.XLOOKUP(Tabla3[[#This Row],[LUGAR ENVÍO]],Tabla9[[Nombre ]],Tabla9[Distancia],"NA")</f>
        <v>0.93500000000000016</v>
      </c>
      <c r="I119" s="68">
        <f>Tabla3[[#This Row],[Valor Tran]]/(Tabla3[[#This Row],[DISTANCIA (km)]]*2)</f>
        <v>16042.780748663099</v>
      </c>
      <c r="J119" s="5"/>
      <c r="K119" s="3">
        <v>1</v>
      </c>
      <c r="L119" s="15">
        <v>30000</v>
      </c>
      <c r="M119" s="15">
        <f>Tabla3[[#This Row],[VLR. TRANSPORTE]]/Tabla3[[#This Row],[Numero de Transportes]]</f>
        <v>30000</v>
      </c>
      <c r="N119" s="15">
        <v>234000</v>
      </c>
      <c r="O119" s="15">
        <f>Tabla3[[#This Row],[VLR. TOTAL FACT.]]-Tabla3[[#This Row],[VLR. TRANSPORTE]]</f>
        <v>204000</v>
      </c>
      <c r="P119" s="3">
        <v>1</v>
      </c>
      <c r="Q119" s="3" t="s">
        <v>100</v>
      </c>
    </row>
    <row r="120" spans="1:17" ht="27.6" thickBot="1" x14ac:dyDescent="0.35">
      <c r="A120" s="186">
        <v>50499</v>
      </c>
      <c r="B120" s="187" t="s">
        <v>657</v>
      </c>
      <c r="C120" s="186" t="s">
        <v>94</v>
      </c>
      <c r="D120" s="186" t="s">
        <v>294</v>
      </c>
      <c r="E120" s="177" t="s">
        <v>494</v>
      </c>
      <c r="F120" s="186">
        <v>2</v>
      </c>
      <c r="G120" s="12" t="str">
        <f>_xlfn.XLOOKUP(Tabla3[[#This Row],[ID]],Tabla2[ID],Tabla2[Corregimiento],"NA")</f>
        <v>Borrero Ayerbe</v>
      </c>
      <c r="H120" s="167">
        <f>_xlfn.XLOOKUP(Tabla3[[#This Row],[LUGAR ENVÍO]],Tabla9[[Nombre ]],Tabla9[Distancia],"NA")</f>
        <v>0.93500000000000016</v>
      </c>
      <c r="I120" s="67">
        <f>Tabla3[[#This Row],[Valor Tran]]/(Tabla3[[#This Row],[DISTANCIA (km)]]*2)</f>
        <v>21390.3743315508</v>
      </c>
      <c r="J120" s="193"/>
      <c r="K120" s="186">
        <v>1</v>
      </c>
      <c r="L120" s="194">
        <v>40000</v>
      </c>
      <c r="M120" s="194">
        <v>40000</v>
      </c>
      <c r="N120" s="194">
        <v>259800</v>
      </c>
      <c r="O120" s="15">
        <f>Tabla3[[#This Row],[VLR. TOTAL FACT.]]-Tabla3[[#This Row],[VLR. TRANSPORTE]]</f>
        <v>219800</v>
      </c>
      <c r="P120" s="186">
        <v>1</v>
      </c>
      <c r="Q120" s="186" t="s">
        <v>100</v>
      </c>
    </row>
    <row r="121" spans="1:17" ht="15" thickBot="1" x14ac:dyDescent="0.35">
      <c r="A121" s="93">
        <v>52272</v>
      </c>
      <c r="B121" s="98">
        <v>45966</v>
      </c>
      <c r="C121" s="93" t="s">
        <v>101</v>
      </c>
      <c r="D121" s="93" t="s">
        <v>121</v>
      </c>
      <c r="E121" s="93" t="s">
        <v>122</v>
      </c>
      <c r="F121" s="93">
        <v>2</v>
      </c>
      <c r="G121" s="93" t="str">
        <f>_xlfn.XLOOKUP(Tabla3[[#This Row],[ID]],Tabla2[ID],Tabla2[Corregimiento],"NA")</f>
        <v>Borrero Ayerbe</v>
      </c>
      <c r="H121" s="167">
        <f>_xlfn.XLOOKUP(Tabla3[[#This Row],[LUGAR ENVÍO]],Tabla9[[Nombre ]],Tabla9[Distancia],"NA")</f>
        <v>1.4669269999999999</v>
      </c>
      <c r="I121" s="101">
        <f>Tabla3[[#This Row],[Valor Tran]]/(Tabla3[[#This Row],[DISTANCIA (km)]]*2)</f>
        <v>6816.9718056863094</v>
      </c>
      <c r="J121" s="99"/>
      <c r="K121" s="93">
        <v>1</v>
      </c>
      <c r="L121" s="96">
        <v>20000</v>
      </c>
      <c r="M121" s="96">
        <f>Tabla3[[#This Row],[VLR. TRANSPORTE]]/Tabla3[[#This Row],[Numero de Transportes]]</f>
        <v>20000</v>
      </c>
      <c r="N121" s="96">
        <v>386650</v>
      </c>
      <c r="O121" s="96">
        <f>Tabla3[[#This Row],[VLR. TOTAL FACT.]]-Tabla3[[#This Row],[VLR. TRANSPORTE]]</f>
        <v>366650</v>
      </c>
      <c r="P121" s="93">
        <v>0</v>
      </c>
      <c r="Q121" s="93" t="s">
        <v>100</v>
      </c>
    </row>
    <row r="122" spans="1:17" ht="27.6" thickBot="1" x14ac:dyDescent="0.35">
      <c r="A122" s="12">
        <v>58857</v>
      </c>
      <c r="B122" s="185">
        <v>45995</v>
      </c>
      <c r="C122" s="12" t="s">
        <v>94</v>
      </c>
      <c r="D122" s="12" t="s">
        <v>334</v>
      </c>
      <c r="E122" s="12" t="s">
        <v>122</v>
      </c>
      <c r="F122" s="12">
        <v>2</v>
      </c>
      <c r="G122" s="12" t="str">
        <f>_xlfn.XLOOKUP(Tabla3[[#This Row],[ID]],Tabla2[ID],Tabla2[Corregimiento],"NA")</f>
        <v>Borrero Ayerbe</v>
      </c>
      <c r="H122" s="167">
        <f>_xlfn.XLOOKUP(Tabla3[[#This Row],[LUGAR ENVÍO]],Tabla9[[Nombre ]],Tabla9[Distancia],"NA")</f>
        <v>1.4669269999999999</v>
      </c>
      <c r="I122" s="67">
        <f>Tabla3[[#This Row],[Valor Tran]]/(Tabla3[[#This Row],[DISTANCIA (km)]]*2)</f>
        <v>13633.943611372619</v>
      </c>
      <c r="J122" s="14"/>
      <c r="K122" s="12">
        <v>3</v>
      </c>
      <c r="L122" s="16">
        <v>120000</v>
      </c>
      <c r="M122" s="16">
        <f>Tabla3[[#This Row],[VLR. TRANSPORTE]]/Tabla3[[#This Row],[Numero de Transportes]]</f>
        <v>40000</v>
      </c>
      <c r="N122" s="16">
        <v>720000</v>
      </c>
      <c r="O122" s="15">
        <f>Tabla3[[#This Row],[VLR. TOTAL FACT.]]-Tabla3[[#This Row],[VLR. TRANSPORTE]]</f>
        <v>600000</v>
      </c>
      <c r="P122" s="12">
        <v>1</v>
      </c>
      <c r="Q122" s="12" t="s">
        <v>96</v>
      </c>
    </row>
    <row r="123" spans="1:17" ht="27.6" thickBot="1" x14ac:dyDescent="0.35">
      <c r="A123" s="3">
        <v>58682</v>
      </c>
      <c r="B123" s="184">
        <v>46006</v>
      </c>
      <c r="C123" s="3" t="s">
        <v>94</v>
      </c>
      <c r="D123" s="3" t="s">
        <v>178</v>
      </c>
      <c r="E123" s="3" t="s">
        <v>122</v>
      </c>
      <c r="F123" s="3">
        <v>2</v>
      </c>
      <c r="G123" s="3" t="str">
        <f>_xlfn.XLOOKUP(Tabla3[[#This Row],[ID]],Tabla2[ID],Tabla2[Corregimiento],"NA")</f>
        <v>Borrero Ayerbe</v>
      </c>
      <c r="H123" s="167">
        <f>_xlfn.XLOOKUP(Tabla3[[#This Row],[LUGAR ENVÍO]],Tabla9[[Nombre ]],Tabla9[Distancia],"NA")</f>
        <v>1.4669269999999999</v>
      </c>
      <c r="I123" s="68">
        <f>Tabla3[[#This Row],[Valor Tran]]/(Tabla3[[#This Row],[DISTANCIA (km)]]*2)</f>
        <v>17042.429514215775</v>
      </c>
      <c r="J123" s="5"/>
      <c r="K123" s="3">
        <v>2</v>
      </c>
      <c r="L123" s="15">
        <v>100000</v>
      </c>
      <c r="M123" s="15">
        <f>Tabla3[[#This Row],[VLR. TRANSPORTE]]/Tabla3[[#This Row],[Numero de Transportes]]</f>
        <v>50000</v>
      </c>
      <c r="N123" s="15">
        <v>806000</v>
      </c>
      <c r="O123" s="15">
        <f>Tabla3[[#This Row],[VLR. TOTAL FACT.]]-Tabla3[[#This Row],[VLR. TRANSPORTE]]</f>
        <v>706000</v>
      </c>
      <c r="P123" s="3">
        <v>1</v>
      </c>
      <c r="Q123" s="3" t="s">
        <v>100</v>
      </c>
    </row>
    <row r="124" spans="1:17" ht="15" thickBot="1" x14ac:dyDescent="0.35">
      <c r="A124" s="12">
        <v>58826</v>
      </c>
      <c r="B124" s="184">
        <v>45985</v>
      </c>
      <c r="C124" s="12" t="s">
        <v>101</v>
      </c>
      <c r="D124" s="12" t="s">
        <v>104</v>
      </c>
      <c r="E124" s="172" t="s">
        <v>122</v>
      </c>
      <c r="F124" s="12">
        <v>2</v>
      </c>
      <c r="G124" s="12" t="str">
        <f>_xlfn.XLOOKUP(Tabla3[[#This Row],[ID]],Tabla2[ID],Tabla2[Corregimiento],"NA")</f>
        <v>Borrero Ayerbe</v>
      </c>
      <c r="H124" s="167">
        <f>_xlfn.XLOOKUP(Tabla3[[#This Row],[LUGAR ENVÍO]],Tabla9[[Nombre ]],Tabla9[Distancia],"NA")</f>
        <v>1.4669269999999999</v>
      </c>
      <c r="I124" s="67">
        <f>Tabla3[[#This Row],[Valor Tran]]/(Tabla3[[#This Row],[DISTANCIA (km)]]*2)</f>
        <v>6816.9718056863094</v>
      </c>
      <c r="J124" s="14"/>
      <c r="K124" s="12">
        <v>2</v>
      </c>
      <c r="L124" s="16">
        <v>40000</v>
      </c>
      <c r="M124" s="16">
        <f>Tabla3[[#This Row],[VLR. TRANSPORTE]]/Tabla3[[#This Row],[Numero de Transportes]]</f>
        <v>20000</v>
      </c>
      <c r="N124" s="16">
        <v>1882000</v>
      </c>
      <c r="O124" s="15">
        <f>Tabla3[[#This Row],[VLR. TOTAL FACT.]]-Tabla3[[#This Row],[VLR. TRANSPORTE]]</f>
        <v>1842000</v>
      </c>
      <c r="P124" s="12">
        <v>1</v>
      </c>
      <c r="Q124" s="12" t="s">
        <v>96</v>
      </c>
    </row>
    <row r="125" spans="1:17" ht="27.6" thickBot="1" x14ac:dyDescent="0.35">
      <c r="A125" s="3">
        <v>58827</v>
      </c>
      <c r="B125" s="184">
        <v>45992</v>
      </c>
      <c r="C125" s="3" t="s">
        <v>101</v>
      </c>
      <c r="D125" s="3" t="s">
        <v>157</v>
      </c>
      <c r="E125" s="172" t="s">
        <v>122</v>
      </c>
      <c r="F125" s="3">
        <v>2</v>
      </c>
      <c r="G125" s="3" t="str">
        <f>_xlfn.XLOOKUP(Tabla3[[#This Row],[ID]],Tabla2[ID],Tabla2[Corregimiento],"NA")</f>
        <v>Borrero Ayerbe</v>
      </c>
      <c r="H125" s="167">
        <f>_xlfn.XLOOKUP(Tabla3[[#This Row],[LUGAR ENVÍO]],Tabla9[[Nombre ]],Tabla9[Distancia],"NA")</f>
        <v>1.4669269999999999</v>
      </c>
      <c r="I125" s="68">
        <f>Tabla3[[#This Row],[Valor Tran]]/(Tabla3[[#This Row],[DISTANCIA (km)]]*2)</f>
        <v>10225.457708529464</v>
      </c>
      <c r="J125" s="5"/>
      <c r="K125" s="3">
        <v>2</v>
      </c>
      <c r="L125" s="15">
        <v>60000</v>
      </c>
      <c r="M125" s="15">
        <f>Tabla3[[#This Row],[VLR. TRANSPORTE]]/Tabla3[[#This Row],[Numero de Transportes]]</f>
        <v>30000</v>
      </c>
      <c r="N125" s="15">
        <v>3415000</v>
      </c>
      <c r="O125" s="15">
        <f>Tabla3[[#This Row],[VLR. TOTAL FACT.]]-Tabla3[[#This Row],[VLR. TRANSPORTE]]</f>
        <v>3355000</v>
      </c>
      <c r="P125" s="3">
        <v>1</v>
      </c>
      <c r="Q125" s="3" t="s">
        <v>100</v>
      </c>
    </row>
    <row r="126" spans="1:17" s="59" customFormat="1" ht="15" hidden="1" thickBot="1" x14ac:dyDescent="0.35">
      <c r="A126" s="12">
        <v>57925</v>
      </c>
      <c r="B126" s="13">
        <v>45967</v>
      </c>
      <c r="C126" s="12" t="s">
        <v>94</v>
      </c>
      <c r="D126" s="12" t="s">
        <v>196</v>
      </c>
      <c r="E126" s="175" t="s">
        <v>506</v>
      </c>
      <c r="F126" s="12">
        <v>4</v>
      </c>
      <c r="G126" s="12" t="str">
        <f>_xlfn.XLOOKUP(Tabla3[[#This Row],[ID]],Tabla2[ID],Tabla2[Corregimiento],"NA")</f>
        <v>El Carmen</v>
      </c>
      <c r="H126" s="167">
        <f>_xlfn.XLOOKUP(Tabla3[[#This Row],[LUGAR ENVÍO]],Tabla9[[Nombre ]],Tabla9[Distancia],"NA")</f>
        <v>5.2639999999999967</v>
      </c>
      <c r="I126" s="67">
        <f>Tabla3[[#This Row],[Valor Tran]]/(Tabla3[[#This Row],[DISTANCIA (km)]]*2)</f>
        <v>3799.3920972644401</v>
      </c>
      <c r="J126" s="14"/>
      <c r="K126" s="12">
        <v>1</v>
      </c>
      <c r="L126" s="16">
        <v>40000</v>
      </c>
      <c r="M126" s="16">
        <f>Tabla3[[#This Row],[VLR. TRANSPORTE]]/Tabla3[[#This Row],[Numero de Transportes]]</f>
        <v>40000</v>
      </c>
      <c r="N126" s="16">
        <v>169000</v>
      </c>
      <c r="O126" s="15">
        <f>Tabla3[[#This Row],[VLR. TOTAL FACT.]]-Tabla3[[#This Row],[VLR. TRANSPORTE]]</f>
        <v>129000</v>
      </c>
      <c r="P126" s="12">
        <v>1</v>
      </c>
      <c r="Q126" s="12" t="s">
        <v>120</v>
      </c>
    </row>
    <row r="127" spans="1:17" ht="15" hidden="1" thickBot="1" x14ac:dyDescent="0.35">
      <c r="A127" s="146">
        <v>50775</v>
      </c>
      <c r="B127" s="148" t="s">
        <v>627</v>
      </c>
      <c r="C127" s="146" t="s">
        <v>94</v>
      </c>
      <c r="D127" s="146" t="s">
        <v>274</v>
      </c>
      <c r="E127" s="176" t="s">
        <v>654</v>
      </c>
      <c r="F127" s="146">
        <v>4</v>
      </c>
      <c r="G127" s="3" t="str">
        <f>_xlfn.XLOOKUP(Tabla3[[#This Row],[ID]],Tabla2[ID],Tabla2[Corregimiento],"NA")</f>
        <v>El Carmen</v>
      </c>
      <c r="H127" s="167">
        <f>_xlfn.XLOOKUP(Tabla3[[#This Row],[LUGAR ENVÍO]],Tabla9[[Nombre ]],Tabla9[Distancia],"NA")</f>
        <v>5.2639999999999967</v>
      </c>
      <c r="I127" s="68">
        <f>Tabla3[[#This Row],[Valor Tran]]/(Tabla3[[#This Row],[DISTANCIA (km)]]*2)</f>
        <v>3324.4680851063849</v>
      </c>
      <c r="J127" s="150"/>
      <c r="K127" s="146">
        <v>1</v>
      </c>
      <c r="L127" s="152">
        <v>35000</v>
      </c>
      <c r="M127" s="152">
        <v>35000</v>
      </c>
      <c r="N127" s="152">
        <v>192600</v>
      </c>
      <c r="O127" s="15">
        <f>Tabla3[[#This Row],[VLR. TOTAL FACT.]]-Tabla3[[#This Row],[VLR. TRANSPORTE]]</f>
        <v>157600</v>
      </c>
      <c r="P127" s="146">
        <v>1</v>
      </c>
      <c r="Q127" s="146" t="s">
        <v>96</v>
      </c>
    </row>
    <row r="128" spans="1:17" ht="27.6" hidden="1" thickBot="1" x14ac:dyDescent="0.35">
      <c r="A128" s="186">
        <v>59099</v>
      </c>
      <c r="B128" s="187" t="s">
        <v>642</v>
      </c>
      <c r="C128" s="186" t="s">
        <v>94</v>
      </c>
      <c r="D128" s="186" t="s">
        <v>282</v>
      </c>
      <c r="E128" s="186" t="s">
        <v>654</v>
      </c>
      <c r="F128" s="186">
        <v>4</v>
      </c>
      <c r="G128" s="12" t="str">
        <f>_xlfn.XLOOKUP(Tabla3[[#This Row],[ID]],Tabla2[ID],Tabla2[Corregimiento],"NA")</f>
        <v>El Carmen</v>
      </c>
      <c r="H128" s="167">
        <f>_xlfn.XLOOKUP(Tabla3[[#This Row],[LUGAR ENVÍO]],Tabla9[[Nombre ]],Tabla9[Distancia],"NA")</f>
        <v>5.2639999999999967</v>
      </c>
      <c r="I128" s="67">
        <f>Tabla3[[#This Row],[Valor Tran]]/(Tabla3[[#This Row],[DISTANCIA (km)]]*2)</f>
        <v>3799.3920972644401</v>
      </c>
      <c r="J128" s="193"/>
      <c r="K128" s="186">
        <v>1</v>
      </c>
      <c r="L128" s="194">
        <v>40000</v>
      </c>
      <c r="M128" s="194">
        <v>40000</v>
      </c>
      <c r="N128" s="194">
        <v>244400</v>
      </c>
      <c r="O128" s="15">
        <f>Tabla3[[#This Row],[VLR. TOTAL FACT.]]-Tabla3[[#This Row],[VLR. TRANSPORTE]]</f>
        <v>204400</v>
      </c>
      <c r="P128" s="186">
        <v>1</v>
      </c>
      <c r="Q128" s="186" t="s">
        <v>100</v>
      </c>
    </row>
    <row r="129" spans="1:19" ht="27.6" hidden="1" thickBot="1" x14ac:dyDescent="0.35">
      <c r="A129" s="3">
        <v>58804</v>
      </c>
      <c r="B129" s="184">
        <v>45981</v>
      </c>
      <c r="C129" s="3" t="s">
        <v>101</v>
      </c>
      <c r="D129" s="3" t="s">
        <v>216</v>
      </c>
      <c r="E129" s="3" t="s">
        <v>654</v>
      </c>
      <c r="F129" s="3">
        <v>4</v>
      </c>
      <c r="G129" s="3" t="str">
        <f>_xlfn.XLOOKUP(Tabla3[[#This Row],[ID]],Tabla2[ID],Tabla2[Corregimiento],"NA")</f>
        <v>El Carmen</v>
      </c>
      <c r="H129" s="167">
        <f>_xlfn.XLOOKUP(Tabla3[[#This Row],[LUGAR ENVÍO]],Tabla9[[Nombre ]],Tabla9[Distancia],"NA")</f>
        <v>5.2639999999999967</v>
      </c>
      <c r="I129" s="68">
        <f>Tabla3[[#This Row],[Valor Tran]]/(Tabla3[[#This Row],[DISTANCIA (km)]]*2)</f>
        <v>5699.0881458966605</v>
      </c>
      <c r="J129" s="5"/>
      <c r="K129" s="3">
        <v>1</v>
      </c>
      <c r="L129" s="15">
        <v>60000</v>
      </c>
      <c r="M129" s="15">
        <f>Tabla3[[#This Row],[VLR. TRANSPORTE]]/Tabla3[[#This Row],[Numero de Transportes]]</f>
        <v>60000</v>
      </c>
      <c r="N129" s="15">
        <v>2908000</v>
      </c>
      <c r="O129" s="15">
        <f>Tabla3[[#This Row],[VLR. TOTAL FACT.]]-Tabla3[[#This Row],[VLR. TRANSPORTE]]</f>
        <v>2848000</v>
      </c>
      <c r="P129" s="3">
        <v>1</v>
      </c>
      <c r="Q129" s="3" t="s">
        <v>100</v>
      </c>
    </row>
    <row r="130" spans="1:19" ht="15" hidden="1" thickBot="1" x14ac:dyDescent="0.35">
      <c r="A130" s="12">
        <v>58584</v>
      </c>
      <c r="B130" s="13">
        <v>45979</v>
      </c>
      <c r="C130" s="12" t="s">
        <v>94</v>
      </c>
      <c r="D130" s="12" t="s">
        <v>274</v>
      </c>
      <c r="E130" s="175" t="s">
        <v>684</v>
      </c>
      <c r="F130" s="12">
        <v>4</v>
      </c>
      <c r="G130" s="12" t="str">
        <f>_xlfn.XLOOKUP(Tabla3[[#This Row],[ID]],Tabla2[ID],Tabla2[Corregimiento],"NA")</f>
        <v>El Carmen</v>
      </c>
      <c r="H130" s="167">
        <f>_xlfn.XLOOKUP(Tabla3[[#This Row],[LUGAR ENVÍO]],Tabla9[[Nombre ]],Tabla9[Distancia],"NA")</f>
        <v>2.0910000000000002</v>
      </c>
      <c r="I130" s="67">
        <f>Tabla3[[#This Row],[Valor Tran]]/(Tabla3[[#This Row],[DISTANCIA (km)]]*2)</f>
        <v>9564.8015303682441</v>
      </c>
      <c r="J130" s="14"/>
      <c r="K130" s="12">
        <v>1</v>
      </c>
      <c r="L130" s="16">
        <v>40000</v>
      </c>
      <c r="M130" s="16">
        <f>Tabla3[[#This Row],[VLR. TRANSPORTE]]/Tabla3[[#This Row],[Numero de Transportes]]</f>
        <v>40000</v>
      </c>
      <c r="N130" s="16">
        <v>396000</v>
      </c>
      <c r="O130" s="15">
        <f>Tabla3[[#This Row],[VLR. TOTAL FACT.]]-Tabla3[[#This Row],[VLR. TRANSPORTE]]</f>
        <v>356000</v>
      </c>
      <c r="P130" s="12">
        <v>0</v>
      </c>
      <c r="Q130" s="12" t="s">
        <v>120</v>
      </c>
    </row>
    <row r="131" spans="1:19" ht="15" thickBot="1" x14ac:dyDescent="0.35">
      <c r="A131" s="3">
        <v>30535</v>
      </c>
      <c r="B131" s="4">
        <v>45989</v>
      </c>
      <c r="C131" s="3" t="s">
        <v>94</v>
      </c>
      <c r="D131" s="3" t="s">
        <v>116</v>
      </c>
      <c r="E131" s="3" t="s">
        <v>278</v>
      </c>
      <c r="F131" s="3">
        <v>2</v>
      </c>
      <c r="G131" s="3" t="str">
        <f>_xlfn.XLOOKUP(Tabla3[[#This Row],[ID]],Tabla2[ID],Tabla2[Corregimiento],"NA")</f>
        <v>Borrero Ayerbe</v>
      </c>
      <c r="H131" s="167">
        <f>_xlfn.XLOOKUP(Tabla3[[#This Row],[LUGAR ENVÍO]],Tabla9[[Nombre ]],Tabla9[Distancia],"NA")</f>
        <v>1.3212069999999998</v>
      </c>
      <c r="I131" s="68">
        <f>Tabla3[[#This Row],[Valor Tran]]/(Tabla3[[#This Row],[DISTANCIA (km)]]*2)</f>
        <v>11353.255016057288</v>
      </c>
      <c r="J131" s="5"/>
      <c r="K131" s="3">
        <v>1</v>
      </c>
      <c r="L131" s="15">
        <v>30000</v>
      </c>
      <c r="M131" s="15">
        <f>Tabla3[[#This Row],[VLR. TRANSPORTE]]/Tabla3[[#This Row],[Numero de Transportes]]</f>
        <v>30000</v>
      </c>
      <c r="N131" s="15">
        <v>1486900</v>
      </c>
      <c r="O131" s="15">
        <f>Tabla3[[#This Row],[VLR. TOTAL FACT.]]-Tabla3[[#This Row],[VLR. TRANSPORTE]]</f>
        <v>1456900</v>
      </c>
      <c r="P131" s="3">
        <v>0</v>
      </c>
      <c r="Q131" s="3" t="s">
        <v>251</v>
      </c>
    </row>
    <row r="132" spans="1:19" ht="27.6" thickBot="1" x14ac:dyDescent="0.35">
      <c r="A132" s="12">
        <v>58666</v>
      </c>
      <c r="B132" s="185">
        <v>45983</v>
      </c>
      <c r="C132" s="12" t="s">
        <v>94</v>
      </c>
      <c r="D132" s="12" t="s">
        <v>226</v>
      </c>
      <c r="E132" s="172" t="s">
        <v>278</v>
      </c>
      <c r="F132" s="12">
        <v>2</v>
      </c>
      <c r="G132" s="12" t="str">
        <f>_xlfn.XLOOKUP(Tabla3[[#This Row],[ID]],Tabla2[ID],Tabla2[Corregimiento],"NA")</f>
        <v>Borrero Ayerbe</v>
      </c>
      <c r="H132" s="167">
        <f>_xlfn.XLOOKUP(Tabla3[[#This Row],[LUGAR ENVÍO]],Tabla9[[Nombre ]],Tabla9[Distancia],"NA")</f>
        <v>1.3212069999999998</v>
      </c>
      <c r="I132" s="67">
        <f>Tabla3[[#This Row],[Valor Tran]]/(Tabla3[[#This Row],[DISTANCIA (km)]]*2)</f>
        <v>5676.6275080286441</v>
      </c>
      <c r="J132" s="14"/>
      <c r="K132" s="12">
        <v>1</v>
      </c>
      <c r="L132" s="16">
        <v>15000</v>
      </c>
      <c r="M132" s="16">
        <f>Tabla3[[#This Row],[VLR. TRANSPORTE]]/Tabla3[[#This Row],[Numero de Transportes]]</f>
        <v>15000</v>
      </c>
      <c r="N132" s="16">
        <v>3078000</v>
      </c>
      <c r="O132" s="15">
        <f>Tabla3[[#This Row],[VLR. TOTAL FACT.]]-Tabla3[[#This Row],[VLR. TRANSPORTE]]</f>
        <v>3063000</v>
      </c>
      <c r="P132" s="12">
        <v>1</v>
      </c>
      <c r="Q132" s="12" t="s">
        <v>100</v>
      </c>
    </row>
    <row r="133" spans="1:19" ht="15" thickBot="1" x14ac:dyDescent="0.35">
      <c r="A133" s="3">
        <v>58703</v>
      </c>
      <c r="B133" s="184">
        <v>45986</v>
      </c>
      <c r="C133" s="3" t="s">
        <v>94</v>
      </c>
      <c r="D133" s="3" t="s">
        <v>359</v>
      </c>
      <c r="E133" s="3" t="s">
        <v>278</v>
      </c>
      <c r="F133" s="3">
        <v>2</v>
      </c>
      <c r="G133" s="3" t="str">
        <f>_xlfn.XLOOKUP(Tabla3[[#This Row],[ID]],Tabla2[ID],Tabla2[Corregimiento],"NA")</f>
        <v>Borrero Ayerbe</v>
      </c>
      <c r="H133" s="167">
        <f>_xlfn.XLOOKUP(Tabla3[[#This Row],[LUGAR ENVÍO]],Tabla9[[Nombre ]],Tabla9[Distancia],"NA")</f>
        <v>1.3212069999999998</v>
      </c>
      <c r="I133" s="68">
        <f>Tabla3[[#This Row],[Valor Tran]]/(Tabla3[[#This Row],[DISTANCIA (km)]]*2)</f>
        <v>7568.8366773715261</v>
      </c>
      <c r="J133" s="5"/>
      <c r="K133" s="3">
        <v>1</v>
      </c>
      <c r="L133" s="15">
        <v>20000</v>
      </c>
      <c r="M133" s="15">
        <f>Tabla3[[#This Row],[VLR. TRANSPORTE]]/Tabla3[[#This Row],[Numero de Transportes]]</f>
        <v>20000</v>
      </c>
      <c r="N133" s="15">
        <v>3724000</v>
      </c>
      <c r="O133" s="15">
        <f>Tabla3[[#This Row],[VLR. TOTAL FACT.]]-Tabla3[[#This Row],[VLR. TRANSPORTE]]</f>
        <v>3704000</v>
      </c>
      <c r="P133" s="3">
        <v>1</v>
      </c>
      <c r="Q133" s="3" t="s">
        <v>120</v>
      </c>
    </row>
    <row r="134" spans="1:19" ht="27.6" hidden="1" thickBot="1" x14ac:dyDescent="0.35">
      <c r="A134" s="12">
        <v>47566</v>
      </c>
      <c r="B134" s="13">
        <v>45974</v>
      </c>
      <c r="C134" s="12" t="s">
        <v>94</v>
      </c>
      <c r="D134" s="12" t="s">
        <v>227</v>
      </c>
      <c r="E134" s="166" t="s">
        <v>516</v>
      </c>
      <c r="F134" s="12">
        <v>6</v>
      </c>
      <c r="G134" s="12" t="str">
        <f>_xlfn.XLOOKUP(Tabla3[[#This Row],[ID]],Tabla2[ID],Tabla2[Corregimiento],"NA")</f>
        <v>El Limonar</v>
      </c>
      <c r="H134" s="167">
        <f>_xlfn.XLOOKUP(Tabla3[[#This Row],[LUGAR ENVÍO]],Tabla9[[Nombre ]],Tabla9[Distancia],"NA")</f>
        <v>9.6076130000000024</v>
      </c>
      <c r="I134" s="67">
        <f>Tabla3[[#This Row],[Valor Tran]]/(Tabla3[[#This Row],[DISTANCIA (km)]]*2)</f>
        <v>1561.26188679748</v>
      </c>
      <c r="J134" s="14"/>
      <c r="K134" s="12">
        <v>1</v>
      </c>
      <c r="L134" s="16">
        <v>30000</v>
      </c>
      <c r="M134" s="16">
        <f>Tabla3[[#This Row],[VLR. TRANSPORTE]]/Tabla3[[#This Row],[Numero de Transportes]]</f>
        <v>30000</v>
      </c>
      <c r="N134" s="16">
        <v>372000</v>
      </c>
      <c r="O134" s="15">
        <f>Tabla3[[#This Row],[VLR. TOTAL FACT.]]-Tabla3[[#This Row],[VLR. TRANSPORTE]]</f>
        <v>342000</v>
      </c>
      <c r="P134" s="12">
        <v>0</v>
      </c>
      <c r="Q134" s="12" t="s">
        <v>120</v>
      </c>
      <c r="S134">
        <f>COUNT(Tabla3[VLR. TRANSPORTE])</f>
        <v>240</v>
      </c>
    </row>
    <row r="135" spans="1:19" ht="15" hidden="1" thickBot="1" x14ac:dyDescent="0.35">
      <c r="A135" s="3">
        <v>46693</v>
      </c>
      <c r="B135" s="4">
        <v>45967</v>
      </c>
      <c r="C135" s="3" t="s">
        <v>94</v>
      </c>
      <c r="D135" s="3" t="s">
        <v>199</v>
      </c>
      <c r="E135" s="165" t="s">
        <v>516</v>
      </c>
      <c r="F135" s="3">
        <v>6</v>
      </c>
      <c r="G135" s="12" t="str">
        <f>_xlfn.XLOOKUP(Tabla3[[#This Row],[ID]],Tabla2[ID],Tabla2[Corregimiento],"NA")</f>
        <v>El Limonar</v>
      </c>
      <c r="H135" s="167">
        <f>_xlfn.XLOOKUP(Tabla3[[#This Row],[LUGAR ENVÍO]],Tabla9[[Nombre ]],Tabla9[Distancia],"NA")</f>
        <v>9.6076130000000024</v>
      </c>
      <c r="I135" s="67">
        <f>Tabla3[[#This Row],[Valor Tran]]/(Tabla3[[#This Row],[DISTANCIA (km)]]*2)</f>
        <v>1561.26188679748</v>
      </c>
      <c r="J135" s="5"/>
      <c r="K135" s="3">
        <v>1</v>
      </c>
      <c r="L135" s="15">
        <v>30000</v>
      </c>
      <c r="M135" s="15">
        <f>Tabla3[[#This Row],[VLR. TRANSPORTE]]/Tabla3[[#This Row],[Numero de Transportes]]</f>
        <v>30000</v>
      </c>
      <c r="N135" s="15">
        <v>1393600</v>
      </c>
      <c r="O135" s="15">
        <f>Tabla3[[#This Row],[VLR. TOTAL FACT.]]-Tabla3[[#This Row],[VLR. TRANSPORTE]]</f>
        <v>1363600</v>
      </c>
      <c r="P135" s="3">
        <v>0</v>
      </c>
      <c r="Q135" s="3" t="s">
        <v>120</v>
      </c>
    </row>
    <row r="136" spans="1:19" ht="27.6" hidden="1" thickBot="1" x14ac:dyDescent="0.35">
      <c r="A136" s="3">
        <v>30358</v>
      </c>
      <c r="B136" s="4">
        <v>45967</v>
      </c>
      <c r="C136" s="3" t="s">
        <v>94</v>
      </c>
      <c r="D136" s="3" t="s">
        <v>190</v>
      </c>
      <c r="E136" s="165" t="s">
        <v>514</v>
      </c>
      <c r="F136" s="3">
        <v>6</v>
      </c>
      <c r="G136" s="12" t="str">
        <f>_xlfn.XLOOKUP(Tabla3[[#This Row],[ID]],Tabla2[ID],Tabla2[Corregimiento],"NA")</f>
        <v>El Limonar</v>
      </c>
      <c r="H136" s="167">
        <f>_xlfn.XLOOKUP(Tabla3[[#This Row],[LUGAR ENVÍO]],Tabla9[[Nombre ]],Tabla9[Distancia],"NA")</f>
        <v>6.6069689999999994</v>
      </c>
      <c r="I136" s="67">
        <f>Tabla3[[#This Row],[Valor Tran]]/(Tabla3[[#This Row],[DISTANCIA (km)]]*2)</f>
        <v>5297.4366914692655</v>
      </c>
      <c r="J136" s="5"/>
      <c r="K136" s="3">
        <v>2</v>
      </c>
      <c r="L136" s="15">
        <v>140000</v>
      </c>
      <c r="M136" s="15">
        <f>Tabla3[[#This Row],[VLR. TRANSPORTE]]/Tabla3[[#This Row],[Numero de Transportes]]</f>
        <v>70000</v>
      </c>
      <c r="N136" s="15">
        <v>1784000</v>
      </c>
      <c r="O136" s="15">
        <f>Tabla3[[#This Row],[VLR. TOTAL FACT.]]-Tabla3[[#This Row],[VLR. TRANSPORTE]]</f>
        <v>1644000</v>
      </c>
      <c r="P136" s="3">
        <v>0</v>
      </c>
      <c r="Q136" s="3" t="s">
        <v>120</v>
      </c>
    </row>
    <row r="137" spans="1:19" ht="27.6" hidden="1" thickBot="1" x14ac:dyDescent="0.35">
      <c r="A137" s="3">
        <v>59273</v>
      </c>
      <c r="B137" s="4">
        <v>45991</v>
      </c>
      <c r="C137" s="3" t="s">
        <v>94</v>
      </c>
      <c r="D137" s="3" t="s">
        <v>314</v>
      </c>
      <c r="E137" s="3" t="s">
        <v>163</v>
      </c>
      <c r="F137" s="3">
        <v>6</v>
      </c>
      <c r="G137" s="12" t="str">
        <f>_xlfn.XLOOKUP(Tabla3[[#This Row],[ID]],Tabla2[ID],Tabla2[Corregimiento],"NA")</f>
        <v>El Limonar</v>
      </c>
      <c r="H137" s="167">
        <f>_xlfn.XLOOKUP(Tabla3[[#This Row],[LUGAR ENVÍO]],Tabla9[[Nombre ]],Tabla9[Distancia],"NA")</f>
        <v>4.3159999999999989</v>
      </c>
      <c r="I137" s="67">
        <f>Tabla3[[#This Row],[Valor Tran]]/(Tabla3[[#This Row],[DISTANCIA (km)]]*2)</f>
        <v>3475.4402224281753</v>
      </c>
      <c r="J137" s="5"/>
      <c r="K137" s="3">
        <v>1</v>
      </c>
      <c r="L137" s="15">
        <v>30000</v>
      </c>
      <c r="M137" s="15">
        <f>Tabla3[[#This Row],[VLR. TRANSPORTE]]/Tabla3[[#This Row],[Numero de Transportes]]</f>
        <v>30000</v>
      </c>
      <c r="N137" s="15">
        <v>190000</v>
      </c>
      <c r="O137" s="15">
        <f>Tabla3[[#This Row],[VLR. TOTAL FACT.]]-Tabla3[[#This Row],[VLR. TRANSPORTE]]</f>
        <v>160000</v>
      </c>
      <c r="P137" s="3">
        <v>0</v>
      </c>
      <c r="Q137" s="3" t="s">
        <v>100</v>
      </c>
    </row>
    <row r="138" spans="1:19" ht="15" hidden="1" thickBot="1" x14ac:dyDescent="0.35">
      <c r="A138" s="3">
        <v>48367</v>
      </c>
      <c r="B138" s="4">
        <v>45983</v>
      </c>
      <c r="C138" s="3" t="s">
        <v>94</v>
      </c>
      <c r="D138" s="3" t="s">
        <v>134</v>
      </c>
      <c r="E138" s="3" t="s">
        <v>163</v>
      </c>
      <c r="F138" s="3">
        <v>6</v>
      </c>
      <c r="G138" s="12" t="str">
        <f>_xlfn.XLOOKUP(Tabla3[[#This Row],[ID]],Tabla2[ID],Tabla2[Corregimiento],"NA")</f>
        <v>El Limonar</v>
      </c>
      <c r="H138" s="167">
        <f>_xlfn.XLOOKUP(Tabla3[[#This Row],[LUGAR ENVÍO]],Tabla9[[Nombre ]],Tabla9[Distancia],"NA")</f>
        <v>4.3159999999999989</v>
      </c>
      <c r="I138" s="67">
        <f>Tabla3[[#This Row],[Valor Tran]]/(Tabla3[[#This Row],[DISTANCIA (km)]]*2)</f>
        <v>1158.480074142725</v>
      </c>
      <c r="J138" s="5"/>
      <c r="K138" s="3">
        <v>3</v>
      </c>
      <c r="L138" s="15">
        <v>30000</v>
      </c>
      <c r="M138" s="15">
        <f>Tabla3[[#This Row],[VLR. TRANSPORTE]]/Tabla3[[#This Row],[Numero de Transportes]]</f>
        <v>10000</v>
      </c>
      <c r="N138" s="15">
        <v>232000</v>
      </c>
      <c r="O138" s="15">
        <f>Tabla3[[#This Row],[VLR. TOTAL FACT.]]-Tabla3[[#This Row],[VLR. TRANSPORTE]]</f>
        <v>202000</v>
      </c>
      <c r="P138" s="3">
        <v>1</v>
      </c>
      <c r="Q138" s="3" t="s">
        <v>96</v>
      </c>
    </row>
    <row r="139" spans="1:19" ht="15" hidden="1" thickBot="1" x14ac:dyDescent="0.35">
      <c r="A139" s="3">
        <v>48270</v>
      </c>
      <c r="B139" s="4">
        <v>45982</v>
      </c>
      <c r="C139" s="3" t="s">
        <v>94</v>
      </c>
      <c r="D139" s="3" t="s">
        <v>134</v>
      </c>
      <c r="E139" s="172" t="s">
        <v>163</v>
      </c>
      <c r="F139" s="3">
        <v>6</v>
      </c>
      <c r="G139" s="12" t="str">
        <f>_xlfn.XLOOKUP(Tabla3[[#This Row],[ID]],Tabla2[ID],Tabla2[Corregimiento],"NA")</f>
        <v>El Limonar</v>
      </c>
      <c r="H139" s="167">
        <f>_xlfn.XLOOKUP(Tabla3[[#This Row],[LUGAR ENVÍO]],Tabla9[[Nombre ]],Tabla9[Distancia],"NA")</f>
        <v>4.3159999999999989</v>
      </c>
      <c r="I139" s="67">
        <f>Tabla3[[#This Row],[Valor Tran]]/(Tabla3[[#This Row],[DISTANCIA (km)]]*2)</f>
        <v>4633.9202965709001</v>
      </c>
      <c r="J139" s="5"/>
      <c r="K139" s="3">
        <v>1</v>
      </c>
      <c r="L139" s="15">
        <v>40000</v>
      </c>
      <c r="M139" s="15">
        <f>Tabla3[[#This Row],[VLR. TRANSPORTE]]/Tabla3[[#This Row],[Numero de Transportes]]</f>
        <v>40000</v>
      </c>
      <c r="N139" s="15">
        <v>264500</v>
      </c>
      <c r="O139" s="15">
        <f>Tabla3[[#This Row],[VLR. TOTAL FACT.]]-Tabla3[[#This Row],[VLR. TRANSPORTE]]</f>
        <v>224500</v>
      </c>
      <c r="P139" s="3">
        <v>0</v>
      </c>
      <c r="Q139" s="3" t="s">
        <v>96</v>
      </c>
    </row>
    <row r="140" spans="1:19" ht="27.6" hidden="1" thickBot="1" x14ac:dyDescent="0.35">
      <c r="A140" s="3">
        <v>58868</v>
      </c>
      <c r="B140" s="4">
        <v>45983</v>
      </c>
      <c r="C140" s="3" t="s">
        <v>101</v>
      </c>
      <c r="D140" s="3" t="s">
        <v>141</v>
      </c>
      <c r="E140" s="172" t="s">
        <v>163</v>
      </c>
      <c r="F140" s="3">
        <v>6</v>
      </c>
      <c r="G140" s="12" t="str">
        <f>_xlfn.XLOOKUP(Tabla3[[#This Row],[ID]],Tabla2[ID],Tabla2[Corregimiento],"NA")</f>
        <v>El Limonar</v>
      </c>
      <c r="H140" s="167">
        <f>_xlfn.XLOOKUP(Tabla3[[#This Row],[LUGAR ENVÍO]],Tabla9[[Nombre ]],Tabla9[Distancia],"NA")</f>
        <v>4.3159999999999989</v>
      </c>
      <c r="I140" s="67">
        <f>Tabla3[[#This Row],[Valor Tran]]/(Tabla3[[#This Row],[DISTANCIA (km)]]*2)</f>
        <v>5792.4003707136253</v>
      </c>
      <c r="J140" s="5"/>
      <c r="K140" s="3">
        <v>1</v>
      </c>
      <c r="L140" s="15">
        <v>50000</v>
      </c>
      <c r="M140" s="15">
        <f>Tabla3[[#This Row],[VLR. TRANSPORTE]]/Tabla3[[#This Row],[Numero de Transportes]]</f>
        <v>50000</v>
      </c>
      <c r="N140" s="15">
        <v>385000</v>
      </c>
      <c r="O140" s="15">
        <f>Tabla3[[#This Row],[VLR. TOTAL FACT.]]-Tabla3[[#This Row],[VLR. TRANSPORTE]]</f>
        <v>335000</v>
      </c>
      <c r="P140" s="3">
        <v>1</v>
      </c>
      <c r="Q140" s="3" t="s">
        <v>100</v>
      </c>
    </row>
    <row r="141" spans="1:19" ht="27.6" hidden="1" thickBot="1" x14ac:dyDescent="0.35">
      <c r="A141" s="3">
        <v>47281</v>
      </c>
      <c r="B141" s="4">
        <v>45969</v>
      </c>
      <c r="C141" s="3" t="s">
        <v>94</v>
      </c>
      <c r="D141" s="3" t="s">
        <v>126</v>
      </c>
      <c r="E141" s="3" t="s">
        <v>163</v>
      </c>
      <c r="F141" s="3">
        <v>6</v>
      </c>
      <c r="G141" s="12" t="str">
        <f>_xlfn.XLOOKUP(Tabla3[[#This Row],[ID]],Tabla2[ID],Tabla2[Corregimiento],"NA")</f>
        <v>El Limonar</v>
      </c>
      <c r="H141" s="167">
        <f>_xlfn.XLOOKUP(Tabla3[[#This Row],[LUGAR ENVÍO]],Tabla9[[Nombre ]],Tabla9[Distancia],"NA")</f>
        <v>4.3159999999999989</v>
      </c>
      <c r="I141" s="67">
        <f>Tabla3[[#This Row],[Valor Tran]]/(Tabla3[[#This Row],[DISTANCIA (km)]]*2)</f>
        <v>4633.9202965709001</v>
      </c>
      <c r="J141" s="5"/>
      <c r="K141" s="3">
        <v>1</v>
      </c>
      <c r="L141" s="15">
        <v>40000</v>
      </c>
      <c r="M141" s="15">
        <f>Tabla3[[#This Row],[VLR. TRANSPORTE]]/Tabla3[[#This Row],[Numero de Transportes]]</f>
        <v>40000</v>
      </c>
      <c r="N141" s="15">
        <v>929900</v>
      </c>
      <c r="O141" s="15">
        <f>Tabla3[[#This Row],[VLR. TOTAL FACT.]]-Tabla3[[#This Row],[VLR. TRANSPORTE]]</f>
        <v>889900</v>
      </c>
      <c r="P141" s="3">
        <v>0</v>
      </c>
      <c r="Q141" s="3" t="s">
        <v>96</v>
      </c>
    </row>
    <row r="142" spans="1:19" ht="27.6" hidden="1" thickBot="1" x14ac:dyDescent="0.35">
      <c r="A142" s="147">
        <v>47314</v>
      </c>
      <c r="B142" s="149" t="s">
        <v>625</v>
      </c>
      <c r="C142" s="147" t="s">
        <v>94</v>
      </c>
      <c r="D142" s="147" t="s">
        <v>626</v>
      </c>
      <c r="E142" s="147" t="s">
        <v>163</v>
      </c>
      <c r="F142" s="147">
        <v>12</v>
      </c>
      <c r="G142" s="12" t="str">
        <f>_xlfn.XLOOKUP(Tabla3[[#This Row],[ID]],Tabla2[ID],Tabla2[Corregimiento],"NA")</f>
        <v>El Salado</v>
      </c>
      <c r="H142" s="167">
        <f>_xlfn.XLOOKUP(Tabla3[[#This Row],[LUGAR ENVÍO]],Tabla9[[Nombre ]],Tabla9[Distancia],"NA")</f>
        <v>4.3159999999999989</v>
      </c>
      <c r="I142" s="67">
        <f>Tabla3[[#This Row],[Valor Tran]]/(Tabla3[[#This Row],[DISTANCIA (km)]]*2)</f>
        <v>6950.8804448563506</v>
      </c>
      <c r="J142" s="151"/>
      <c r="K142" s="147">
        <v>1</v>
      </c>
      <c r="L142" s="153">
        <v>60000</v>
      </c>
      <c r="M142" s="153">
        <v>60000</v>
      </c>
      <c r="N142" s="153">
        <v>1238500</v>
      </c>
      <c r="O142" s="15">
        <f>Tabla3[[#This Row],[VLR. TOTAL FACT.]]-Tabla3[[#This Row],[VLR. TRANSPORTE]]</f>
        <v>1178500</v>
      </c>
      <c r="P142" s="147">
        <v>1</v>
      </c>
      <c r="Q142" s="147" t="s">
        <v>96</v>
      </c>
    </row>
    <row r="143" spans="1:19" ht="27.6" hidden="1" thickBot="1" x14ac:dyDescent="0.35">
      <c r="A143" s="3">
        <v>48356</v>
      </c>
      <c r="B143" s="4">
        <v>45983</v>
      </c>
      <c r="C143" s="3" t="s">
        <v>94</v>
      </c>
      <c r="D143" s="3" t="s">
        <v>143</v>
      </c>
      <c r="E143" s="3" t="s">
        <v>163</v>
      </c>
      <c r="F143" s="3">
        <v>6</v>
      </c>
      <c r="G143" s="12" t="str">
        <f>_xlfn.XLOOKUP(Tabla3[[#This Row],[ID]],Tabla2[ID],Tabla2[Corregimiento],"NA")</f>
        <v>El Limonar</v>
      </c>
      <c r="H143" s="167">
        <f>_xlfn.XLOOKUP(Tabla3[[#This Row],[LUGAR ENVÍO]],Tabla9[[Nombre ]],Tabla9[Distancia],"NA")</f>
        <v>4.3159999999999989</v>
      </c>
      <c r="I143" s="67">
        <f>Tabla3[[#This Row],[Valor Tran]]/(Tabla3[[#This Row],[DISTANCIA (km)]]*2)</f>
        <v>6950.8804448563506</v>
      </c>
      <c r="J143" s="5"/>
      <c r="K143" s="3">
        <v>1</v>
      </c>
      <c r="L143" s="15">
        <v>60000</v>
      </c>
      <c r="M143" s="15">
        <f>Tabla3[[#This Row],[VLR. TRANSPORTE]]/Tabla3[[#This Row],[Numero de Transportes]]</f>
        <v>60000</v>
      </c>
      <c r="N143" s="15">
        <v>1246500</v>
      </c>
      <c r="O143" s="15">
        <f>Tabla3[[#This Row],[VLR. TOTAL FACT.]]-Tabla3[[#This Row],[VLR. TRANSPORTE]]</f>
        <v>1186500</v>
      </c>
      <c r="P143" s="3">
        <v>1</v>
      </c>
      <c r="Q143" s="3" t="s">
        <v>96</v>
      </c>
    </row>
    <row r="144" spans="1:19" ht="15" hidden="1" thickBot="1" x14ac:dyDescent="0.35">
      <c r="A144" s="3">
        <v>58685</v>
      </c>
      <c r="B144" s="184">
        <v>45985</v>
      </c>
      <c r="C144" s="3" t="s">
        <v>94</v>
      </c>
      <c r="D144" s="3" t="s">
        <v>102</v>
      </c>
      <c r="E144" s="3" t="s">
        <v>163</v>
      </c>
      <c r="F144" s="3">
        <v>6</v>
      </c>
      <c r="G144" s="12" t="str">
        <f>_xlfn.XLOOKUP(Tabla3[[#This Row],[ID]],Tabla2[ID],Tabla2[Corregimiento],"NA")</f>
        <v>El Limonar</v>
      </c>
      <c r="H144" s="167">
        <f>_xlfn.XLOOKUP(Tabla3[[#This Row],[LUGAR ENVÍO]],Tabla9[[Nombre ]],Tabla9[Distancia],"NA")</f>
        <v>4.3159999999999989</v>
      </c>
      <c r="I144" s="67">
        <f>Tabla3[[#This Row],[Valor Tran]]/(Tabla3[[#This Row],[DISTANCIA (km)]]*2)</f>
        <v>9267.8405931418001</v>
      </c>
      <c r="J144" s="5"/>
      <c r="K144" s="3">
        <v>1</v>
      </c>
      <c r="L144" s="15">
        <v>80000</v>
      </c>
      <c r="M144" s="15">
        <f>Tabla3[[#This Row],[VLR. TRANSPORTE]]/Tabla3[[#This Row],[Numero de Transportes]]</f>
        <v>80000</v>
      </c>
      <c r="N144" s="15">
        <v>3256000</v>
      </c>
      <c r="O144" s="15">
        <f>Tabla3[[#This Row],[VLR. TOTAL FACT.]]-Tabla3[[#This Row],[VLR. TRANSPORTE]]</f>
        <v>3176000</v>
      </c>
      <c r="P144" s="3">
        <v>0</v>
      </c>
      <c r="Q144" s="3" t="s">
        <v>100</v>
      </c>
    </row>
    <row r="145" spans="1:17" ht="15" thickBot="1" x14ac:dyDescent="0.35">
      <c r="A145" s="146">
        <v>58274</v>
      </c>
      <c r="B145" s="148" t="s">
        <v>625</v>
      </c>
      <c r="C145" s="146" t="s">
        <v>94</v>
      </c>
      <c r="D145" s="146" t="s">
        <v>650</v>
      </c>
      <c r="E145" s="146" t="s">
        <v>632</v>
      </c>
      <c r="F145" s="146">
        <v>2</v>
      </c>
      <c r="G145" s="12" t="str">
        <f>_xlfn.XLOOKUP(Tabla3[[#This Row],[ID]],Tabla2[ID],Tabla2[Corregimiento],"NA")</f>
        <v>Borrero Ayerbe</v>
      </c>
      <c r="H145" s="167">
        <f>_xlfn.XLOOKUP(Tabla3[[#This Row],[LUGAR ENVÍO]],Tabla9[[Nombre ]],Tabla9[Distancia],"NA")</f>
        <v>3.9430140000000011</v>
      </c>
      <c r="I145" s="67">
        <f>Tabla3[[#This Row],[Valor Tran]]/(Tabla3[[#This Row],[DISTANCIA (km)]]*2)</f>
        <v>4438.2292327645791</v>
      </c>
      <c r="J145" s="150"/>
      <c r="K145" s="146">
        <v>1</v>
      </c>
      <c r="L145" s="152">
        <v>35000</v>
      </c>
      <c r="M145" s="152">
        <v>35000</v>
      </c>
      <c r="N145" s="152">
        <v>374500</v>
      </c>
      <c r="O145" s="15">
        <f>Tabla3[[#This Row],[VLR. TOTAL FACT.]]-Tabla3[[#This Row],[VLR. TRANSPORTE]]</f>
        <v>339500</v>
      </c>
      <c r="P145" s="146">
        <v>1</v>
      </c>
      <c r="Q145" s="146" t="s">
        <v>96</v>
      </c>
    </row>
    <row r="146" spans="1:17" ht="27.6" thickBot="1" x14ac:dyDescent="0.35">
      <c r="A146" s="147">
        <v>40704</v>
      </c>
      <c r="B146" s="149" t="s">
        <v>624</v>
      </c>
      <c r="C146" s="147" t="s">
        <v>101</v>
      </c>
      <c r="D146" s="147" t="s">
        <v>631</v>
      </c>
      <c r="E146" s="147" t="s">
        <v>675</v>
      </c>
      <c r="F146" s="147">
        <v>2</v>
      </c>
      <c r="G146" s="12" t="str">
        <f>_xlfn.XLOOKUP(Tabla3[[#This Row],[ID]],Tabla2[ID],Tabla2[Corregimiento],"NA")</f>
        <v>Borrero Ayerbe</v>
      </c>
      <c r="H146" s="167">
        <f>_xlfn.XLOOKUP(Tabla3[[#This Row],[LUGAR ENVÍO]],Tabla9[[Nombre ]],Tabla9[Distancia],"NA")</f>
        <v>3.9430140000000011</v>
      </c>
      <c r="I146" s="67">
        <f>Tabla3[[#This Row],[Valor Tran]]/(Tabla3[[#This Row],[DISTANCIA (km)]]*2)</f>
        <v>5072.2619803023763</v>
      </c>
      <c r="J146" s="151"/>
      <c r="K146" s="147">
        <v>1</v>
      </c>
      <c r="L146" s="153">
        <v>40000</v>
      </c>
      <c r="M146" s="153">
        <v>40000</v>
      </c>
      <c r="N146" s="153">
        <v>440700</v>
      </c>
      <c r="O146" s="15">
        <f>Tabla3[[#This Row],[VLR. TOTAL FACT.]]-Tabla3[[#This Row],[VLR. TRANSPORTE]]</f>
        <v>400700</v>
      </c>
      <c r="P146" s="147">
        <v>1</v>
      </c>
      <c r="Q146" s="147" t="s">
        <v>120</v>
      </c>
    </row>
    <row r="147" spans="1:17" ht="27.6" thickBot="1" x14ac:dyDescent="0.35">
      <c r="A147" s="146">
        <v>47939</v>
      </c>
      <c r="B147" s="148" t="s">
        <v>623</v>
      </c>
      <c r="C147" s="146" t="s">
        <v>94</v>
      </c>
      <c r="D147" s="146" t="s">
        <v>328</v>
      </c>
      <c r="E147" s="197" t="s">
        <v>632</v>
      </c>
      <c r="F147" s="146">
        <v>2</v>
      </c>
      <c r="G147" s="12" t="str">
        <f>_xlfn.XLOOKUP(Tabla3[[#This Row],[ID]],Tabla2[ID],Tabla2[Corregimiento],"NA")</f>
        <v>Borrero Ayerbe</v>
      </c>
      <c r="H147" s="167">
        <f>_xlfn.XLOOKUP(Tabla3[[#This Row],[LUGAR ENVÍO]],Tabla9[[Nombre ]],Tabla9[Distancia],"NA")</f>
        <v>3.9430140000000011</v>
      </c>
      <c r="I147" s="67">
        <f>Tabla3[[#This Row],[Valor Tran]]/(Tabla3[[#This Row],[DISTANCIA (km)]]*2)</f>
        <v>5072.2619803023763</v>
      </c>
      <c r="J147" s="150"/>
      <c r="K147" s="146">
        <v>1</v>
      </c>
      <c r="L147" s="152">
        <v>40000</v>
      </c>
      <c r="M147" s="152">
        <v>40000</v>
      </c>
      <c r="N147" s="152">
        <v>617400</v>
      </c>
      <c r="O147" s="15">
        <f>Tabla3[[#This Row],[VLR. TOTAL FACT.]]-Tabla3[[#This Row],[VLR. TRANSPORTE]]</f>
        <v>577400</v>
      </c>
      <c r="P147" s="146">
        <v>1</v>
      </c>
      <c r="Q147" s="146" t="s">
        <v>120</v>
      </c>
    </row>
    <row r="148" spans="1:17" ht="15" thickBot="1" x14ac:dyDescent="0.35">
      <c r="A148" s="3">
        <v>58839</v>
      </c>
      <c r="B148" s="184">
        <v>45997</v>
      </c>
      <c r="C148" s="3" t="s">
        <v>94</v>
      </c>
      <c r="D148" s="3" t="s">
        <v>129</v>
      </c>
      <c r="E148" s="3" t="s">
        <v>675</v>
      </c>
      <c r="F148" s="3">
        <v>2</v>
      </c>
      <c r="G148" s="12" t="str">
        <f>_xlfn.XLOOKUP(Tabla3[[#This Row],[ID]],Tabla2[ID],Tabla2[Corregimiento],"NA")</f>
        <v>Borrero Ayerbe</v>
      </c>
      <c r="H148" s="167">
        <f>_xlfn.XLOOKUP(Tabla3[[#This Row],[LUGAR ENVÍO]],Tabla9[[Nombre ]],Tabla9[Distancia],"NA")</f>
        <v>3.9430140000000011</v>
      </c>
      <c r="I148" s="67">
        <f>Tabla3[[#This Row],[Valor Tran]]/(Tabla3[[#This Row],[DISTANCIA (km)]]*2)</f>
        <v>7608.3929704535649</v>
      </c>
      <c r="J148" s="5"/>
      <c r="K148" s="3">
        <v>2</v>
      </c>
      <c r="L148" s="15">
        <v>120000</v>
      </c>
      <c r="M148" s="15">
        <f>Tabla3[[#This Row],[VLR. TRANSPORTE]]/Tabla3[[#This Row],[Numero de Transportes]]</f>
        <v>60000</v>
      </c>
      <c r="N148" s="15">
        <v>3564000</v>
      </c>
      <c r="O148" s="15">
        <f>Tabla3[[#This Row],[VLR. TOTAL FACT.]]-Tabla3[[#This Row],[VLR. TRANSPORTE]]</f>
        <v>3444000</v>
      </c>
      <c r="P148" s="3">
        <v>1</v>
      </c>
      <c r="Q148" s="3" t="s">
        <v>96</v>
      </c>
    </row>
    <row r="149" spans="1:17" ht="15" thickBot="1" x14ac:dyDescent="0.35">
      <c r="A149" s="3">
        <v>57376</v>
      </c>
      <c r="B149" s="4">
        <v>45962</v>
      </c>
      <c r="C149" s="3"/>
      <c r="D149" s="3" t="s">
        <v>359</v>
      </c>
      <c r="E149" s="3" t="s">
        <v>676</v>
      </c>
      <c r="F149" s="3">
        <v>2</v>
      </c>
      <c r="G149" s="12" t="str">
        <f>_xlfn.XLOOKUP(Tabla3[[#This Row],[ID]],Tabla2[ID],Tabla2[Corregimiento],"NA")</f>
        <v>Borrero Ayerbe</v>
      </c>
      <c r="H149" s="167">
        <f>_xlfn.XLOOKUP(Tabla3[[#This Row],[LUGAR ENVÍO]],Tabla9[[Nombre ]],Tabla9[Distancia],"NA")</f>
        <v>4.5839430000000005</v>
      </c>
      <c r="I149" s="67">
        <f>Tabla3[[#This Row],[Valor Tran]]/(Tabla3[[#This Row],[DISTANCIA (km)]]*2)</f>
        <v>2181.5279989301785</v>
      </c>
      <c r="J149" s="5"/>
      <c r="K149" s="3">
        <v>1</v>
      </c>
      <c r="L149" s="15">
        <v>20000</v>
      </c>
      <c r="M149" s="15">
        <f>Tabla3[[#This Row],[VLR. TRANSPORTE]]/Tabla3[[#This Row],[Numero de Transportes]]</f>
        <v>20000</v>
      </c>
      <c r="N149" s="15">
        <v>615300</v>
      </c>
      <c r="O149" s="15">
        <f>Tabla3[[#This Row],[VLR. TOTAL FACT.]]-Tabla3[[#This Row],[VLR. TRANSPORTE]]</f>
        <v>595300</v>
      </c>
      <c r="P149" s="3"/>
      <c r="Q149" s="3" t="s">
        <v>251</v>
      </c>
    </row>
    <row r="150" spans="1:17" ht="15" thickBot="1" x14ac:dyDescent="0.35">
      <c r="A150" s="3">
        <v>58748</v>
      </c>
      <c r="B150" s="184">
        <v>46006</v>
      </c>
      <c r="C150" s="3" t="s">
        <v>94</v>
      </c>
      <c r="D150" s="3" t="s">
        <v>103</v>
      </c>
      <c r="E150" s="3" t="s">
        <v>676</v>
      </c>
      <c r="F150" s="3">
        <v>2</v>
      </c>
      <c r="G150" s="12" t="str">
        <f>_xlfn.XLOOKUP(Tabla3[[#This Row],[ID]],Tabla2[ID],Tabla2[Corregimiento],"NA")</f>
        <v>Borrero Ayerbe</v>
      </c>
      <c r="H150" s="167">
        <f>_xlfn.XLOOKUP(Tabla3[[#This Row],[LUGAR ENVÍO]],Tabla9[[Nombre ]],Tabla9[Distancia],"NA")</f>
        <v>4.5839430000000005</v>
      </c>
      <c r="I150" s="67">
        <f>Tabla3[[#This Row],[Valor Tran]]/(Tabla3[[#This Row],[DISTANCIA (km)]]*2)</f>
        <v>4363.0559978603569</v>
      </c>
      <c r="J150" s="5"/>
      <c r="K150" s="3">
        <v>3</v>
      </c>
      <c r="L150" s="15">
        <v>120000</v>
      </c>
      <c r="M150" s="15">
        <f>Tabla3[[#This Row],[VLR. TRANSPORTE]]/Tabla3[[#This Row],[Numero de Transportes]]</f>
        <v>40000</v>
      </c>
      <c r="N150" s="15">
        <v>3680000</v>
      </c>
      <c r="O150" s="15">
        <f>Tabla3[[#This Row],[VLR. TOTAL FACT.]]-Tabla3[[#This Row],[VLR. TRANSPORTE]]</f>
        <v>3560000</v>
      </c>
      <c r="P150" s="3">
        <v>1</v>
      </c>
      <c r="Q150" s="3" t="s">
        <v>100</v>
      </c>
    </row>
    <row r="151" spans="1:17" ht="15" thickBot="1" x14ac:dyDescent="0.35">
      <c r="A151" s="3">
        <v>58768</v>
      </c>
      <c r="B151" s="184">
        <v>46005</v>
      </c>
      <c r="C151" s="3" t="s">
        <v>94</v>
      </c>
      <c r="D151" s="3" t="s">
        <v>207</v>
      </c>
      <c r="E151" s="3" t="s">
        <v>676</v>
      </c>
      <c r="F151" s="3">
        <v>2</v>
      </c>
      <c r="G151" s="12" t="str">
        <f>_xlfn.XLOOKUP(Tabla3[[#This Row],[ID]],Tabla2[ID],Tabla2[Corregimiento],"NA")</f>
        <v>Borrero Ayerbe</v>
      </c>
      <c r="H151" s="167">
        <f>_xlfn.XLOOKUP(Tabla3[[#This Row],[LUGAR ENVÍO]],Tabla9[[Nombre ]],Tabla9[Distancia],"NA")</f>
        <v>4.5839430000000005</v>
      </c>
      <c r="I151" s="67">
        <f>Tabla3[[#This Row],[Valor Tran]]/(Tabla3[[#This Row],[DISTANCIA (km)]]*2)</f>
        <v>3272.2919983952675</v>
      </c>
      <c r="J151" s="5"/>
      <c r="K151" s="3">
        <v>2</v>
      </c>
      <c r="L151" s="15">
        <v>60000</v>
      </c>
      <c r="M151" s="15">
        <f>Tabla3[[#This Row],[VLR. TRANSPORTE]]/Tabla3[[#This Row],[Numero de Transportes]]</f>
        <v>30000</v>
      </c>
      <c r="N151" s="15">
        <v>3925000</v>
      </c>
      <c r="O151" s="15">
        <f>Tabla3[[#This Row],[VLR. TOTAL FACT.]]-Tabla3[[#This Row],[VLR. TRANSPORTE]]</f>
        <v>3865000</v>
      </c>
      <c r="P151" s="3">
        <v>1</v>
      </c>
      <c r="Q151" s="3" t="s">
        <v>96</v>
      </c>
    </row>
    <row r="152" spans="1:17" ht="27.6" thickBot="1" x14ac:dyDescent="0.35">
      <c r="A152" s="3">
        <v>58055</v>
      </c>
      <c r="B152" s="4">
        <v>45966</v>
      </c>
      <c r="C152" s="3" t="s">
        <v>101</v>
      </c>
      <c r="D152" s="3" t="s">
        <v>117</v>
      </c>
      <c r="E152" s="3" t="s">
        <v>673</v>
      </c>
      <c r="F152" s="3">
        <v>2</v>
      </c>
      <c r="G152" s="12" t="str">
        <f>_xlfn.XLOOKUP(Tabla3[[#This Row],[ID]],Tabla2[ID],Tabla2[Corregimiento],"NA")</f>
        <v>Borrero Ayerbe</v>
      </c>
      <c r="H152" s="167">
        <f>_xlfn.XLOOKUP(Tabla3[[#This Row],[LUGAR ENVÍO]],Tabla9[[Nombre ]],Tabla9[Distancia],"NA")</f>
        <v>5.3780000000000001</v>
      </c>
      <c r="I152" s="67">
        <f>Tabla3[[#This Row],[Valor Tran]]/(Tabla3[[#This Row],[DISTANCIA (km)]]*2)</f>
        <v>2789.1409445890663</v>
      </c>
      <c r="J152" s="5"/>
      <c r="K152" s="3">
        <v>1</v>
      </c>
      <c r="L152" s="15">
        <v>30000</v>
      </c>
      <c r="M152" s="15">
        <f>Tabla3[[#This Row],[VLR. TRANSPORTE]]/Tabla3[[#This Row],[Numero de Transportes]]</f>
        <v>30000</v>
      </c>
      <c r="N152" s="15">
        <v>473300</v>
      </c>
      <c r="O152" s="15">
        <f>Tabla3[[#This Row],[VLR. TOTAL FACT.]]-Tabla3[[#This Row],[VLR. TRANSPORTE]]</f>
        <v>443300</v>
      </c>
      <c r="P152" s="3">
        <v>0</v>
      </c>
      <c r="Q152" s="3" t="s">
        <v>100</v>
      </c>
    </row>
    <row r="153" spans="1:17" ht="27.6" thickBot="1" x14ac:dyDescent="0.35">
      <c r="A153" s="147">
        <v>49212</v>
      </c>
      <c r="B153" s="149" t="s">
        <v>624</v>
      </c>
      <c r="C153" s="147" t="s">
        <v>94</v>
      </c>
      <c r="D153" s="147" t="s">
        <v>639</v>
      </c>
      <c r="E153" s="147" t="s">
        <v>673</v>
      </c>
      <c r="F153" s="147">
        <v>2</v>
      </c>
      <c r="G153" s="12" t="str">
        <f>_xlfn.XLOOKUP(Tabla3[[#This Row],[ID]],Tabla2[ID],Tabla2[Corregimiento],"NA")</f>
        <v>Borrero Ayerbe</v>
      </c>
      <c r="H153" s="167">
        <f>_xlfn.XLOOKUP(Tabla3[[#This Row],[LUGAR ENVÍO]],Tabla9[[Nombre ]],Tabla9[Distancia],"NA")</f>
        <v>5.3780000000000001</v>
      </c>
      <c r="I153" s="67">
        <f>Tabla3[[#This Row],[Valor Tran]]/(Tabla3[[#This Row],[DISTANCIA (km)]]*2)</f>
        <v>2789.1409445890663</v>
      </c>
      <c r="J153" s="151"/>
      <c r="K153" s="147">
        <v>1</v>
      </c>
      <c r="L153" s="153">
        <v>30000</v>
      </c>
      <c r="M153" s="153">
        <v>30000</v>
      </c>
      <c r="N153" s="153">
        <v>730100</v>
      </c>
      <c r="O153" s="15">
        <f>Tabla3[[#This Row],[VLR. TOTAL FACT.]]-Tabla3[[#This Row],[VLR. TRANSPORTE]]</f>
        <v>700100</v>
      </c>
      <c r="P153" s="147">
        <v>1</v>
      </c>
      <c r="Q153" s="147" t="s">
        <v>96</v>
      </c>
    </row>
    <row r="154" spans="1:17" ht="27.6" thickBot="1" x14ac:dyDescent="0.35">
      <c r="A154" s="147">
        <v>53676</v>
      </c>
      <c r="B154" s="149" t="s">
        <v>642</v>
      </c>
      <c r="C154" s="147" t="s">
        <v>94</v>
      </c>
      <c r="D154" s="147" t="s">
        <v>639</v>
      </c>
      <c r="E154" s="147" t="s">
        <v>673</v>
      </c>
      <c r="F154" s="147">
        <v>2</v>
      </c>
      <c r="G154" s="12" t="str">
        <f>_xlfn.XLOOKUP(Tabla3[[#This Row],[ID]],Tabla2[ID],Tabla2[Corregimiento],"NA")</f>
        <v>Borrero Ayerbe</v>
      </c>
      <c r="H154" s="167">
        <f>_xlfn.XLOOKUP(Tabla3[[#This Row],[LUGAR ENVÍO]],Tabla9[[Nombre ]],Tabla9[Distancia],"NA")</f>
        <v>5.3780000000000001</v>
      </c>
      <c r="I154" s="67">
        <f>Tabla3[[#This Row],[Valor Tran]]/(Tabla3[[#This Row],[DISTANCIA (km)]]*2)</f>
        <v>2789.1409445890663</v>
      </c>
      <c r="J154" s="151"/>
      <c r="K154" s="147">
        <v>1</v>
      </c>
      <c r="L154" s="153">
        <v>30000</v>
      </c>
      <c r="M154" s="153">
        <v>30000</v>
      </c>
      <c r="N154" s="153">
        <v>802500</v>
      </c>
      <c r="O154" s="15">
        <f>Tabla3[[#This Row],[VLR. TOTAL FACT.]]-Tabla3[[#This Row],[VLR. TRANSPORTE]]</f>
        <v>772500</v>
      </c>
      <c r="P154" s="147">
        <v>1</v>
      </c>
      <c r="Q154" s="147" t="s">
        <v>100</v>
      </c>
    </row>
    <row r="155" spans="1:17" ht="15" thickBot="1" x14ac:dyDescent="0.35">
      <c r="A155" s="3">
        <v>58618</v>
      </c>
      <c r="B155" s="184">
        <v>45999</v>
      </c>
      <c r="C155" s="3" t="s">
        <v>94</v>
      </c>
      <c r="D155" s="3" t="s">
        <v>171</v>
      </c>
      <c r="E155" s="172" t="s">
        <v>673</v>
      </c>
      <c r="F155" s="3">
        <v>2</v>
      </c>
      <c r="G155" s="12" t="str">
        <f>_xlfn.XLOOKUP(Tabla3[[#This Row],[ID]],Tabla2[ID],Tabla2[Corregimiento],"NA")</f>
        <v>Borrero Ayerbe</v>
      </c>
      <c r="H155" s="167">
        <f>_xlfn.XLOOKUP(Tabla3[[#This Row],[LUGAR ENVÍO]],Tabla9[[Nombre ]],Tabla9[Distancia],"NA")</f>
        <v>5.3780000000000001</v>
      </c>
      <c r="I155" s="67">
        <f>Tabla3[[#This Row],[Valor Tran]]/(Tabla3[[#This Row],[DISTANCIA (km)]]*2)</f>
        <v>1394.5704722945331</v>
      </c>
      <c r="J155" s="5"/>
      <c r="K155" s="3">
        <v>1</v>
      </c>
      <c r="L155" s="15">
        <v>15000</v>
      </c>
      <c r="M155" s="15">
        <f>Tabla3[[#This Row],[VLR. TRANSPORTE]]/Tabla3[[#This Row],[Numero de Transportes]]</f>
        <v>15000</v>
      </c>
      <c r="N155" s="15">
        <v>3404000</v>
      </c>
      <c r="O155" s="15">
        <f>Tabla3[[#This Row],[VLR. TOTAL FACT.]]-Tabla3[[#This Row],[VLR. TRANSPORTE]]</f>
        <v>3389000</v>
      </c>
      <c r="P155" s="3">
        <v>1</v>
      </c>
      <c r="Q155" s="3" t="s">
        <v>96</v>
      </c>
    </row>
    <row r="156" spans="1:17" ht="15" thickBot="1" x14ac:dyDescent="0.35">
      <c r="A156" s="3">
        <v>46458</v>
      </c>
      <c r="B156" s="4">
        <v>45962</v>
      </c>
      <c r="C156" s="3" t="s">
        <v>94</v>
      </c>
      <c r="D156" s="3" t="s">
        <v>176</v>
      </c>
      <c r="E156" s="172" t="s">
        <v>549</v>
      </c>
      <c r="F156" s="3">
        <v>2</v>
      </c>
      <c r="G156" s="12" t="str">
        <f>_xlfn.XLOOKUP(Tabla3[[#This Row],[ID]],Tabla2[ID],Tabla2[Corregimiento],"NA")</f>
        <v>Borrero Ayerbe</v>
      </c>
      <c r="H156" s="167">
        <f>_xlfn.XLOOKUP(Tabla3[[#This Row],[LUGAR ENVÍO]],Tabla9[[Nombre ]],Tabla9[Distancia],"NA")</f>
        <v>6.4665800000000022</v>
      </c>
      <c r="I156" s="67">
        <f>Tabla3[[#This Row],[Valor Tran]]/(Tabla3[[#This Row],[DISTANCIA (km)]]*2)</f>
        <v>2319.618716539499</v>
      </c>
      <c r="J156" s="5"/>
      <c r="K156" s="3">
        <v>1</v>
      </c>
      <c r="L156" s="15">
        <v>30000</v>
      </c>
      <c r="M156" s="15">
        <f>Tabla3[[#This Row],[VLR. TRANSPORTE]]/Tabla3[[#This Row],[Numero de Transportes]]</f>
        <v>30000</v>
      </c>
      <c r="N156" s="15">
        <v>994000</v>
      </c>
      <c r="O156" s="15">
        <f>Tabla3[[#This Row],[VLR. TOTAL FACT.]]-Tabla3[[#This Row],[VLR. TRANSPORTE]]</f>
        <v>964000</v>
      </c>
      <c r="P156" s="3">
        <v>0</v>
      </c>
      <c r="Q156" s="3" t="s">
        <v>120</v>
      </c>
    </row>
    <row r="157" spans="1:17" ht="27.6" thickBot="1" x14ac:dyDescent="0.35">
      <c r="A157" s="3">
        <v>58894</v>
      </c>
      <c r="B157" s="184">
        <v>45982</v>
      </c>
      <c r="C157" s="3" t="s">
        <v>94</v>
      </c>
      <c r="D157" s="3" t="s">
        <v>649</v>
      </c>
      <c r="E157" s="3" t="s">
        <v>549</v>
      </c>
      <c r="F157" s="3">
        <v>2</v>
      </c>
      <c r="G157" s="12" t="str">
        <f>_xlfn.XLOOKUP(Tabla3[[#This Row],[ID]],Tabla2[ID],Tabla2[Corregimiento],"NA")</f>
        <v>Borrero Ayerbe</v>
      </c>
      <c r="H157" s="167">
        <f>_xlfn.XLOOKUP(Tabla3[[#This Row],[LUGAR ENVÍO]],Tabla9[[Nombre ]],Tabla9[Distancia],"NA")</f>
        <v>6.4665800000000022</v>
      </c>
      <c r="I157" s="67">
        <f>Tabla3[[#This Row],[Valor Tran]]/(Tabla3[[#This Row],[DISTANCIA (km)]]*2)</f>
        <v>6185.6499107719983</v>
      </c>
      <c r="J157" s="5"/>
      <c r="K157" s="3">
        <v>1</v>
      </c>
      <c r="L157" s="15">
        <v>80000</v>
      </c>
      <c r="M157" s="15">
        <f>Tabla3[[#This Row],[VLR. TRANSPORTE]]/Tabla3[[#This Row],[Numero de Transportes]]</f>
        <v>80000</v>
      </c>
      <c r="N157" s="15">
        <v>4966000</v>
      </c>
      <c r="O157" s="15">
        <f>Tabla3[[#This Row],[VLR. TOTAL FACT.]]-Tabla3[[#This Row],[VLR. TRANSPORTE]]</f>
        <v>4886000</v>
      </c>
      <c r="P157" s="3">
        <v>1</v>
      </c>
      <c r="Q157" s="3" t="s">
        <v>96</v>
      </c>
    </row>
    <row r="158" spans="1:17" ht="15" thickBot="1" x14ac:dyDescent="0.35">
      <c r="A158" s="3">
        <v>47250</v>
      </c>
      <c r="B158" s="4">
        <v>45971</v>
      </c>
      <c r="C158" s="3" t="s">
        <v>94</v>
      </c>
      <c r="D158" s="3" t="s">
        <v>125</v>
      </c>
      <c r="E158" s="3" t="s">
        <v>666</v>
      </c>
      <c r="F158" s="3">
        <v>2</v>
      </c>
      <c r="G158" s="12" t="str">
        <f>_xlfn.XLOOKUP(Tabla3[[#This Row],[ID]],Tabla2[ID],Tabla2[Corregimiento],"NA")</f>
        <v>Borrero Ayerbe</v>
      </c>
      <c r="H158" s="167">
        <f>_xlfn.XLOOKUP(Tabla3[[#This Row],[LUGAR ENVÍO]],Tabla9[[Nombre ]],Tabla9[Distancia],"NA")</f>
        <v>6.9730000000000016</v>
      </c>
      <c r="I158" s="67">
        <f>Tabla3[[#This Row],[Valor Tran]]/(Tabla3[[#This Row],[DISTANCIA (km)]]*2)</f>
        <v>2868.2059371862892</v>
      </c>
      <c r="J158" s="5"/>
      <c r="K158" s="3">
        <v>1</v>
      </c>
      <c r="L158" s="15">
        <v>40000</v>
      </c>
      <c r="M158" s="15">
        <f>Tabla3[[#This Row],[VLR. TRANSPORTE]]/Tabla3[[#This Row],[Numero de Transportes]]</f>
        <v>40000</v>
      </c>
      <c r="N158" s="15">
        <v>618500</v>
      </c>
      <c r="O158" s="15">
        <f>Tabla3[[#This Row],[VLR. TOTAL FACT.]]-Tabla3[[#This Row],[VLR. TRANSPORTE]]</f>
        <v>578500</v>
      </c>
      <c r="P158" s="3">
        <v>0</v>
      </c>
      <c r="Q158" s="3" t="s">
        <v>96</v>
      </c>
    </row>
    <row r="159" spans="1:17" ht="15" thickBot="1" x14ac:dyDescent="0.35">
      <c r="A159" s="3">
        <v>58776</v>
      </c>
      <c r="B159" s="184">
        <v>45990</v>
      </c>
      <c r="C159" s="3" t="s">
        <v>94</v>
      </c>
      <c r="D159" s="3" t="s">
        <v>110</v>
      </c>
      <c r="E159" s="172" t="s">
        <v>666</v>
      </c>
      <c r="F159" s="3">
        <v>2</v>
      </c>
      <c r="G159" s="12" t="str">
        <f>_xlfn.XLOOKUP(Tabla3[[#This Row],[ID]],Tabla2[ID],Tabla2[Corregimiento],"NA")</f>
        <v>Borrero Ayerbe</v>
      </c>
      <c r="H159" s="167">
        <f>_xlfn.XLOOKUP(Tabla3[[#This Row],[LUGAR ENVÍO]],Tabla9[[Nombre ]],Tabla9[Distancia],"NA")</f>
        <v>6.9730000000000016</v>
      </c>
      <c r="I159" s="67">
        <f>Tabla3[[#This Row],[Valor Tran]]/(Tabla3[[#This Row],[DISTANCIA (km)]]*2)</f>
        <v>3585.2574214828614</v>
      </c>
      <c r="J159" s="5"/>
      <c r="K159" s="3">
        <v>1</v>
      </c>
      <c r="L159" s="15">
        <v>50000</v>
      </c>
      <c r="M159" s="15">
        <f>Tabla3[[#This Row],[VLR. TRANSPORTE]]/Tabla3[[#This Row],[Numero de Transportes]]</f>
        <v>50000</v>
      </c>
      <c r="N159" s="15">
        <v>1769000</v>
      </c>
      <c r="O159" s="15">
        <f>Tabla3[[#This Row],[VLR. TOTAL FACT.]]-Tabla3[[#This Row],[VLR. TRANSPORTE]]</f>
        <v>1719000</v>
      </c>
      <c r="P159" s="3">
        <v>1</v>
      </c>
      <c r="Q159" s="3" t="s">
        <v>120</v>
      </c>
    </row>
    <row r="160" spans="1:17" ht="27.6" thickBot="1" x14ac:dyDescent="0.35">
      <c r="A160" s="3">
        <v>58733</v>
      </c>
      <c r="B160" s="184">
        <v>46003</v>
      </c>
      <c r="C160" s="3" t="s">
        <v>94</v>
      </c>
      <c r="D160" s="3" t="s">
        <v>117</v>
      </c>
      <c r="E160" s="3" t="s">
        <v>666</v>
      </c>
      <c r="F160" s="3">
        <v>2</v>
      </c>
      <c r="G160" s="12" t="str">
        <f>_xlfn.XLOOKUP(Tabla3[[#This Row],[ID]],Tabla2[ID],Tabla2[Corregimiento],"NA")</f>
        <v>Borrero Ayerbe</v>
      </c>
      <c r="H160" s="167">
        <f>_xlfn.XLOOKUP(Tabla3[[#This Row],[LUGAR ENVÍO]],Tabla9[[Nombre ]],Tabla9[Distancia],"NA")</f>
        <v>6.9730000000000016</v>
      </c>
      <c r="I160" s="67">
        <f>Tabla3[[#This Row],[Valor Tran]]/(Tabla3[[#This Row],[DISTANCIA (km)]]*2)</f>
        <v>2151.154452889717</v>
      </c>
      <c r="J160" s="5"/>
      <c r="K160" s="3">
        <v>3</v>
      </c>
      <c r="L160" s="15">
        <v>90000</v>
      </c>
      <c r="M160" s="15">
        <f>Tabla3[[#This Row],[VLR. TRANSPORTE]]/Tabla3[[#This Row],[Numero de Transportes]]</f>
        <v>30000</v>
      </c>
      <c r="N160" s="15">
        <v>2130000</v>
      </c>
      <c r="O160" s="15">
        <f>Tabla3[[#This Row],[VLR. TOTAL FACT.]]-Tabla3[[#This Row],[VLR. TRANSPORTE]]</f>
        <v>2040000</v>
      </c>
      <c r="P160" s="3">
        <v>1</v>
      </c>
      <c r="Q160" s="3" t="s">
        <v>96</v>
      </c>
    </row>
    <row r="161" spans="1:17" ht="15" hidden="1" thickBot="1" x14ac:dyDescent="0.35">
      <c r="A161" s="3">
        <v>48240</v>
      </c>
      <c r="B161" s="4">
        <v>45982</v>
      </c>
      <c r="C161" s="3" t="s">
        <v>94</v>
      </c>
      <c r="D161" s="3" t="s">
        <v>135</v>
      </c>
      <c r="E161" s="3" t="s">
        <v>269</v>
      </c>
      <c r="F161" s="3">
        <v>10</v>
      </c>
      <c r="G161" s="12" t="str">
        <f>_xlfn.XLOOKUP(Tabla3[[#This Row],[ID]],Tabla2[ID],Tabla2[Corregimiento],"NA")</f>
        <v>El Queremal</v>
      </c>
      <c r="H161" s="167">
        <f>_xlfn.XLOOKUP(Tabla3[[#This Row],[LUGAR ENVÍO]],Tabla9[[Nombre ]],Tabla9[Distancia],"NA")</f>
        <v>18.542000000000002</v>
      </c>
      <c r="I161" s="87">
        <f>Tabla3[[#This Row],[Valor Tran]]/(Tabla3[[#This Row],[DISTANCIA (km)]]*2)</f>
        <v>2049.4013590766904</v>
      </c>
      <c r="J161" s="5"/>
      <c r="K161" s="3">
        <v>1</v>
      </c>
      <c r="L161" s="15">
        <v>76000</v>
      </c>
      <c r="M161" s="15">
        <f>Tabla3[[#This Row],[VLR. TRANSPORTE]]/Tabla3[[#This Row],[Numero de Transportes]]</f>
        <v>76000</v>
      </c>
      <c r="N161" s="15">
        <v>1400000</v>
      </c>
      <c r="O161" s="15">
        <f>Tabla3[[#This Row],[VLR. TOTAL FACT.]]-Tabla3[[#This Row],[VLR. TRANSPORTE]]</f>
        <v>1324000</v>
      </c>
      <c r="P161" s="3">
        <v>1</v>
      </c>
      <c r="Q161" s="3" t="s">
        <v>96</v>
      </c>
    </row>
    <row r="162" spans="1:17" ht="27.6" hidden="1" thickBot="1" x14ac:dyDescent="0.35">
      <c r="A162" s="3">
        <v>58637</v>
      </c>
      <c r="B162" s="184">
        <v>45991</v>
      </c>
      <c r="C162" s="3" t="s">
        <v>94</v>
      </c>
      <c r="D162" s="3" t="s">
        <v>637</v>
      </c>
      <c r="E162" s="3" t="s">
        <v>269</v>
      </c>
      <c r="F162" s="3">
        <v>10</v>
      </c>
      <c r="G162" s="12" t="str">
        <f>_xlfn.XLOOKUP(Tabla3[[#This Row],[ID]],Tabla2[ID],Tabla2[Corregimiento],"NA")</f>
        <v>El Queremal</v>
      </c>
      <c r="H162" s="167">
        <f>_xlfn.XLOOKUP(Tabla3[[#This Row],[LUGAR ENVÍO]],Tabla9[[Nombre ]],Tabla9[Distancia],"NA")</f>
        <v>18.542000000000002</v>
      </c>
      <c r="I162" s="67">
        <f>Tabla3[[#This Row],[Valor Tran]]/(Tabla3[[#This Row],[DISTANCIA (km)]]*2)</f>
        <v>1348.2903678136122</v>
      </c>
      <c r="J162" s="5"/>
      <c r="K162" s="3">
        <v>1</v>
      </c>
      <c r="L162" s="15">
        <v>50000</v>
      </c>
      <c r="M162" s="15">
        <f>Tabla3[[#This Row],[VLR. TRANSPORTE]]/Tabla3[[#This Row],[Numero de Transportes]]</f>
        <v>50000</v>
      </c>
      <c r="N162" s="15">
        <v>1673000</v>
      </c>
      <c r="O162" s="15">
        <f>Tabla3[[#This Row],[VLR. TOTAL FACT.]]-Tabla3[[#This Row],[VLR. TRANSPORTE]]</f>
        <v>1623000</v>
      </c>
      <c r="P162" s="3">
        <v>1</v>
      </c>
      <c r="Q162" s="3" t="s">
        <v>96</v>
      </c>
    </row>
    <row r="163" spans="1:17" ht="15" hidden="1" thickBot="1" x14ac:dyDescent="0.35">
      <c r="A163" s="3">
        <v>30562</v>
      </c>
      <c r="B163" s="4">
        <v>45989</v>
      </c>
      <c r="C163" s="3" t="s">
        <v>94</v>
      </c>
      <c r="D163" s="3" t="s">
        <v>116</v>
      </c>
      <c r="E163" s="3" t="s">
        <v>269</v>
      </c>
      <c r="F163" s="3">
        <v>10</v>
      </c>
      <c r="G163" s="12" t="str">
        <f>_xlfn.XLOOKUP(Tabla3[[#This Row],[ID]],Tabla2[ID],Tabla2[Corregimiento],"NA")</f>
        <v>El Queremal</v>
      </c>
      <c r="H163" s="167">
        <f>_xlfn.XLOOKUP(Tabla3[[#This Row],[LUGAR ENVÍO]],Tabla9[[Nombre ]],Tabla9[Distancia],"NA")</f>
        <v>18.542000000000002</v>
      </c>
      <c r="I163" s="67">
        <f>Tabla3[[#This Row],[Valor Tran]]/(Tabla3[[#This Row],[DISTANCIA (km)]]*2)</f>
        <v>2157.2645885017796</v>
      </c>
      <c r="J163" s="5"/>
      <c r="K163" s="3">
        <v>1</v>
      </c>
      <c r="L163" s="15">
        <v>80000</v>
      </c>
      <c r="M163" s="15">
        <f>Tabla3[[#This Row],[VLR. TRANSPORTE]]/Tabla3[[#This Row],[Numero de Transportes]]</f>
        <v>80000</v>
      </c>
      <c r="N163" s="15">
        <v>3032800</v>
      </c>
      <c r="O163" s="15">
        <f>Tabla3[[#This Row],[VLR. TOTAL FACT.]]-Tabla3[[#This Row],[VLR. TRANSPORTE]]</f>
        <v>2952800</v>
      </c>
      <c r="P163" s="3">
        <v>0</v>
      </c>
      <c r="Q163" s="3" t="s">
        <v>120</v>
      </c>
    </row>
    <row r="164" spans="1:17" ht="15" hidden="1" thickBot="1" x14ac:dyDescent="0.35">
      <c r="A164" s="3">
        <v>58803</v>
      </c>
      <c r="B164" s="184">
        <v>46005</v>
      </c>
      <c r="C164" s="3" t="s">
        <v>94</v>
      </c>
      <c r="D164" s="3" t="s">
        <v>129</v>
      </c>
      <c r="E164" s="3" t="s">
        <v>269</v>
      </c>
      <c r="F164" s="3">
        <v>10</v>
      </c>
      <c r="G164" s="12" t="str">
        <f>_xlfn.XLOOKUP(Tabla3[[#This Row],[ID]],Tabla2[ID],Tabla2[Corregimiento],"NA")</f>
        <v>El Queremal</v>
      </c>
      <c r="H164" s="167">
        <f>_xlfn.XLOOKUP(Tabla3[[#This Row],[LUGAR ENVÍO]],Tabla9[[Nombre ]],Tabla9[Distancia],"NA")</f>
        <v>18.542000000000002</v>
      </c>
      <c r="I164" s="67">
        <f>Tabla3[[#This Row],[Valor Tran]]/(Tabla3[[#This Row],[DISTANCIA (km)]]*2)</f>
        <v>404.48711034408365</v>
      </c>
      <c r="J164" s="5"/>
      <c r="K164" s="3">
        <v>1</v>
      </c>
      <c r="L164" s="15">
        <v>15000</v>
      </c>
      <c r="M164" s="15">
        <f>Tabla3[[#This Row],[VLR. TRANSPORTE]]/Tabla3[[#This Row],[Numero de Transportes]]</f>
        <v>15000</v>
      </c>
      <c r="N164" s="15">
        <v>4936000</v>
      </c>
      <c r="O164" s="15">
        <f>Tabla3[[#This Row],[VLR. TOTAL FACT.]]-Tabla3[[#This Row],[VLR. TRANSPORTE]]</f>
        <v>4921000</v>
      </c>
      <c r="P164" s="3">
        <v>1</v>
      </c>
      <c r="Q164" s="3" t="s">
        <v>120</v>
      </c>
    </row>
    <row r="165" spans="1:17" ht="15" thickBot="1" x14ac:dyDescent="0.35">
      <c r="A165" s="93">
        <v>47019</v>
      </c>
      <c r="B165" s="98">
        <v>45969</v>
      </c>
      <c r="C165" s="93" t="s">
        <v>94</v>
      </c>
      <c r="D165" s="93" t="s">
        <v>116</v>
      </c>
      <c r="E165" s="93" t="s">
        <v>672</v>
      </c>
      <c r="F165" s="93">
        <v>2</v>
      </c>
      <c r="G165" s="91" t="str">
        <f>_xlfn.XLOOKUP(Tabla3[[#This Row],[ID]],Tabla2[ID],Tabla2[Corregimiento],"NA")</f>
        <v>Borrero Ayerbe</v>
      </c>
      <c r="H165" s="167">
        <f>_xlfn.XLOOKUP(Tabla3[[#This Row],[LUGAR ENVÍO]],Tabla9[[Nombre ]],Tabla9[Distancia],"NA")</f>
        <v>0.83599999999999997</v>
      </c>
      <c r="I165" s="97">
        <f>Tabla3[[#This Row],[Valor Tran]]/(Tabla3[[#This Row],[DISTANCIA (km)]]*2)</f>
        <v>5980.8612440191391</v>
      </c>
      <c r="J165" s="99"/>
      <c r="K165" s="93">
        <v>1</v>
      </c>
      <c r="L165" s="96">
        <v>10000</v>
      </c>
      <c r="M165" s="96">
        <f>Tabla3[[#This Row],[VLR. TRANSPORTE]]/Tabla3[[#This Row],[Numero de Transportes]]</f>
        <v>10000</v>
      </c>
      <c r="N165" s="96">
        <v>134800</v>
      </c>
      <c r="O165" s="96">
        <f>Tabla3[[#This Row],[VLR. TOTAL FACT.]]-Tabla3[[#This Row],[VLR. TRANSPORTE]]</f>
        <v>124800</v>
      </c>
      <c r="P165" s="93">
        <v>0</v>
      </c>
      <c r="Q165" s="93" t="s">
        <v>96</v>
      </c>
    </row>
    <row r="166" spans="1:17" ht="15" thickBot="1" x14ac:dyDescent="0.35">
      <c r="A166" s="3">
        <v>58718</v>
      </c>
      <c r="B166" s="184">
        <v>45986</v>
      </c>
      <c r="C166" s="3" t="s">
        <v>94</v>
      </c>
      <c r="D166" s="3" t="s">
        <v>151</v>
      </c>
      <c r="E166" s="3" t="s">
        <v>672</v>
      </c>
      <c r="F166" s="3">
        <v>2</v>
      </c>
      <c r="G166" s="12" t="str">
        <f>_xlfn.XLOOKUP(Tabla3[[#This Row],[ID]],Tabla2[ID],Tabla2[Corregimiento],"NA")</f>
        <v>Borrero Ayerbe</v>
      </c>
      <c r="H166" s="167">
        <f>_xlfn.XLOOKUP(Tabla3[[#This Row],[LUGAR ENVÍO]],Tabla9[[Nombre ]],Tabla9[Distancia],"NA")</f>
        <v>0.83599999999999997</v>
      </c>
      <c r="I166" s="67">
        <f>Tabla3[[#This Row],[Valor Tran]]/(Tabla3[[#This Row],[DISTANCIA (km)]]*2)</f>
        <v>47846.889952153113</v>
      </c>
      <c r="J166" s="5"/>
      <c r="K166" s="3">
        <v>1</v>
      </c>
      <c r="L166" s="15">
        <v>80000</v>
      </c>
      <c r="M166" s="15">
        <f>Tabla3[[#This Row],[VLR. TRANSPORTE]]/Tabla3[[#This Row],[Numero de Transportes]]</f>
        <v>80000</v>
      </c>
      <c r="N166" s="15">
        <v>252000</v>
      </c>
      <c r="O166" s="15">
        <f>Tabla3[[#This Row],[VLR. TOTAL FACT.]]-Tabla3[[#This Row],[VLR. TRANSPORTE]]</f>
        <v>172000</v>
      </c>
      <c r="P166" s="3">
        <v>1</v>
      </c>
      <c r="Q166" s="3" t="s">
        <v>96</v>
      </c>
    </row>
    <row r="167" spans="1:17" ht="27.6" thickBot="1" x14ac:dyDescent="0.35">
      <c r="A167" s="146">
        <v>49224</v>
      </c>
      <c r="B167" s="148" t="s">
        <v>616</v>
      </c>
      <c r="C167" s="146" t="s">
        <v>94</v>
      </c>
      <c r="D167" s="146" t="s">
        <v>639</v>
      </c>
      <c r="E167" s="146" t="s">
        <v>672</v>
      </c>
      <c r="F167" s="146">
        <v>2</v>
      </c>
      <c r="G167" s="12" t="str">
        <f>_xlfn.XLOOKUP(Tabla3[[#This Row],[ID]],Tabla2[ID],Tabla2[Corregimiento],"NA")</f>
        <v>Borrero Ayerbe</v>
      </c>
      <c r="H167" s="167">
        <f>_xlfn.XLOOKUP(Tabla3[[#This Row],[LUGAR ENVÍO]],Tabla9[[Nombre ]],Tabla9[Distancia],"NA")</f>
        <v>0.83599999999999997</v>
      </c>
      <c r="I167" s="67">
        <f>Tabla3[[#This Row],[Valor Tran]]/(Tabla3[[#This Row],[DISTANCIA (km)]]*2)</f>
        <v>17942.583732057417</v>
      </c>
      <c r="J167" s="150"/>
      <c r="K167" s="146">
        <v>1</v>
      </c>
      <c r="L167" s="152">
        <v>30000</v>
      </c>
      <c r="M167" s="152">
        <v>30000</v>
      </c>
      <c r="N167" s="152">
        <v>392600</v>
      </c>
      <c r="O167" s="15">
        <f>Tabla3[[#This Row],[VLR. TOTAL FACT.]]-Tabla3[[#This Row],[VLR. TRANSPORTE]]</f>
        <v>362600</v>
      </c>
      <c r="P167" s="146">
        <v>1</v>
      </c>
      <c r="Q167" s="146" t="s">
        <v>120</v>
      </c>
    </row>
    <row r="168" spans="1:17" ht="15" thickBot="1" x14ac:dyDescent="0.35">
      <c r="A168" s="93">
        <v>58126</v>
      </c>
      <c r="B168" s="98">
        <v>45967</v>
      </c>
      <c r="C168" s="93" t="s">
        <v>101</v>
      </c>
      <c r="D168" s="93" t="s">
        <v>102</v>
      </c>
      <c r="E168" s="93" t="s">
        <v>672</v>
      </c>
      <c r="F168" s="93">
        <v>2</v>
      </c>
      <c r="G168" s="91" t="str">
        <f>_xlfn.XLOOKUP(Tabla3[[#This Row],[ID]],Tabla2[ID],Tabla2[Corregimiento],"NA")</f>
        <v>Borrero Ayerbe</v>
      </c>
      <c r="H168" s="167">
        <f>_xlfn.XLOOKUP(Tabla3[[#This Row],[LUGAR ENVÍO]],Tabla9[[Nombre ]],Tabla9[Distancia],"NA")</f>
        <v>0.83599999999999997</v>
      </c>
      <c r="I168" s="192">
        <f>Tabla3[[#This Row],[Valor Tran]]/(Tabla3[[#This Row],[DISTANCIA (km)]]*2)</f>
        <v>17942.583732057417</v>
      </c>
      <c r="J168" s="99"/>
      <c r="K168" s="93">
        <v>1</v>
      </c>
      <c r="L168" s="96">
        <v>30000</v>
      </c>
      <c r="M168" s="96">
        <f>Tabla3[[#This Row],[VLR. TRANSPORTE]]/Tabla3[[#This Row],[Numero de Transportes]]</f>
        <v>30000</v>
      </c>
      <c r="N168" s="96">
        <v>412000</v>
      </c>
      <c r="O168" s="96">
        <f>Tabla3[[#This Row],[VLR. TOTAL FACT.]]-Tabla3[[#This Row],[VLR. TRANSPORTE]]</f>
        <v>382000</v>
      </c>
      <c r="P168" s="93">
        <v>1</v>
      </c>
      <c r="Q168" s="93" t="s">
        <v>100</v>
      </c>
    </row>
    <row r="169" spans="1:17" ht="27.6" thickBot="1" x14ac:dyDescent="0.35">
      <c r="A169" s="147">
        <v>50576</v>
      </c>
      <c r="B169" s="149" t="s">
        <v>629</v>
      </c>
      <c r="C169" s="147" t="s">
        <v>94</v>
      </c>
      <c r="D169" s="147" t="s">
        <v>615</v>
      </c>
      <c r="E169" s="147" t="s">
        <v>672</v>
      </c>
      <c r="F169" s="147">
        <v>2</v>
      </c>
      <c r="G169" s="12" t="str">
        <f>_xlfn.XLOOKUP(Tabla3[[#This Row],[ID]],Tabla2[ID],Tabla2[Corregimiento],"NA")</f>
        <v>Borrero Ayerbe</v>
      </c>
      <c r="H169" s="167">
        <f>_xlfn.XLOOKUP(Tabla3[[#This Row],[LUGAR ENVÍO]],Tabla9[[Nombre ]],Tabla9[Distancia],"NA")</f>
        <v>0.83599999999999997</v>
      </c>
      <c r="I169" s="67">
        <f>Tabla3[[#This Row],[Valor Tran]]/(Tabla3[[#This Row],[DISTANCIA (km)]]*2)</f>
        <v>17942.583732057417</v>
      </c>
      <c r="J169" s="151"/>
      <c r="K169" s="147">
        <v>1</v>
      </c>
      <c r="L169" s="153">
        <v>30000</v>
      </c>
      <c r="M169" s="153">
        <v>30000</v>
      </c>
      <c r="N169" s="153">
        <v>448100</v>
      </c>
      <c r="O169" s="15">
        <f>Tabla3[[#This Row],[VLR. TOTAL FACT.]]-Tabla3[[#This Row],[VLR. TRANSPORTE]]</f>
        <v>418100</v>
      </c>
      <c r="P169" s="147">
        <v>1</v>
      </c>
      <c r="Q169" s="147" t="s">
        <v>100</v>
      </c>
    </row>
    <row r="170" spans="1:17" ht="27.6" hidden="1" thickBot="1" x14ac:dyDescent="0.35">
      <c r="A170" s="3">
        <v>30623</v>
      </c>
      <c r="B170" s="4">
        <v>45983</v>
      </c>
      <c r="C170" s="3" t="s">
        <v>101</v>
      </c>
      <c r="D170" s="3" t="s">
        <v>140</v>
      </c>
      <c r="E170" s="171" t="s">
        <v>513</v>
      </c>
      <c r="F170" s="3">
        <v>8</v>
      </c>
      <c r="G170" s="12" t="str">
        <f>_xlfn.XLOOKUP(Tabla3[[#This Row],[ID]],Tabla2[ID],Tabla2[Corregimiento],"NA")</f>
        <v>El Palmar</v>
      </c>
      <c r="H170" s="167">
        <f>_xlfn.XLOOKUP(Tabla3[[#This Row],[LUGAR ENVÍO]],Tabla9[[Nombre ]],Tabla9[Distancia],"NA")</f>
        <v>4.9299999999999988</v>
      </c>
      <c r="I170" s="87">
        <f>Tabla3[[#This Row],[Valor Tran]]/(Tabla3[[#This Row],[DISTANCIA (km)]]*2)</f>
        <v>2535.4969574036518</v>
      </c>
      <c r="J170" s="5"/>
      <c r="K170" s="3">
        <v>1</v>
      </c>
      <c r="L170" s="15">
        <v>25000</v>
      </c>
      <c r="M170" s="15">
        <f>Tabla3[[#This Row],[VLR. TRANSPORTE]]/Tabla3[[#This Row],[Numero de Transportes]]</f>
        <v>25000</v>
      </c>
      <c r="N170" s="15">
        <v>152200</v>
      </c>
      <c r="O170" s="15">
        <f>Tabla3[[#This Row],[VLR. TOTAL FACT.]]-Tabla3[[#This Row],[VLR. TRANSPORTE]]</f>
        <v>127200</v>
      </c>
      <c r="P170" s="3">
        <v>0</v>
      </c>
      <c r="Q170" s="3" t="s">
        <v>100</v>
      </c>
    </row>
    <row r="171" spans="1:17" ht="15" hidden="1" thickBot="1" x14ac:dyDescent="0.35">
      <c r="A171" s="3">
        <v>57685</v>
      </c>
      <c r="B171" s="4">
        <v>45962</v>
      </c>
      <c r="C171" s="3" t="s">
        <v>101</v>
      </c>
      <c r="D171" s="3" t="s">
        <v>202</v>
      </c>
      <c r="E171" s="171" t="s">
        <v>513</v>
      </c>
      <c r="F171" s="3">
        <v>8</v>
      </c>
      <c r="G171" s="12" t="str">
        <f>_xlfn.XLOOKUP(Tabla3[[#This Row],[ID]],Tabla2[ID],Tabla2[Corregimiento],"NA")</f>
        <v>El Palmar</v>
      </c>
      <c r="H171" s="167">
        <f>_xlfn.XLOOKUP(Tabla3[[#This Row],[LUGAR ENVÍO]],Tabla9[[Nombre ]],Tabla9[Distancia],"NA")</f>
        <v>4.9299999999999988</v>
      </c>
      <c r="I171" s="67">
        <f>Tabla3[[#This Row],[Valor Tran]]/(Tabla3[[#This Row],[DISTANCIA (km)]]*2)</f>
        <v>8113.5902636916853</v>
      </c>
      <c r="J171" s="5"/>
      <c r="K171" s="3">
        <v>1</v>
      </c>
      <c r="L171" s="15">
        <v>80000</v>
      </c>
      <c r="M171" s="15">
        <f>Tabla3[[#This Row],[VLR. TRANSPORTE]]/Tabla3[[#This Row],[Numero de Transportes]]</f>
        <v>80000</v>
      </c>
      <c r="N171" s="15">
        <v>415000</v>
      </c>
      <c r="O171" s="15">
        <f>Tabla3[[#This Row],[VLR. TOTAL FACT.]]-Tabla3[[#This Row],[VLR. TRANSPORTE]]</f>
        <v>335000</v>
      </c>
      <c r="P171" s="3">
        <v>0</v>
      </c>
      <c r="Q171" s="3" t="s">
        <v>100</v>
      </c>
    </row>
    <row r="172" spans="1:17" ht="27.6" hidden="1" thickBot="1" x14ac:dyDescent="0.35">
      <c r="A172" s="3">
        <v>58804</v>
      </c>
      <c r="B172" s="184">
        <v>45993</v>
      </c>
      <c r="C172" s="3" t="s">
        <v>94</v>
      </c>
      <c r="D172" s="3" t="s">
        <v>261</v>
      </c>
      <c r="E172" s="3" t="s">
        <v>513</v>
      </c>
      <c r="F172" s="3">
        <v>8</v>
      </c>
      <c r="G172" s="12" t="str">
        <f>_xlfn.XLOOKUP(Tabla3[[#This Row],[ID]],Tabla2[ID],Tabla2[Corregimiento],"NA")</f>
        <v>El Palmar</v>
      </c>
      <c r="H172" s="167">
        <f>_xlfn.XLOOKUP(Tabla3[[#This Row],[LUGAR ENVÍO]],Tabla9[[Nombre ]],Tabla9[Distancia],"NA")</f>
        <v>4.9299999999999988</v>
      </c>
      <c r="I172" s="67">
        <f>Tabla3[[#This Row],[Valor Tran]]/(Tabla3[[#This Row],[DISTANCIA (km)]]*2)</f>
        <v>1521.2981744421911</v>
      </c>
      <c r="J172" s="5"/>
      <c r="K172" s="3">
        <v>1</v>
      </c>
      <c r="L172" s="15">
        <v>15000</v>
      </c>
      <c r="M172" s="15">
        <f>Tabla3[[#This Row],[VLR. TRANSPORTE]]/Tabla3[[#This Row],[Numero de Transportes]]</f>
        <v>15000</v>
      </c>
      <c r="N172" s="15">
        <v>2515000</v>
      </c>
      <c r="O172" s="15">
        <f>Tabla3[[#This Row],[VLR. TOTAL FACT.]]-Tabla3[[#This Row],[VLR. TRANSPORTE]]</f>
        <v>2500000</v>
      </c>
      <c r="P172" s="3">
        <v>1</v>
      </c>
      <c r="Q172" s="3" t="s">
        <v>100</v>
      </c>
    </row>
    <row r="173" spans="1:17" ht="15" hidden="1" thickBot="1" x14ac:dyDescent="0.35">
      <c r="A173" s="3">
        <v>46851</v>
      </c>
      <c r="B173" s="4">
        <v>45967</v>
      </c>
      <c r="C173" s="3" t="s">
        <v>94</v>
      </c>
      <c r="D173" s="3" t="s">
        <v>183</v>
      </c>
      <c r="E173" s="3" t="s">
        <v>671</v>
      </c>
      <c r="F173" s="3">
        <v>6</v>
      </c>
      <c r="G173" s="12" t="str">
        <f>_xlfn.XLOOKUP(Tabla3[[#This Row],[ID]],Tabla2[ID],Tabla2[Corregimiento],"NA")</f>
        <v>El Limonar</v>
      </c>
      <c r="H173" s="167">
        <f>_xlfn.XLOOKUP(Tabla3[[#This Row],[LUGAR ENVÍO]],Tabla9[[Nombre ]],Tabla9[Distancia],"NA")</f>
        <v>4.7129999999999992</v>
      </c>
      <c r="I173" s="67">
        <f>Tabla3[[#This Row],[Valor Tran]]/(Tabla3[[#This Row],[DISTANCIA (km)]]*2)</f>
        <v>1591.3430935709741</v>
      </c>
      <c r="J173" s="5"/>
      <c r="K173" s="3">
        <v>1</v>
      </c>
      <c r="L173" s="15">
        <v>15000</v>
      </c>
      <c r="M173" s="15">
        <f>Tabla3[[#This Row],[VLR. TRANSPORTE]]/Tabla3[[#This Row],[Numero de Transportes]]</f>
        <v>15000</v>
      </c>
      <c r="N173" s="15">
        <v>562000</v>
      </c>
      <c r="O173" s="15">
        <f>Tabla3[[#This Row],[VLR. TOTAL FACT.]]-Tabla3[[#This Row],[VLR. TRANSPORTE]]</f>
        <v>547000</v>
      </c>
      <c r="P173" s="3">
        <v>1</v>
      </c>
      <c r="Q173" s="3" t="s">
        <v>96</v>
      </c>
    </row>
    <row r="174" spans="1:17" ht="15" hidden="1" thickBot="1" x14ac:dyDescent="0.35">
      <c r="A174" s="147">
        <v>37328</v>
      </c>
      <c r="B174" s="149" t="s">
        <v>648</v>
      </c>
      <c r="C174" s="147" t="s">
        <v>101</v>
      </c>
      <c r="D174" s="147" t="s">
        <v>274</v>
      </c>
      <c r="E174" s="177" t="s">
        <v>671</v>
      </c>
      <c r="F174" s="147">
        <v>6</v>
      </c>
      <c r="G174" s="12" t="str">
        <f>_xlfn.XLOOKUP(Tabla3[[#This Row],[ID]],Tabla2[ID],Tabla2[Corregimiento],"NA")</f>
        <v>El Limonar</v>
      </c>
      <c r="H174" s="167">
        <f>_xlfn.XLOOKUP(Tabla3[[#This Row],[LUGAR ENVÍO]],Tabla9[[Nombre ]],Tabla9[Distancia],"NA")</f>
        <v>4.7129999999999992</v>
      </c>
      <c r="I174" s="67">
        <f>Tabla3[[#This Row],[Valor Tran]]/(Tabla3[[#This Row],[DISTANCIA (km)]]*2)</f>
        <v>1591.3430935709741</v>
      </c>
      <c r="J174" s="151"/>
      <c r="K174" s="147">
        <v>1</v>
      </c>
      <c r="L174" s="153">
        <v>15000</v>
      </c>
      <c r="M174" s="153">
        <v>15000</v>
      </c>
      <c r="N174" s="153">
        <v>592000</v>
      </c>
      <c r="O174" s="15">
        <f>Tabla3[[#This Row],[VLR. TOTAL FACT.]]-Tabla3[[#This Row],[VLR. TRANSPORTE]]</f>
        <v>577000</v>
      </c>
      <c r="P174" s="147">
        <v>1</v>
      </c>
      <c r="Q174" s="147" t="s">
        <v>100</v>
      </c>
    </row>
    <row r="175" spans="1:17" ht="27.6" hidden="1" thickBot="1" x14ac:dyDescent="0.35">
      <c r="A175" s="147">
        <v>55154</v>
      </c>
      <c r="B175" s="149" t="s">
        <v>620</v>
      </c>
      <c r="C175" s="147" t="s">
        <v>94</v>
      </c>
      <c r="D175" s="147" t="s">
        <v>311</v>
      </c>
      <c r="E175" s="147" t="s">
        <v>671</v>
      </c>
      <c r="F175" s="147">
        <v>6</v>
      </c>
      <c r="G175" s="12" t="str">
        <f>_xlfn.XLOOKUP(Tabla3[[#This Row],[ID]],Tabla2[ID],Tabla2[Corregimiento],"NA")</f>
        <v>El Limonar</v>
      </c>
      <c r="H175" s="167">
        <f>_xlfn.XLOOKUP(Tabla3[[#This Row],[LUGAR ENVÍO]],Tabla9[[Nombre ]],Tabla9[Distancia],"NA")</f>
        <v>4.7129999999999992</v>
      </c>
      <c r="I175" s="67">
        <f>Tabla3[[#This Row],[Valor Tran]]/(Tabla3[[#This Row],[DISTANCIA (km)]]*2)</f>
        <v>4243.5815828559307</v>
      </c>
      <c r="J175" s="151"/>
      <c r="K175" s="147">
        <v>1</v>
      </c>
      <c r="L175" s="153">
        <v>40000</v>
      </c>
      <c r="M175" s="153">
        <v>40000</v>
      </c>
      <c r="N175" s="153">
        <v>734600</v>
      </c>
      <c r="O175" s="15">
        <f>Tabla3[[#This Row],[VLR. TOTAL FACT.]]-Tabla3[[#This Row],[VLR. TRANSPORTE]]</f>
        <v>694600</v>
      </c>
      <c r="P175" s="147">
        <v>1</v>
      </c>
      <c r="Q175" s="147" t="s">
        <v>100</v>
      </c>
    </row>
    <row r="176" spans="1:17" ht="15" hidden="1" thickBot="1" x14ac:dyDescent="0.35">
      <c r="A176" s="3">
        <v>30630</v>
      </c>
      <c r="B176" s="4">
        <v>45973</v>
      </c>
      <c r="C176" s="3" t="s">
        <v>101</v>
      </c>
      <c r="D176" s="3" t="s">
        <v>148</v>
      </c>
      <c r="E176" s="3" t="s">
        <v>671</v>
      </c>
      <c r="F176" s="3">
        <v>6</v>
      </c>
      <c r="G176" s="12" t="str">
        <f>_xlfn.XLOOKUP(Tabla3[[#This Row],[ID]],Tabla2[ID],Tabla2[Corregimiento],"NA")</f>
        <v>El Limonar</v>
      </c>
      <c r="H176" s="167">
        <f>_xlfn.XLOOKUP(Tabla3[[#This Row],[LUGAR ENVÍO]],Tabla9[[Nombre ]],Tabla9[Distancia],"NA")</f>
        <v>4.7129999999999992</v>
      </c>
      <c r="I176" s="67">
        <f>Tabla3[[#This Row],[Valor Tran]]/(Tabla3[[#This Row],[DISTANCIA (km)]]*2)</f>
        <v>7426.2677699978794</v>
      </c>
      <c r="J176" s="5"/>
      <c r="K176" s="3">
        <v>1</v>
      </c>
      <c r="L176" s="15">
        <v>70000</v>
      </c>
      <c r="M176" s="15">
        <f>Tabla3[[#This Row],[VLR. TRANSPORTE]]/Tabla3[[#This Row],[Numero de Transportes]]</f>
        <v>70000</v>
      </c>
      <c r="N176" s="15">
        <v>785000</v>
      </c>
      <c r="O176" s="15">
        <f>Tabla3[[#This Row],[VLR. TOTAL FACT.]]-Tabla3[[#This Row],[VLR. TRANSPORTE]]</f>
        <v>715000</v>
      </c>
      <c r="P176" s="3">
        <v>0</v>
      </c>
      <c r="Q176" s="3" t="s">
        <v>100</v>
      </c>
    </row>
    <row r="177" spans="1:17" ht="15" hidden="1" thickBot="1" x14ac:dyDescent="0.35">
      <c r="A177" s="3">
        <v>47704</v>
      </c>
      <c r="B177" s="4">
        <v>45975</v>
      </c>
      <c r="C177" s="3" t="s">
        <v>94</v>
      </c>
      <c r="D177" s="3" t="s">
        <v>218</v>
      </c>
      <c r="E177" s="171" t="s">
        <v>503</v>
      </c>
      <c r="F177" s="3">
        <v>22</v>
      </c>
      <c r="G177" s="12" t="str">
        <f>_xlfn.XLOOKUP(Tabla3[[#This Row],[ID]],Tabla2[ID],Tabla2[Corregimiento],"NA")</f>
        <v>San Bernardo</v>
      </c>
      <c r="H177" s="167">
        <f>_xlfn.XLOOKUP(Tabla3[[#This Row],[LUGAR ENVÍO]],Tabla9[[Nombre ]],Tabla9[Distancia],"NA")</f>
        <v>8.4710000000000001</v>
      </c>
      <c r="I177" s="67">
        <f>Tabla3[[#This Row],[Valor Tran]]/(Tabla3[[#This Row],[DISTANCIA (km)]]*2)</f>
        <v>2065.8717978987133</v>
      </c>
      <c r="J177" s="5"/>
      <c r="K177" s="3">
        <v>1</v>
      </c>
      <c r="L177" s="15">
        <v>35000</v>
      </c>
      <c r="M177" s="15">
        <f>Tabla3[[#This Row],[VLR. TRANSPORTE]]/Tabla3[[#This Row],[Numero de Transportes]]</f>
        <v>35000</v>
      </c>
      <c r="N177" s="15">
        <v>440900</v>
      </c>
      <c r="O177" s="15">
        <f>Tabla3[[#This Row],[VLR. TOTAL FACT.]]-Tabla3[[#This Row],[VLR. TRANSPORTE]]</f>
        <v>405900</v>
      </c>
      <c r="P177" s="3">
        <v>0</v>
      </c>
      <c r="Q177" s="3" t="s">
        <v>96</v>
      </c>
    </row>
    <row r="178" spans="1:17" ht="27.6" hidden="1" thickBot="1" x14ac:dyDescent="0.35">
      <c r="A178" s="3">
        <v>30532</v>
      </c>
      <c r="B178" s="4">
        <v>45975</v>
      </c>
      <c r="C178" s="3" t="s">
        <v>94</v>
      </c>
      <c r="D178" s="3" t="s">
        <v>281</v>
      </c>
      <c r="E178" s="171" t="s">
        <v>503</v>
      </c>
      <c r="F178" s="3">
        <v>22</v>
      </c>
      <c r="G178" s="12" t="str">
        <f>_xlfn.XLOOKUP(Tabla3[[#This Row],[ID]],Tabla2[ID],Tabla2[Corregimiento],"NA")</f>
        <v>San Bernardo</v>
      </c>
      <c r="H178" s="167">
        <f>_xlfn.XLOOKUP(Tabla3[[#This Row],[LUGAR ENVÍO]],Tabla9[[Nombre ]],Tabla9[Distancia],"NA")</f>
        <v>8.4710000000000001</v>
      </c>
      <c r="I178" s="67">
        <f>Tabla3[[#This Row],[Valor Tran]]/(Tabla3[[#This Row],[DISTANCIA (km)]]*2)</f>
        <v>2360.9963404556725</v>
      </c>
      <c r="J178" s="5"/>
      <c r="K178" s="3">
        <v>1</v>
      </c>
      <c r="L178" s="15">
        <v>40000</v>
      </c>
      <c r="M178" s="15">
        <f>Tabla3[[#This Row],[VLR. TRANSPORTE]]/Tabla3[[#This Row],[Numero de Transportes]]</f>
        <v>40000</v>
      </c>
      <c r="N178" s="15">
        <v>635000</v>
      </c>
      <c r="O178" s="15">
        <f>Tabla3[[#This Row],[VLR. TOTAL FACT.]]-Tabla3[[#This Row],[VLR. TRANSPORTE]]</f>
        <v>595000</v>
      </c>
      <c r="P178" s="3">
        <v>0</v>
      </c>
      <c r="Q178" s="3" t="s">
        <v>254</v>
      </c>
    </row>
    <row r="179" spans="1:17" ht="27.6" hidden="1" thickBot="1" x14ac:dyDescent="0.35">
      <c r="A179" s="146">
        <v>50115</v>
      </c>
      <c r="B179" s="148" t="s">
        <v>630</v>
      </c>
      <c r="C179" s="146" t="s">
        <v>94</v>
      </c>
      <c r="D179" s="146" t="s">
        <v>636</v>
      </c>
      <c r="E179" s="146" t="s">
        <v>638</v>
      </c>
      <c r="F179" s="146">
        <v>4</v>
      </c>
      <c r="G179" s="12" t="str">
        <f>_xlfn.XLOOKUP(Tabla3[[#This Row],[ID]],Tabla2[ID],Tabla2[Corregimiento],"NA")</f>
        <v>El Carmen</v>
      </c>
      <c r="H179" s="167">
        <f>_xlfn.XLOOKUP(Tabla3[[#This Row],[LUGAR ENVÍO]],Tabla9[[Nombre ]],Tabla9[Distancia],"NA")</f>
        <v>8.4710000000000001</v>
      </c>
      <c r="I179" s="67">
        <f>Tabla3[[#This Row],[Valor Tran]]/(Tabla3[[#This Row],[DISTANCIA (km)]]*2)</f>
        <v>2360.9963404556725</v>
      </c>
      <c r="J179" s="150"/>
      <c r="K179" s="146">
        <v>1</v>
      </c>
      <c r="L179" s="152">
        <v>40000</v>
      </c>
      <c r="M179" s="152">
        <v>40000</v>
      </c>
      <c r="N179" s="152">
        <v>1832000</v>
      </c>
      <c r="O179" s="15">
        <f>Tabla3[[#This Row],[VLR. TOTAL FACT.]]-Tabla3[[#This Row],[VLR. TRANSPORTE]]</f>
        <v>1792000</v>
      </c>
      <c r="P179" s="146">
        <v>1</v>
      </c>
      <c r="Q179" s="146" t="s">
        <v>100</v>
      </c>
    </row>
    <row r="180" spans="1:17" ht="15" hidden="1" thickBot="1" x14ac:dyDescent="0.35">
      <c r="A180" s="146">
        <v>49645</v>
      </c>
      <c r="B180" s="148" t="s">
        <v>621</v>
      </c>
      <c r="C180" s="146" t="s">
        <v>94</v>
      </c>
      <c r="D180" s="146" t="s">
        <v>260</v>
      </c>
      <c r="E180" s="146" t="s">
        <v>638</v>
      </c>
      <c r="F180" s="146">
        <v>4</v>
      </c>
      <c r="G180" s="12" t="str">
        <f>_xlfn.XLOOKUP(Tabla3[[#This Row],[ID]],Tabla2[ID],Tabla2[Corregimiento],"NA")</f>
        <v>El Carmen</v>
      </c>
      <c r="H180" s="167">
        <f>_xlfn.XLOOKUP(Tabla3[[#This Row],[LUGAR ENVÍO]],Tabla9[[Nombre ]],Tabla9[Distancia],"NA")</f>
        <v>8.4710000000000001</v>
      </c>
      <c r="I180" s="67">
        <f>Tabla3[[#This Row],[Valor Tran]]/(Tabla3[[#This Row],[DISTANCIA (km)]]*2)</f>
        <v>5017.1172234683036</v>
      </c>
      <c r="J180" s="150"/>
      <c r="K180" s="146">
        <v>1</v>
      </c>
      <c r="L180" s="152">
        <v>85000</v>
      </c>
      <c r="M180" s="152">
        <v>85000</v>
      </c>
      <c r="N180" s="152">
        <v>3469200</v>
      </c>
      <c r="O180" s="15">
        <f>Tabla3[[#This Row],[VLR. TOTAL FACT.]]-Tabla3[[#This Row],[VLR. TRANSPORTE]]</f>
        <v>3384200</v>
      </c>
      <c r="P180" s="146">
        <v>1</v>
      </c>
      <c r="Q180" s="146" t="s">
        <v>100</v>
      </c>
    </row>
    <row r="181" spans="1:17" ht="27.6" hidden="1" thickBot="1" x14ac:dyDescent="0.35">
      <c r="A181" s="146">
        <v>49586</v>
      </c>
      <c r="B181" s="148" t="s">
        <v>614</v>
      </c>
      <c r="C181" s="146" t="s">
        <v>94</v>
      </c>
      <c r="D181" s="146" t="s">
        <v>637</v>
      </c>
      <c r="E181" s="146" t="s">
        <v>638</v>
      </c>
      <c r="F181" s="146">
        <v>4</v>
      </c>
      <c r="G181" s="12" t="str">
        <f>_xlfn.XLOOKUP(Tabla3[[#This Row],[ID]],Tabla2[ID],Tabla2[Corregimiento],"NA")</f>
        <v>El Carmen</v>
      </c>
      <c r="H181" s="167">
        <f>_xlfn.XLOOKUP(Tabla3[[#This Row],[LUGAR ENVÍO]],Tabla9[[Nombre ]],Tabla9[Distancia],"NA")</f>
        <v>8.4710000000000001</v>
      </c>
      <c r="I181" s="67">
        <f>Tabla3[[#This Row],[Valor Tran]]/(Tabla3[[#This Row],[DISTANCIA (km)]]*2)</f>
        <v>4721.9926809113449</v>
      </c>
      <c r="J181" s="150"/>
      <c r="K181" s="146">
        <v>1</v>
      </c>
      <c r="L181" s="152">
        <v>80000</v>
      </c>
      <c r="M181" s="152">
        <v>80000</v>
      </c>
      <c r="N181" s="152">
        <v>4971400</v>
      </c>
      <c r="O181" s="15">
        <f>Tabla3[[#This Row],[VLR. TOTAL FACT.]]-Tabla3[[#This Row],[VLR. TRANSPORTE]]</f>
        <v>4891400</v>
      </c>
      <c r="P181" s="146">
        <v>1</v>
      </c>
      <c r="Q181" s="146" t="s">
        <v>96</v>
      </c>
    </row>
    <row r="182" spans="1:17" ht="15" hidden="1" thickBot="1" x14ac:dyDescent="0.35">
      <c r="A182" s="3">
        <v>48585</v>
      </c>
      <c r="B182" s="4">
        <v>45983</v>
      </c>
      <c r="C182" s="3" t="s">
        <v>94</v>
      </c>
      <c r="D182" s="3" t="s">
        <v>159</v>
      </c>
      <c r="E182" s="3" t="s">
        <v>503</v>
      </c>
      <c r="F182" s="3">
        <v>4</v>
      </c>
      <c r="G182" s="12" t="str">
        <f>_xlfn.XLOOKUP(Tabla3[[#This Row],[ID]],Tabla2[ID],Tabla2[Corregimiento],"NA")</f>
        <v>El Carmen</v>
      </c>
      <c r="H182" s="167">
        <f>_xlfn.XLOOKUP(Tabla3[[#This Row],[LUGAR ENVÍO]],Tabla9[[Nombre ]],Tabla9[Distancia],"NA")</f>
        <v>8.4710000000000001</v>
      </c>
      <c r="I182" s="67">
        <f>Tabla3[[#This Row],[Valor Tran]]/(Tabla3[[#This Row],[DISTANCIA (km)]]*2)</f>
        <v>2360.9963404556725</v>
      </c>
      <c r="J182" s="5"/>
      <c r="K182" s="3">
        <v>2</v>
      </c>
      <c r="L182" s="15">
        <v>80000</v>
      </c>
      <c r="M182" s="15">
        <f>Tabla3[[#This Row],[VLR. TRANSPORTE]]/Tabla3[[#This Row],[Numero de Transportes]]</f>
        <v>40000</v>
      </c>
      <c r="N182" s="15">
        <v>5520700</v>
      </c>
      <c r="O182" s="15">
        <f>Tabla3[[#This Row],[VLR. TOTAL FACT.]]-Tabla3[[#This Row],[VLR. TRANSPORTE]]</f>
        <v>5440700</v>
      </c>
      <c r="P182" s="3">
        <v>1</v>
      </c>
      <c r="Q182" s="3" t="s">
        <v>96</v>
      </c>
    </row>
    <row r="183" spans="1:17" ht="27.6" hidden="1" thickBot="1" x14ac:dyDescent="0.35">
      <c r="A183" s="3">
        <v>48553</v>
      </c>
      <c r="B183" s="4">
        <v>45986</v>
      </c>
      <c r="C183" s="3" t="s">
        <v>94</v>
      </c>
      <c r="D183" s="3" t="s">
        <v>97</v>
      </c>
      <c r="E183" s="171" t="s">
        <v>554</v>
      </c>
      <c r="F183" s="3">
        <v>4</v>
      </c>
      <c r="G183" s="12" t="str">
        <f>_xlfn.XLOOKUP(Tabla3[[#This Row],[ID]],Tabla2[ID],Tabla2[Corregimiento],"NA")</f>
        <v>El Carmen</v>
      </c>
      <c r="H183" s="167">
        <f>_xlfn.XLOOKUP(Tabla3[[#This Row],[LUGAR ENVÍO]],Tabla9[[Nombre ]],Tabla9[Distancia],"NA")</f>
        <v>2.649999999999999</v>
      </c>
      <c r="I183" s="67">
        <f>Tabla3[[#This Row],[Valor Tran]]/(Tabla3[[#This Row],[DISTANCIA (km)]]*2)</f>
        <v>13207.547169811325</v>
      </c>
      <c r="J183" s="5"/>
      <c r="K183" s="3">
        <v>1</v>
      </c>
      <c r="L183" s="15">
        <v>70000</v>
      </c>
      <c r="M183" s="15">
        <f>Tabla3[[#This Row],[VLR. TRANSPORTE]]/Tabla3[[#This Row],[Numero de Transportes]]</f>
        <v>70000</v>
      </c>
      <c r="N183" s="15">
        <v>270500</v>
      </c>
      <c r="O183" s="15">
        <f>Tabla3[[#This Row],[VLR. TOTAL FACT.]]-Tabla3[[#This Row],[VLR. TRANSPORTE]]</f>
        <v>200500</v>
      </c>
      <c r="P183" s="3">
        <v>1</v>
      </c>
      <c r="Q183" s="3" t="s">
        <v>96</v>
      </c>
    </row>
    <row r="184" spans="1:17" ht="15" hidden="1" thickBot="1" x14ac:dyDescent="0.35">
      <c r="A184" s="93">
        <v>59198</v>
      </c>
      <c r="B184" s="98">
        <v>45991</v>
      </c>
      <c r="C184" s="93" t="s">
        <v>94</v>
      </c>
      <c r="D184" s="93" t="s">
        <v>313</v>
      </c>
      <c r="E184" s="3" t="s">
        <v>554</v>
      </c>
      <c r="F184" s="93">
        <v>4</v>
      </c>
      <c r="G184" s="91" t="str">
        <f>_xlfn.XLOOKUP(Tabla3[[#This Row],[ID]],Tabla2[ID],Tabla2[Corregimiento],"NA")</f>
        <v>El Carmen</v>
      </c>
      <c r="H184" s="167">
        <f>_xlfn.XLOOKUP(Tabla3[[#This Row],[LUGAR ENVÍO]],Tabla9[[Nombre ]],Tabla9[Distancia],"NA")</f>
        <v>2.649999999999999</v>
      </c>
      <c r="I184" s="192">
        <f>Tabla3[[#This Row],[Valor Tran]]/(Tabla3[[#This Row],[DISTANCIA (km)]]*2)</f>
        <v>7547.1698113207576</v>
      </c>
      <c r="J184" s="99"/>
      <c r="K184" s="93">
        <v>1</v>
      </c>
      <c r="L184" s="96">
        <v>40000</v>
      </c>
      <c r="M184" s="96">
        <f>Tabla3[[#This Row],[VLR. TRANSPORTE]]/Tabla3[[#This Row],[Numero de Transportes]]</f>
        <v>40000</v>
      </c>
      <c r="N184" s="96">
        <v>380000</v>
      </c>
      <c r="O184" s="96">
        <f>Tabla3[[#This Row],[VLR. TOTAL FACT.]]-Tabla3[[#This Row],[VLR. TRANSPORTE]]</f>
        <v>340000</v>
      </c>
      <c r="P184" s="93">
        <v>0</v>
      </c>
      <c r="Q184" s="93" t="s">
        <v>100</v>
      </c>
    </row>
    <row r="185" spans="1:17" ht="27.6" hidden="1" thickBot="1" x14ac:dyDescent="0.35">
      <c r="A185" s="3">
        <v>30506</v>
      </c>
      <c r="B185" s="4">
        <v>45973</v>
      </c>
      <c r="C185" s="3" t="s">
        <v>94</v>
      </c>
      <c r="D185" s="3" t="s">
        <v>252</v>
      </c>
      <c r="E185" s="3" t="s">
        <v>554</v>
      </c>
      <c r="F185" s="3">
        <v>4</v>
      </c>
      <c r="G185" s="12" t="str">
        <f>_xlfn.XLOOKUP(Tabla3[[#This Row],[ID]],Tabla2[ID],Tabla2[Corregimiento],"NA")</f>
        <v>El Carmen</v>
      </c>
      <c r="H185" s="167">
        <f>_xlfn.XLOOKUP(Tabla3[[#This Row],[LUGAR ENVÍO]],Tabla9[[Nombre ]],Tabla9[Distancia],"NA")</f>
        <v>2.649999999999999</v>
      </c>
      <c r="I185" s="67">
        <f>Tabla3[[#This Row],[Valor Tran]]/(Tabla3[[#This Row],[DISTANCIA (km)]]*2)</f>
        <v>11320.754716981137</v>
      </c>
      <c r="J185" s="5"/>
      <c r="K185" s="3">
        <v>1</v>
      </c>
      <c r="L185" s="15">
        <v>60000</v>
      </c>
      <c r="M185" s="15">
        <f>Tabla3[[#This Row],[VLR. TRANSPORTE]]/Tabla3[[#This Row],[Numero de Transportes]]</f>
        <v>60000</v>
      </c>
      <c r="N185" s="15">
        <v>524000</v>
      </c>
      <c r="O185" s="15">
        <f>Tabla3[[#This Row],[VLR. TOTAL FACT.]]-Tabla3[[#This Row],[VLR. TRANSPORTE]]</f>
        <v>464000</v>
      </c>
      <c r="P185" s="3">
        <v>0</v>
      </c>
      <c r="Q185" s="3" t="s">
        <v>254</v>
      </c>
    </row>
    <row r="186" spans="1:17" ht="27.6" hidden="1" thickBot="1" x14ac:dyDescent="0.35">
      <c r="A186" s="3">
        <v>48458</v>
      </c>
      <c r="B186" s="4">
        <v>45983</v>
      </c>
      <c r="C186" s="3" t="s">
        <v>94</v>
      </c>
      <c r="D186" s="3" t="s">
        <v>133</v>
      </c>
      <c r="E186" s="172" t="s">
        <v>554</v>
      </c>
      <c r="F186" s="3">
        <v>4</v>
      </c>
      <c r="G186" s="12" t="str">
        <f>_xlfn.XLOOKUP(Tabla3[[#This Row],[ID]],Tabla2[ID],Tabla2[Corregimiento],"NA")</f>
        <v>El Carmen</v>
      </c>
      <c r="H186" s="167">
        <f>_xlfn.XLOOKUP(Tabla3[[#This Row],[LUGAR ENVÍO]],Tabla9[[Nombre ]],Tabla9[Distancia],"NA")</f>
        <v>2.649999999999999</v>
      </c>
      <c r="I186" s="67">
        <f>Tabla3[[#This Row],[Valor Tran]]/(Tabla3[[#This Row],[DISTANCIA (km)]]*2)</f>
        <v>11320.754716981137</v>
      </c>
      <c r="J186" s="5"/>
      <c r="K186" s="3">
        <v>1</v>
      </c>
      <c r="L186" s="15">
        <v>60000</v>
      </c>
      <c r="M186" s="15">
        <f>Tabla3[[#This Row],[VLR. TRANSPORTE]]/Tabla3[[#This Row],[Numero de Transportes]]</f>
        <v>60000</v>
      </c>
      <c r="N186" s="15">
        <v>854500</v>
      </c>
      <c r="O186" s="15">
        <f>Tabla3[[#This Row],[VLR. TOTAL FACT.]]-Tabla3[[#This Row],[VLR. TRANSPORTE]]</f>
        <v>794500</v>
      </c>
      <c r="P186" s="3">
        <v>1</v>
      </c>
      <c r="Q186" s="3" t="s">
        <v>96</v>
      </c>
    </row>
    <row r="187" spans="1:17" ht="27.6" hidden="1" thickBot="1" x14ac:dyDescent="0.35">
      <c r="A187" s="3">
        <v>59254</v>
      </c>
      <c r="B187" s="4">
        <v>45990</v>
      </c>
      <c r="C187" s="3" t="s">
        <v>94</v>
      </c>
      <c r="D187" s="3" t="s">
        <v>319</v>
      </c>
      <c r="E187" s="3" t="s">
        <v>554</v>
      </c>
      <c r="F187" s="3">
        <v>4</v>
      </c>
      <c r="G187" s="12" t="str">
        <f>_xlfn.XLOOKUP(Tabla3[[#This Row],[ID]],Tabla2[ID],Tabla2[Corregimiento],"NA")</f>
        <v>El Carmen</v>
      </c>
      <c r="H187" s="167">
        <f>_xlfn.XLOOKUP(Tabla3[[#This Row],[LUGAR ENVÍO]],Tabla9[[Nombre ]],Tabla9[Distancia],"NA")</f>
        <v>2.649999999999999</v>
      </c>
      <c r="I187" s="67">
        <f>Tabla3[[#This Row],[Valor Tran]]/(Tabla3[[#This Row],[DISTANCIA (km)]]*2)</f>
        <v>15094.339622641515</v>
      </c>
      <c r="J187" s="5"/>
      <c r="K187" s="3">
        <v>1</v>
      </c>
      <c r="L187" s="15">
        <v>80000</v>
      </c>
      <c r="M187" s="15">
        <f>Tabla3[[#This Row],[VLR. TRANSPORTE]]/Tabla3[[#This Row],[Numero de Transportes]]</f>
        <v>80000</v>
      </c>
      <c r="N187" s="15">
        <v>932200</v>
      </c>
      <c r="O187" s="15">
        <f>Tabla3[[#This Row],[VLR. TOTAL FACT.]]-Tabla3[[#This Row],[VLR. TRANSPORTE]]</f>
        <v>852200</v>
      </c>
      <c r="P187" s="3">
        <v>0</v>
      </c>
      <c r="Q187" s="3" t="s">
        <v>100</v>
      </c>
    </row>
    <row r="188" spans="1:17" ht="27.6" hidden="1" thickBot="1" x14ac:dyDescent="0.35">
      <c r="A188" s="147">
        <v>47729</v>
      </c>
      <c r="B188" s="149" t="s">
        <v>623</v>
      </c>
      <c r="C188" s="147" t="s">
        <v>94</v>
      </c>
      <c r="D188" s="147" t="s">
        <v>310</v>
      </c>
      <c r="E188" s="171" t="s">
        <v>554</v>
      </c>
      <c r="F188" s="147">
        <v>4</v>
      </c>
      <c r="G188" s="12" t="str">
        <f>_xlfn.XLOOKUP(Tabla3[[#This Row],[ID]],Tabla2[ID],Tabla2[Corregimiento],"NA")</f>
        <v>El Carmen</v>
      </c>
      <c r="H188" s="167">
        <f>_xlfn.XLOOKUP(Tabla3[[#This Row],[LUGAR ENVÍO]],Tabla9[[Nombre ]],Tabla9[Distancia],"NA")</f>
        <v>2.649999999999999</v>
      </c>
      <c r="I188" s="67">
        <f>Tabla3[[#This Row],[Valor Tran]]/(Tabla3[[#This Row],[DISTANCIA (km)]]*2)</f>
        <v>13207.547169811325</v>
      </c>
      <c r="J188" s="151"/>
      <c r="K188" s="147">
        <v>1</v>
      </c>
      <c r="L188" s="153">
        <v>70000</v>
      </c>
      <c r="M188" s="153">
        <v>70000</v>
      </c>
      <c r="N188" s="153">
        <v>1128800</v>
      </c>
      <c r="O188" s="15">
        <f>Tabla3[[#This Row],[VLR. TOTAL FACT.]]-Tabla3[[#This Row],[VLR. TRANSPORTE]]</f>
        <v>1058800</v>
      </c>
      <c r="P188" s="147">
        <v>1</v>
      </c>
      <c r="Q188" s="147" t="s">
        <v>100</v>
      </c>
    </row>
    <row r="189" spans="1:17" ht="27.6" hidden="1" thickBot="1" x14ac:dyDescent="0.35">
      <c r="A189" s="146">
        <v>54994</v>
      </c>
      <c r="B189" s="148" t="s">
        <v>621</v>
      </c>
      <c r="C189" s="146" t="s">
        <v>101</v>
      </c>
      <c r="D189" s="146" t="s">
        <v>622</v>
      </c>
      <c r="E189" s="171" t="s">
        <v>554</v>
      </c>
      <c r="F189" s="146">
        <v>4</v>
      </c>
      <c r="G189" s="12" t="str">
        <f>_xlfn.XLOOKUP(Tabla3[[#This Row],[ID]],Tabla2[ID],Tabla2[Corregimiento],"NA")</f>
        <v>El Carmen</v>
      </c>
      <c r="H189" s="167">
        <f>_xlfn.XLOOKUP(Tabla3[[#This Row],[LUGAR ENVÍO]],Tabla9[[Nombre ]],Tabla9[Distancia],"NA")</f>
        <v>2.649999999999999</v>
      </c>
      <c r="I189" s="67">
        <f>Tabla3[[#This Row],[Valor Tran]]/(Tabla3[[#This Row],[DISTANCIA (km)]]*2)</f>
        <v>16981.132075471705</v>
      </c>
      <c r="J189" s="150"/>
      <c r="K189" s="146">
        <v>3</v>
      </c>
      <c r="L189" s="152">
        <v>270000</v>
      </c>
      <c r="M189" s="152">
        <v>90000</v>
      </c>
      <c r="N189" s="152">
        <v>1338600</v>
      </c>
      <c r="O189" s="15">
        <f>Tabla3[[#This Row],[VLR. TOTAL FACT.]]-Tabla3[[#This Row],[VLR. TRANSPORTE]]</f>
        <v>1068600</v>
      </c>
      <c r="P189" s="146">
        <v>1</v>
      </c>
      <c r="Q189" s="146" t="s">
        <v>96</v>
      </c>
    </row>
    <row r="190" spans="1:17" ht="15" hidden="1" thickBot="1" x14ac:dyDescent="0.35">
      <c r="A190" s="3">
        <v>48569</v>
      </c>
      <c r="B190" s="4">
        <v>45984</v>
      </c>
      <c r="C190" s="3" t="s">
        <v>94</v>
      </c>
      <c r="D190" s="3" t="s">
        <v>162</v>
      </c>
      <c r="E190" s="3" t="s">
        <v>554</v>
      </c>
      <c r="F190" s="3">
        <v>4</v>
      </c>
      <c r="G190" s="12" t="str">
        <f>_xlfn.XLOOKUP(Tabla3[[#This Row],[ID]],Tabla2[ID],Tabla2[Corregimiento],"NA")</f>
        <v>El Carmen</v>
      </c>
      <c r="H190" s="167">
        <f>_xlfn.XLOOKUP(Tabla3[[#This Row],[LUGAR ENVÍO]],Tabla9[[Nombre ]],Tabla9[Distancia],"NA")</f>
        <v>2.649999999999999</v>
      </c>
      <c r="I190" s="67">
        <f>Tabla3[[#This Row],[Valor Tran]]/(Tabla3[[#This Row],[DISTANCIA (km)]]*2)</f>
        <v>15094.339622641515</v>
      </c>
      <c r="J190" s="5"/>
      <c r="K190" s="3">
        <v>1</v>
      </c>
      <c r="L190" s="15">
        <v>80000</v>
      </c>
      <c r="M190" s="15">
        <f>Tabla3[[#This Row],[VLR. TRANSPORTE]]/Tabla3[[#This Row],[Numero de Transportes]]</f>
        <v>80000</v>
      </c>
      <c r="N190" s="15">
        <v>1219500</v>
      </c>
      <c r="O190" s="15">
        <f>Tabla3[[#This Row],[VLR. TOTAL FACT.]]-Tabla3[[#This Row],[VLR. TRANSPORTE]]</f>
        <v>1139500</v>
      </c>
      <c r="P190" s="3">
        <v>1</v>
      </c>
      <c r="Q190" s="3" t="s">
        <v>96</v>
      </c>
    </row>
    <row r="191" spans="1:17" ht="27.6" hidden="1" thickBot="1" x14ac:dyDescent="0.35">
      <c r="A191" s="12">
        <v>48607</v>
      </c>
      <c r="B191" s="13">
        <v>45985</v>
      </c>
      <c r="C191" s="12" t="s">
        <v>94</v>
      </c>
      <c r="D191" s="12" t="s">
        <v>95</v>
      </c>
      <c r="E191" s="12" t="s">
        <v>554</v>
      </c>
      <c r="F191" s="12">
        <v>4</v>
      </c>
      <c r="G191" s="12" t="str">
        <f>_xlfn.XLOOKUP(Tabla3[[#This Row],[ID]],Tabla2[ID],Tabla2[Corregimiento],"NA")</f>
        <v>El Carmen</v>
      </c>
      <c r="H191" s="167">
        <f>_xlfn.XLOOKUP(Tabla3[[#This Row],[LUGAR ENVÍO]],Tabla9[[Nombre ]],Tabla9[Distancia],"NA")</f>
        <v>2.649999999999999</v>
      </c>
      <c r="I191" s="67">
        <f>Tabla3[[#This Row],[Valor Tran]]/(Tabla3[[#This Row],[DISTANCIA (km)]]*2)</f>
        <v>7547.1698113207576</v>
      </c>
      <c r="J191" s="14"/>
      <c r="K191" s="12">
        <v>2</v>
      </c>
      <c r="L191" s="16">
        <v>80000</v>
      </c>
      <c r="M191" s="16">
        <f>Tabla3[[#This Row],[VLR. TRANSPORTE]]/Tabla3[[#This Row],[Numero de Transportes]]</f>
        <v>40000</v>
      </c>
      <c r="N191" s="16">
        <v>1495000</v>
      </c>
      <c r="O191" s="15">
        <f>Tabla3[[#This Row],[VLR. TOTAL FACT.]]-Tabla3[[#This Row],[VLR. TRANSPORTE]]</f>
        <v>1415000</v>
      </c>
      <c r="P191" s="12">
        <v>1</v>
      </c>
      <c r="Q191" s="12" t="s">
        <v>96</v>
      </c>
    </row>
    <row r="192" spans="1:17" ht="27.6" hidden="1" thickBot="1" x14ac:dyDescent="0.35">
      <c r="A192" s="3">
        <v>30513</v>
      </c>
      <c r="B192" s="4">
        <v>45973</v>
      </c>
      <c r="C192" s="3" t="s">
        <v>94</v>
      </c>
      <c r="D192" s="3" t="s">
        <v>282</v>
      </c>
      <c r="E192" s="3" t="s">
        <v>554</v>
      </c>
      <c r="F192" s="3">
        <v>4</v>
      </c>
      <c r="G192" s="12" t="str">
        <f>_xlfn.XLOOKUP(Tabla3[[#This Row],[ID]],Tabla2[ID],Tabla2[Corregimiento],"NA")</f>
        <v>El Carmen</v>
      </c>
      <c r="H192" s="167">
        <f>_xlfn.XLOOKUP(Tabla3[[#This Row],[LUGAR ENVÍO]],Tabla9[[Nombre ]],Tabla9[Distancia],"NA")</f>
        <v>2.649999999999999</v>
      </c>
      <c r="I192" s="67">
        <f>Tabla3[[#This Row],[Valor Tran]]/(Tabla3[[#This Row],[DISTANCIA (km)]]*2)</f>
        <v>15094.339622641515</v>
      </c>
      <c r="J192" s="5"/>
      <c r="K192" s="3">
        <v>2</v>
      </c>
      <c r="L192" s="81">
        <v>160000</v>
      </c>
      <c r="M192" s="195">
        <f>Tabla3[[#This Row],[VLR. TRANSPORTE]]/Tabla3[[#This Row],[Numero de Transportes]]</f>
        <v>80000</v>
      </c>
      <c r="N192" s="81">
        <v>1595000</v>
      </c>
      <c r="O192" s="15">
        <f>Tabla3[[#This Row],[VLR. TOTAL FACT.]]-Tabla3[[#This Row],[VLR. TRANSPORTE]]</f>
        <v>1435000</v>
      </c>
      <c r="P192" s="3">
        <v>1</v>
      </c>
      <c r="Q192" s="3" t="s">
        <v>254</v>
      </c>
    </row>
    <row r="193" spans="1:17" ht="27.6" hidden="1" thickBot="1" x14ac:dyDescent="0.35">
      <c r="A193" s="3">
        <v>58872</v>
      </c>
      <c r="B193" s="184">
        <v>45981</v>
      </c>
      <c r="C193" s="3" t="s">
        <v>94</v>
      </c>
      <c r="D193" s="3" t="s">
        <v>123</v>
      </c>
      <c r="E193" s="3" t="s">
        <v>554</v>
      </c>
      <c r="F193" s="3">
        <v>4</v>
      </c>
      <c r="G193" s="12" t="str">
        <f>_xlfn.XLOOKUP(Tabla3[[#This Row],[ID]],Tabla2[ID],Tabla2[Corregimiento],"NA")</f>
        <v>El Carmen</v>
      </c>
      <c r="H193" s="167">
        <f>_xlfn.XLOOKUP(Tabla3[[#This Row],[LUGAR ENVÍO]],Tabla9[[Nombre ]],Tabla9[Distancia],"NA")</f>
        <v>2.649999999999999</v>
      </c>
      <c r="I193" s="67">
        <f>Tabla3[[#This Row],[Valor Tran]]/(Tabla3[[#This Row],[DISTANCIA (km)]]*2)</f>
        <v>2830.1886792452842</v>
      </c>
      <c r="J193" s="5"/>
      <c r="K193" s="3">
        <v>1</v>
      </c>
      <c r="L193" s="15">
        <v>15000</v>
      </c>
      <c r="M193" s="16">
        <f>Tabla3[[#This Row],[VLR. TRANSPORTE]]/Tabla3[[#This Row],[Numero de Transportes]]</f>
        <v>15000</v>
      </c>
      <c r="N193" s="15">
        <v>4816000</v>
      </c>
      <c r="O193" s="15">
        <f>Tabla3[[#This Row],[VLR. TOTAL FACT.]]-Tabla3[[#This Row],[VLR. TRANSPORTE]]</f>
        <v>4801000</v>
      </c>
      <c r="P193" s="3">
        <v>1</v>
      </c>
      <c r="Q193" s="3" t="s">
        <v>120</v>
      </c>
    </row>
    <row r="194" spans="1:17" ht="27.6" hidden="1" thickBot="1" x14ac:dyDescent="0.35">
      <c r="A194" s="3">
        <v>30764</v>
      </c>
      <c r="B194" s="4">
        <v>45984</v>
      </c>
      <c r="C194" s="3" t="s">
        <v>94</v>
      </c>
      <c r="D194" s="3" t="s">
        <v>316</v>
      </c>
      <c r="E194" s="3" t="s">
        <v>686</v>
      </c>
      <c r="F194" s="3">
        <v>4</v>
      </c>
      <c r="G194" s="12" t="str">
        <f>_xlfn.XLOOKUP(Tabla3[[#This Row],[ID]],Tabla2[ID],Tabla2[Corregimiento],"NA")</f>
        <v>El Carmen</v>
      </c>
      <c r="H194" s="167">
        <f>_xlfn.XLOOKUP(Tabla3[[#This Row],[LUGAR ENVÍO]],Tabla9[[Nombre ]],Tabla9[Distancia],"NA")</f>
        <v>1.544</v>
      </c>
      <c r="I194" s="67">
        <f>Tabla3[[#This Row],[Valor Tran]]/(Tabla3[[#This Row],[DISTANCIA (km)]]*2)</f>
        <v>12953.367875647667</v>
      </c>
      <c r="J194" s="5"/>
      <c r="K194" s="3">
        <v>1</v>
      </c>
      <c r="L194" s="15">
        <v>40000</v>
      </c>
      <c r="M194" s="16">
        <f>Tabla3[[#This Row],[VLR. TRANSPORTE]]/Tabla3[[#This Row],[Numero de Transportes]]</f>
        <v>40000</v>
      </c>
      <c r="N194" s="15">
        <v>1480000</v>
      </c>
      <c r="O194" s="15">
        <f>Tabla3[[#This Row],[VLR. TOTAL FACT.]]-Tabla3[[#This Row],[VLR. TRANSPORTE]]</f>
        <v>1440000</v>
      </c>
      <c r="P194" s="3">
        <v>0</v>
      </c>
      <c r="Q194" s="3" t="s">
        <v>251</v>
      </c>
    </row>
    <row r="195" spans="1:17" ht="15" hidden="1" thickBot="1" x14ac:dyDescent="0.35">
      <c r="A195" s="93">
        <v>48443</v>
      </c>
      <c r="B195" s="98">
        <v>45984</v>
      </c>
      <c r="C195" s="93" t="s">
        <v>94</v>
      </c>
      <c r="D195" s="93" t="s">
        <v>147</v>
      </c>
      <c r="E195" s="93" t="s">
        <v>687</v>
      </c>
      <c r="F195" s="93">
        <v>6</v>
      </c>
      <c r="G195" s="91" t="str">
        <f>_xlfn.XLOOKUP(Tabla3[[#This Row],[ID]],Tabla2[ID],Tabla2[Corregimiento],"NA")</f>
        <v>El Limonar</v>
      </c>
      <c r="H195" s="167">
        <f>_xlfn.XLOOKUP(Tabla3[[#This Row],[LUGAR ENVÍO]],Tabla9[[Nombre ]],Tabla9[Distancia],"NA")</f>
        <v>14.314000000000002</v>
      </c>
      <c r="I195" s="97">
        <f>Tabla3[[#This Row],[Valor Tran]]/(Tabla3[[#This Row],[DISTANCIA (km)]]*2)</f>
        <v>2445.1585859997203</v>
      </c>
      <c r="J195" s="99"/>
      <c r="K195" s="93">
        <v>1</v>
      </c>
      <c r="L195" s="96">
        <v>70000</v>
      </c>
      <c r="M195" s="95">
        <f>Tabla3[[#This Row],[VLR. TRANSPORTE]]/Tabla3[[#This Row],[Numero de Transportes]]</f>
        <v>70000</v>
      </c>
      <c r="N195" s="96">
        <v>300000</v>
      </c>
      <c r="O195" s="96">
        <f>Tabla3[[#This Row],[VLR. TOTAL FACT.]]-Tabla3[[#This Row],[VLR. TRANSPORTE]]</f>
        <v>230000</v>
      </c>
      <c r="P195" s="93">
        <v>1</v>
      </c>
      <c r="Q195" s="93" t="s">
        <v>96</v>
      </c>
    </row>
    <row r="196" spans="1:17" ht="15" hidden="1" thickBot="1" x14ac:dyDescent="0.35">
      <c r="A196" s="3">
        <v>58658</v>
      </c>
      <c r="B196" s="184">
        <v>46005</v>
      </c>
      <c r="C196" s="3" t="s">
        <v>101</v>
      </c>
      <c r="D196" s="3" t="s">
        <v>128</v>
      </c>
      <c r="E196" s="3" t="s">
        <v>687</v>
      </c>
      <c r="F196" s="3">
        <v>6</v>
      </c>
      <c r="G196" s="12" t="str">
        <f>_xlfn.XLOOKUP(Tabla3[[#This Row],[ID]],Tabla2[ID],Tabla2[Corregimiento],"NA")</f>
        <v>El Limonar</v>
      </c>
      <c r="H196" s="167">
        <f>_xlfn.XLOOKUP(Tabla3[[#This Row],[LUGAR ENVÍO]],Tabla9[[Nombre ]],Tabla9[Distancia],"NA")</f>
        <v>14.314000000000002</v>
      </c>
      <c r="I196" s="67">
        <f>Tabla3[[#This Row],[Valor Tran]]/(Tabla3[[#This Row],[DISTANCIA (km)]]*2)</f>
        <v>2794.4669554282518</v>
      </c>
      <c r="J196" s="5"/>
      <c r="K196" s="3">
        <v>1</v>
      </c>
      <c r="L196" s="15">
        <v>80000</v>
      </c>
      <c r="M196" s="16">
        <f>Tabla3[[#This Row],[VLR. TRANSPORTE]]/Tabla3[[#This Row],[Numero de Transportes]]</f>
        <v>80000</v>
      </c>
      <c r="N196" s="15">
        <v>817000</v>
      </c>
      <c r="O196" s="15">
        <f>Tabla3[[#This Row],[VLR. TOTAL FACT.]]-Tabla3[[#This Row],[VLR. TRANSPORTE]]</f>
        <v>737000</v>
      </c>
      <c r="P196" s="3">
        <v>1</v>
      </c>
      <c r="Q196" s="3" t="s">
        <v>96</v>
      </c>
    </row>
    <row r="197" spans="1:17" ht="27.6" hidden="1" thickBot="1" x14ac:dyDescent="0.35">
      <c r="A197" s="3">
        <v>58024</v>
      </c>
      <c r="B197" s="4">
        <v>45964</v>
      </c>
      <c r="C197" s="3" t="s">
        <v>101</v>
      </c>
      <c r="D197" s="3" t="s">
        <v>195</v>
      </c>
      <c r="E197" s="171" t="s">
        <v>510</v>
      </c>
      <c r="F197" s="3">
        <v>4</v>
      </c>
      <c r="G197" s="12" t="str">
        <f>_xlfn.XLOOKUP(Tabla3[[#This Row],[ID]],Tabla2[ID],Tabla2[Corregimiento],"NA")</f>
        <v>El Carmen</v>
      </c>
      <c r="H197" s="167">
        <f>_xlfn.XLOOKUP(Tabla3[[#This Row],[LUGAR ENVÍO]],Tabla9[[Nombre ]],Tabla9[Distancia],"NA")</f>
        <v>6.1239999999999988</v>
      </c>
      <c r="I197" s="67">
        <f>Tabla3[[#This Row],[Valor Tran]]/(Tabla3[[#This Row],[DISTANCIA (km)]]*2)</f>
        <v>4898.758981058133</v>
      </c>
      <c r="J197" s="5"/>
      <c r="K197" s="3">
        <v>1</v>
      </c>
      <c r="L197" s="15">
        <v>60000</v>
      </c>
      <c r="M197" s="16">
        <f>Tabla3[[#This Row],[VLR. TRANSPORTE]]/Tabla3[[#This Row],[Numero de Transportes]]</f>
        <v>60000</v>
      </c>
      <c r="N197" s="15">
        <v>301500</v>
      </c>
      <c r="O197" s="15">
        <f>Tabla3[[#This Row],[VLR. TOTAL FACT.]]-Tabla3[[#This Row],[VLR. TRANSPORTE]]</f>
        <v>241500</v>
      </c>
      <c r="P197" s="3">
        <v>1</v>
      </c>
      <c r="Q197" s="3" t="s">
        <v>100</v>
      </c>
    </row>
    <row r="198" spans="1:17" ht="27.6" hidden="1" thickBot="1" x14ac:dyDescent="0.35">
      <c r="A198" s="146">
        <v>48504</v>
      </c>
      <c r="B198" s="148" t="s">
        <v>643</v>
      </c>
      <c r="C198" s="146" t="s">
        <v>94</v>
      </c>
      <c r="D198" s="146" t="s">
        <v>645</v>
      </c>
      <c r="E198" s="146" t="s">
        <v>510</v>
      </c>
      <c r="F198" s="146">
        <v>4</v>
      </c>
      <c r="G198" s="12" t="str">
        <f>_xlfn.XLOOKUP(Tabla3[[#This Row],[ID]],Tabla2[ID],Tabla2[Corregimiento],"NA")</f>
        <v>El Carmen</v>
      </c>
      <c r="H198" s="167">
        <f>_xlfn.XLOOKUP(Tabla3[[#This Row],[LUGAR ENVÍO]],Tabla9[[Nombre ]],Tabla9[Distancia],"NA")</f>
        <v>6.1239999999999988</v>
      </c>
      <c r="I198" s="67">
        <f>Tabla3[[#This Row],[Valor Tran]]/(Tabla3[[#This Row],[DISTANCIA (km)]]*2)</f>
        <v>4082.2991508817772</v>
      </c>
      <c r="J198" s="150"/>
      <c r="K198" s="146">
        <v>1</v>
      </c>
      <c r="L198" s="152">
        <v>50000</v>
      </c>
      <c r="M198" s="179">
        <v>50000</v>
      </c>
      <c r="N198" s="152">
        <v>352500</v>
      </c>
      <c r="O198" s="15">
        <f>Tabla3[[#This Row],[VLR. TOTAL FACT.]]-Tabla3[[#This Row],[VLR. TRANSPORTE]]</f>
        <v>302500</v>
      </c>
      <c r="P198" s="146">
        <v>1</v>
      </c>
      <c r="Q198" s="146" t="s">
        <v>100</v>
      </c>
    </row>
    <row r="199" spans="1:17" ht="27.6" hidden="1" thickBot="1" x14ac:dyDescent="0.35">
      <c r="A199" s="147">
        <v>31052</v>
      </c>
      <c r="B199" s="149" t="s">
        <v>655</v>
      </c>
      <c r="C199" s="147" t="s">
        <v>101</v>
      </c>
      <c r="D199" s="147" t="s">
        <v>639</v>
      </c>
      <c r="E199" s="147" t="s">
        <v>510</v>
      </c>
      <c r="F199" s="147">
        <v>4</v>
      </c>
      <c r="G199" s="12" t="str">
        <f>_xlfn.XLOOKUP(Tabla3[[#This Row],[ID]],Tabla2[ID],Tabla2[Corregimiento],"NA")</f>
        <v>El Carmen</v>
      </c>
      <c r="H199" s="167">
        <f>_xlfn.XLOOKUP(Tabla3[[#This Row],[LUGAR ENVÍO]],Tabla9[[Nombre ]],Tabla9[Distancia],"NA")</f>
        <v>6.1239999999999988</v>
      </c>
      <c r="I199" s="67">
        <f>Tabla3[[#This Row],[Valor Tran]]/(Tabla3[[#This Row],[DISTANCIA (km)]]*2)</f>
        <v>4490.5290659699549</v>
      </c>
      <c r="J199" s="151"/>
      <c r="K199" s="147">
        <v>1</v>
      </c>
      <c r="L199" s="153">
        <v>55000</v>
      </c>
      <c r="M199" s="194">
        <v>55000</v>
      </c>
      <c r="N199" s="153">
        <v>391800</v>
      </c>
      <c r="O199" s="15">
        <f>Tabla3[[#This Row],[VLR. TOTAL FACT.]]-Tabla3[[#This Row],[VLR. TRANSPORTE]]</f>
        <v>336800</v>
      </c>
      <c r="P199" s="147">
        <v>1</v>
      </c>
      <c r="Q199" s="147" t="s">
        <v>96</v>
      </c>
    </row>
    <row r="200" spans="1:17" ht="15" hidden="1" thickBot="1" x14ac:dyDescent="0.35">
      <c r="A200" s="3">
        <v>47035</v>
      </c>
      <c r="B200" s="4">
        <v>45968</v>
      </c>
      <c r="C200" s="3" t="s">
        <v>94</v>
      </c>
      <c r="D200" s="3" t="s">
        <v>104</v>
      </c>
      <c r="E200" s="171" t="s">
        <v>510</v>
      </c>
      <c r="F200" s="3">
        <v>4</v>
      </c>
      <c r="G200" s="12" t="str">
        <f>_xlfn.XLOOKUP(Tabla3[[#This Row],[ID]],Tabla2[ID],Tabla2[Corregimiento],"NA")</f>
        <v>El Carmen</v>
      </c>
      <c r="H200" s="167">
        <f>_xlfn.XLOOKUP(Tabla3[[#This Row],[LUGAR ENVÍO]],Tabla9[[Nombre ]],Tabla9[Distancia],"NA")</f>
        <v>6.1239999999999988</v>
      </c>
      <c r="I200" s="67">
        <f>Tabla3[[#This Row],[Valor Tran]]/(Tabla3[[#This Row],[DISTANCIA (km)]]*2)</f>
        <v>4082.2991508817772</v>
      </c>
      <c r="J200" s="5"/>
      <c r="K200" s="3">
        <v>1</v>
      </c>
      <c r="L200" s="15">
        <v>50000</v>
      </c>
      <c r="M200" s="16">
        <f>Tabla3[[#This Row],[VLR. TRANSPORTE]]/Tabla3[[#This Row],[Numero de Transportes]]</f>
        <v>50000</v>
      </c>
      <c r="N200" s="15">
        <v>467000</v>
      </c>
      <c r="O200" s="15">
        <f>Tabla3[[#This Row],[VLR. TOTAL FACT.]]-Tabla3[[#This Row],[VLR. TRANSPORTE]]</f>
        <v>417000</v>
      </c>
      <c r="P200" s="3">
        <v>1</v>
      </c>
      <c r="Q200" s="3" t="s">
        <v>96</v>
      </c>
    </row>
    <row r="201" spans="1:17" ht="27.6" hidden="1" thickBot="1" x14ac:dyDescent="0.35">
      <c r="A201" s="3">
        <v>58871</v>
      </c>
      <c r="B201" s="184">
        <v>45987</v>
      </c>
      <c r="C201" s="3" t="s">
        <v>94</v>
      </c>
      <c r="D201" s="3" t="s">
        <v>334</v>
      </c>
      <c r="E201" s="3" t="s">
        <v>510</v>
      </c>
      <c r="F201" s="3">
        <v>4</v>
      </c>
      <c r="G201" s="12" t="str">
        <f>_xlfn.XLOOKUP(Tabla3[[#This Row],[ID]],Tabla2[ID],Tabla2[Corregimiento],"NA")</f>
        <v>El Carmen</v>
      </c>
      <c r="H201" s="167">
        <f>_xlfn.XLOOKUP(Tabla3[[#This Row],[LUGAR ENVÍO]],Tabla9[[Nombre ]],Tabla9[Distancia],"NA")</f>
        <v>6.1239999999999988</v>
      </c>
      <c r="I201" s="67">
        <f>Tabla3[[#This Row],[Valor Tran]]/(Tabla3[[#This Row],[DISTANCIA (km)]]*2)</f>
        <v>2041.1495754408886</v>
      </c>
      <c r="J201" s="5"/>
      <c r="K201" s="3">
        <v>1</v>
      </c>
      <c r="L201" s="15">
        <v>25000</v>
      </c>
      <c r="M201" s="16">
        <f>Tabla3[[#This Row],[VLR. TRANSPORTE]]/Tabla3[[#This Row],[Numero de Transportes]]</f>
        <v>25000</v>
      </c>
      <c r="N201" s="15">
        <v>2649000</v>
      </c>
      <c r="O201" s="15">
        <f>Tabla3[[#This Row],[VLR. TOTAL FACT.]]-Tabla3[[#This Row],[VLR. TRANSPORTE]]</f>
        <v>2624000</v>
      </c>
      <c r="P201" s="3">
        <v>1</v>
      </c>
      <c r="Q201" s="3" t="s">
        <v>100</v>
      </c>
    </row>
    <row r="202" spans="1:17" ht="27.6" hidden="1" thickBot="1" x14ac:dyDescent="0.35">
      <c r="A202" s="3">
        <v>58798</v>
      </c>
      <c r="B202" s="184">
        <v>45983</v>
      </c>
      <c r="C202" s="3" t="s">
        <v>101</v>
      </c>
      <c r="D202" s="3" t="s">
        <v>226</v>
      </c>
      <c r="E202" s="3" t="s">
        <v>510</v>
      </c>
      <c r="F202" s="3">
        <v>4</v>
      </c>
      <c r="G202" s="12" t="str">
        <f>_xlfn.XLOOKUP(Tabla3[[#This Row],[ID]],Tabla2[ID],Tabla2[Corregimiento],"NA")</f>
        <v>El Carmen</v>
      </c>
      <c r="H202" s="167">
        <f>_xlfn.XLOOKUP(Tabla3[[#This Row],[LUGAR ENVÍO]],Tabla9[[Nombre ]],Tabla9[Distancia],"NA")</f>
        <v>6.1239999999999988</v>
      </c>
      <c r="I202" s="67">
        <f>Tabla3[[#This Row],[Valor Tran]]/(Tabla3[[#This Row],[DISTANCIA (km)]]*2)</f>
        <v>2449.3794905290665</v>
      </c>
      <c r="J202" s="5"/>
      <c r="K202" s="3">
        <v>1</v>
      </c>
      <c r="L202" s="15">
        <v>30000</v>
      </c>
      <c r="M202" s="16">
        <f>Tabla3[[#This Row],[VLR. TRANSPORTE]]/Tabla3[[#This Row],[Numero de Transportes]]</f>
        <v>30000</v>
      </c>
      <c r="N202" s="15">
        <v>3213000</v>
      </c>
      <c r="O202" s="15">
        <f>Tabla3[[#This Row],[VLR. TOTAL FACT.]]-Tabla3[[#This Row],[VLR. TRANSPORTE]]</f>
        <v>3183000</v>
      </c>
      <c r="P202" s="3">
        <v>1</v>
      </c>
      <c r="Q202" s="3" t="s">
        <v>96</v>
      </c>
    </row>
    <row r="203" spans="1:17" ht="15" thickBot="1" x14ac:dyDescent="0.35">
      <c r="A203" s="3">
        <v>58250</v>
      </c>
      <c r="B203" s="4">
        <v>45971</v>
      </c>
      <c r="C203" s="3" t="s">
        <v>101</v>
      </c>
      <c r="D203" s="3" t="s">
        <v>116</v>
      </c>
      <c r="E203" s="171" t="s">
        <v>497</v>
      </c>
      <c r="F203" s="3">
        <v>2</v>
      </c>
      <c r="G203" s="12" t="str">
        <f>_xlfn.XLOOKUP(Tabla3[[#This Row],[ID]],Tabla2[ID],Tabla2[Corregimiento],"NA")</f>
        <v>Borrero Ayerbe</v>
      </c>
      <c r="H203" s="167">
        <f>_xlfn.XLOOKUP(Tabla3[[#This Row],[LUGAR ENVÍO]],Tabla9[[Nombre ]],Tabla9[Distancia],"NA")</f>
        <v>0.72299999999999998</v>
      </c>
      <c r="I203" s="87">
        <f>Tabla3[[#This Row],[Valor Tran]]/(Tabla3[[#This Row],[DISTANCIA (km)]]*2)</f>
        <v>6915.6293222683271</v>
      </c>
      <c r="J203" s="5"/>
      <c r="K203" s="3">
        <v>1</v>
      </c>
      <c r="L203" s="15">
        <v>10000</v>
      </c>
      <c r="M203" s="16">
        <f>Tabla3[[#This Row],[VLR. TRANSPORTE]]/Tabla3[[#This Row],[Numero de Transportes]]</f>
        <v>10000</v>
      </c>
      <c r="N203" s="15">
        <v>463300</v>
      </c>
      <c r="O203" s="15">
        <f>Tabla3[[#This Row],[VLR. TOTAL FACT.]]-Tabla3[[#This Row],[VLR. TRANSPORTE]]</f>
        <v>453300</v>
      </c>
      <c r="P203" s="3">
        <v>0</v>
      </c>
      <c r="Q203" s="3" t="s">
        <v>100</v>
      </c>
    </row>
    <row r="204" spans="1:17" ht="27.6" thickBot="1" x14ac:dyDescent="0.35">
      <c r="A204" s="3">
        <v>58753</v>
      </c>
      <c r="B204" s="184">
        <v>45984</v>
      </c>
      <c r="C204" s="3" t="s">
        <v>94</v>
      </c>
      <c r="D204" s="3" t="s">
        <v>641</v>
      </c>
      <c r="E204" s="3" t="s">
        <v>497</v>
      </c>
      <c r="F204" s="3">
        <v>2</v>
      </c>
      <c r="G204" s="12" t="str">
        <f>_xlfn.XLOOKUP(Tabla3[[#This Row],[ID]],Tabla2[ID],Tabla2[Corregimiento],"NA")</f>
        <v>Borrero Ayerbe</v>
      </c>
      <c r="H204" s="167">
        <f>_xlfn.XLOOKUP(Tabla3[[#This Row],[LUGAR ENVÍO]],Tabla9[[Nombre ]],Tabla9[Distancia],"NA")</f>
        <v>0.72299999999999998</v>
      </c>
      <c r="I204" s="67">
        <f>Tabla3[[#This Row],[Valor Tran]]/(Tabla3[[#This Row],[DISTANCIA (km)]]*2)</f>
        <v>17289.073305670816</v>
      </c>
      <c r="J204" s="5"/>
      <c r="K204" s="3">
        <v>2</v>
      </c>
      <c r="L204" s="15">
        <v>50000</v>
      </c>
      <c r="M204" s="16">
        <f>Tabla3[[#This Row],[VLR. TRANSPORTE]]/Tabla3[[#This Row],[Numero de Transportes]]</f>
        <v>25000</v>
      </c>
      <c r="N204" s="15">
        <v>1622000</v>
      </c>
      <c r="O204" s="15">
        <f>Tabla3[[#This Row],[VLR. TOTAL FACT.]]-Tabla3[[#This Row],[VLR. TRANSPORTE]]</f>
        <v>1572000</v>
      </c>
      <c r="P204" s="3">
        <v>0</v>
      </c>
      <c r="Q204" s="3" t="s">
        <v>100</v>
      </c>
    </row>
    <row r="205" spans="1:17" ht="15" thickBot="1" x14ac:dyDescent="0.35">
      <c r="A205" s="3">
        <v>58574</v>
      </c>
      <c r="B205" s="4">
        <v>45979</v>
      </c>
      <c r="C205" s="3" t="s">
        <v>94</v>
      </c>
      <c r="D205" s="3" t="s">
        <v>274</v>
      </c>
      <c r="E205" s="3" t="s">
        <v>501</v>
      </c>
      <c r="F205" s="3">
        <v>2</v>
      </c>
      <c r="G205" s="12" t="str">
        <f>_xlfn.XLOOKUP(Tabla3[[#This Row],[ID]],Tabla2[ID],Tabla2[Corregimiento],"NA")</f>
        <v>Borrero Ayerbe</v>
      </c>
      <c r="H205" s="167">
        <f>_xlfn.XLOOKUP(Tabla3[[#This Row],[LUGAR ENVÍO]],Tabla9[[Nombre ]],Tabla9[Distancia],"NA")</f>
        <v>4.7809999999999988</v>
      </c>
      <c r="I205" s="67">
        <f>Tabla3[[#This Row],[Valor Tran]]/(Tabla3[[#This Row],[DISTANCIA (km)]]*2)</f>
        <v>4183.2252666806116</v>
      </c>
      <c r="J205" s="5"/>
      <c r="K205" s="3">
        <v>1</v>
      </c>
      <c r="L205" s="15">
        <v>40000</v>
      </c>
      <c r="M205" s="16">
        <f>Tabla3[[#This Row],[VLR. TRANSPORTE]]/Tabla3[[#This Row],[Numero de Transportes]]</f>
        <v>40000</v>
      </c>
      <c r="N205" s="15">
        <v>482000</v>
      </c>
      <c r="O205" s="15">
        <f>Tabla3[[#This Row],[VLR. TOTAL FACT.]]-Tabla3[[#This Row],[VLR. TRANSPORTE]]</f>
        <v>442000</v>
      </c>
      <c r="P205" s="3">
        <v>0</v>
      </c>
      <c r="Q205" s="3" t="s">
        <v>254</v>
      </c>
    </row>
    <row r="206" spans="1:17" ht="15" thickBot="1" x14ac:dyDescent="0.35">
      <c r="A206" s="3">
        <v>47578</v>
      </c>
      <c r="B206" s="4">
        <v>45972</v>
      </c>
      <c r="C206" s="3" t="s">
        <v>94</v>
      </c>
      <c r="D206" s="3" t="s">
        <v>335</v>
      </c>
      <c r="E206" s="3" t="s">
        <v>501</v>
      </c>
      <c r="F206" s="3">
        <v>2</v>
      </c>
      <c r="G206" s="12" t="str">
        <f>_xlfn.XLOOKUP(Tabla3[[#This Row],[ID]],Tabla2[ID],Tabla2[Corregimiento],"NA")</f>
        <v>Borrero Ayerbe</v>
      </c>
      <c r="H206" s="167">
        <f>_xlfn.XLOOKUP(Tabla3[[#This Row],[LUGAR ENVÍO]],Tabla9[[Nombre ]],Tabla9[Distancia],"NA")</f>
        <v>4.7809999999999988</v>
      </c>
      <c r="I206" s="67">
        <f>Tabla3[[#This Row],[Valor Tran]]/(Tabla3[[#This Row],[DISTANCIA (km)]]*2)</f>
        <v>2614.5157916753824</v>
      </c>
      <c r="J206" s="5"/>
      <c r="K206" s="3">
        <v>1</v>
      </c>
      <c r="L206" s="15">
        <v>25000</v>
      </c>
      <c r="M206" s="16">
        <f>Tabla3[[#This Row],[VLR. TRANSPORTE]]/Tabla3[[#This Row],[Numero de Transportes]]</f>
        <v>25000</v>
      </c>
      <c r="N206" s="15">
        <v>510000</v>
      </c>
      <c r="O206" s="15">
        <f>Tabla3[[#This Row],[VLR. TOTAL FACT.]]-Tabla3[[#This Row],[VLR. TRANSPORTE]]</f>
        <v>485000</v>
      </c>
      <c r="P206" s="3">
        <v>0</v>
      </c>
      <c r="Q206" s="3" t="s">
        <v>251</v>
      </c>
    </row>
    <row r="207" spans="1:17" ht="27.6" thickBot="1" x14ac:dyDescent="0.35">
      <c r="A207" s="3">
        <v>47495</v>
      </c>
      <c r="B207" s="4">
        <v>45971</v>
      </c>
      <c r="C207" s="3" t="s">
        <v>94</v>
      </c>
      <c r="D207" s="3" t="s">
        <v>247</v>
      </c>
      <c r="E207" s="3" t="s">
        <v>501</v>
      </c>
      <c r="F207" s="3">
        <v>2</v>
      </c>
      <c r="G207" s="12" t="str">
        <f>_xlfn.XLOOKUP(Tabla3[[#This Row],[ID]],Tabla2[ID],Tabla2[Corregimiento],"NA")</f>
        <v>Borrero Ayerbe</v>
      </c>
      <c r="H207" s="167">
        <f>_xlfn.XLOOKUP(Tabla3[[#This Row],[LUGAR ENVÍO]],Tabla9[[Nombre ]],Tabla9[Distancia],"NA")</f>
        <v>4.7809999999999988</v>
      </c>
      <c r="I207" s="67">
        <f>Tabla3[[#This Row],[Valor Tran]]/(Tabla3[[#This Row],[DISTANCIA (km)]]*2)</f>
        <v>5229.0315833507648</v>
      </c>
      <c r="J207" s="5"/>
      <c r="K207" s="3">
        <v>2</v>
      </c>
      <c r="L207" s="15">
        <v>100000</v>
      </c>
      <c r="M207" s="16">
        <f>Tabla3[[#This Row],[VLR. TRANSPORTE]]/Tabla3[[#This Row],[Numero de Transportes]]</f>
        <v>50000</v>
      </c>
      <c r="N207" s="15">
        <v>2479900</v>
      </c>
      <c r="O207" s="15">
        <f>Tabla3[[#This Row],[VLR. TOTAL FACT.]]-Tabla3[[#This Row],[VLR. TRANSPORTE]]</f>
        <v>2379900</v>
      </c>
      <c r="P207" s="3">
        <v>0</v>
      </c>
      <c r="Q207" s="3" t="s">
        <v>251</v>
      </c>
    </row>
    <row r="208" spans="1:17" ht="27.6" thickBot="1" x14ac:dyDescent="0.35">
      <c r="A208" s="147">
        <v>38842</v>
      </c>
      <c r="B208" s="149" t="s">
        <v>653</v>
      </c>
      <c r="C208" s="147" t="s">
        <v>101</v>
      </c>
      <c r="D208" s="147" t="s">
        <v>636</v>
      </c>
      <c r="E208" s="147" t="s">
        <v>222</v>
      </c>
      <c r="F208" s="147">
        <v>2</v>
      </c>
      <c r="G208" s="12" t="str">
        <f>_xlfn.XLOOKUP(Tabla3[[#This Row],[ID]],Tabla2[ID],Tabla2[Corregimiento],"NA")</f>
        <v>Borrero Ayerbe</v>
      </c>
      <c r="H208" s="167">
        <f>_xlfn.XLOOKUP(Tabla3[[#This Row],[LUGAR ENVÍO]],Tabla9[[Nombre ]],Tabla9[Distancia],"NA")</f>
        <v>4.6260000000000003</v>
      </c>
      <c r="I208" s="67">
        <f>Tabla3[[#This Row],[Valor Tran]]/(Tabla3[[#This Row],[DISTANCIA (km)]]*2)</f>
        <v>8646.7790747946383</v>
      </c>
      <c r="J208" s="151"/>
      <c r="K208" s="147">
        <v>1</v>
      </c>
      <c r="L208" s="153">
        <v>80000</v>
      </c>
      <c r="M208" s="194">
        <v>80000</v>
      </c>
      <c r="N208" s="153">
        <v>246100</v>
      </c>
      <c r="O208" s="15">
        <f>Tabla3[[#This Row],[VLR. TOTAL FACT.]]-Tabla3[[#This Row],[VLR. TRANSPORTE]]</f>
        <v>166100</v>
      </c>
      <c r="P208" s="147">
        <v>1</v>
      </c>
      <c r="Q208" s="147" t="s">
        <v>120</v>
      </c>
    </row>
    <row r="209" spans="1:17" ht="15" thickBot="1" x14ac:dyDescent="0.35">
      <c r="A209" s="3">
        <v>47665</v>
      </c>
      <c r="B209" s="4">
        <v>45975</v>
      </c>
      <c r="C209" s="3" t="s">
        <v>94</v>
      </c>
      <c r="D209" s="3" t="s">
        <v>221</v>
      </c>
      <c r="E209" s="3" t="s">
        <v>222</v>
      </c>
      <c r="F209" s="3">
        <v>2</v>
      </c>
      <c r="G209" s="12" t="str">
        <f>_xlfn.XLOOKUP(Tabla3[[#This Row],[ID]],Tabla2[ID],Tabla2[Corregimiento],"NA")</f>
        <v>Borrero Ayerbe</v>
      </c>
      <c r="H209" s="167">
        <f>_xlfn.XLOOKUP(Tabla3[[#This Row],[LUGAR ENVÍO]],Tabla9[[Nombre ]],Tabla9[Distancia],"NA")</f>
        <v>4.6260000000000003</v>
      </c>
      <c r="I209" s="67">
        <f>Tabla3[[#This Row],[Valor Tran]]/(Tabla3[[#This Row],[DISTANCIA (km)]]*2)</f>
        <v>3242.5421530479894</v>
      </c>
      <c r="J209" s="5"/>
      <c r="K209" s="3">
        <v>1</v>
      </c>
      <c r="L209" s="15">
        <v>30000</v>
      </c>
      <c r="M209" s="16">
        <f>Tabla3[[#This Row],[VLR. TRANSPORTE]]/Tabla3[[#This Row],[Numero de Transportes]]</f>
        <v>30000</v>
      </c>
      <c r="N209" s="15">
        <v>202000</v>
      </c>
      <c r="O209" s="15">
        <f>Tabla3[[#This Row],[VLR. TOTAL FACT.]]-Tabla3[[#This Row],[VLR. TRANSPORTE]]</f>
        <v>172000</v>
      </c>
      <c r="P209" s="3">
        <v>0</v>
      </c>
      <c r="Q209" s="3" t="s">
        <v>96</v>
      </c>
    </row>
    <row r="210" spans="1:17" ht="15" thickBot="1" x14ac:dyDescent="0.35">
      <c r="A210" s="147">
        <v>48630</v>
      </c>
      <c r="B210" s="149" t="s">
        <v>647</v>
      </c>
      <c r="C210" s="147" t="s">
        <v>94</v>
      </c>
      <c r="D210" s="147" t="s">
        <v>260</v>
      </c>
      <c r="E210" s="147" t="s">
        <v>222</v>
      </c>
      <c r="F210" s="147">
        <v>2</v>
      </c>
      <c r="G210" s="12" t="str">
        <f>_xlfn.XLOOKUP(Tabla3[[#This Row],[ID]],Tabla2[ID],Tabla2[Corregimiento],"NA")</f>
        <v>Borrero Ayerbe</v>
      </c>
      <c r="H210" s="167">
        <f>_xlfn.XLOOKUP(Tabla3[[#This Row],[LUGAR ENVÍO]],Tabla9[[Nombre ]],Tabla9[Distancia],"NA")</f>
        <v>4.6260000000000003</v>
      </c>
      <c r="I210" s="67">
        <f>Tabla3[[#This Row],[Valor Tran]]/(Tabla3[[#This Row],[DISTANCIA (km)]]*2)</f>
        <v>8646.7790747946383</v>
      </c>
      <c r="J210" s="151"/>
      <c r="K210" s="147">
        <v>1</v>
      </c>
      <c r="L210" s="153">
        <v>80000</v>
      </c>
      <c r="M210" s="194">
        <v>80000</v>
      </c>
      <c r="N210" s="153">
        <v>273500</v>
      </c>
      <c r="O210" s="15">
        <f>Tabla3[[#This Row],[VLR. TOTAL FACT.]]-Tabla3[[#This Row],[VLR. TRANSPORTE]]</f>
        <v>193500</v>
      </c>
      <c r="P210" s="147">
        <v>1</v>
      </c>
      <c r="Q210" s="147" t="s">
        <v>100</v>
      </c>
    </row>
    <row r="211" spans="1:17" ht="27.6" thickBot="1" x14ac:dyDescent="0.35">
      <c r="A211" s="3">
        <v>58760</v>
      </c>
      <c r="B211" s="4">
        <v>45981</v>
      </c>
      <c r="C211" s="3" t="s">
        <v>94</v>
      </c>
      <c r="D211" s="3" t="s">
        <v>310</v>
      </c>
      <c r="E211" s="3" t="s">
        <v>222</v>
      </c>
      <c r="F211" s="3">
        <v>2</v>
      </c>
      <c r="G211" s="12" t="str">
        <f>_xlfn.XLOOKUP(Tabla3[[#This Row],[ID]],Tabla2[ID],Tabla2[Corregimiento],"NA")</f>
        <v>Borrero Ayerbe</v>
      </c>
      <c r="H211" s="167">
        <f>_xlfn.XLOOKUP(Tabla3[[#This Row],[LUGAR ENVÍO]],Tabla9[[Nombre ]],Tabla9[Distancia],"NA")</f>
        <v>4.6260000000000003</v>
      </c>
      <c r="I211" s="67">
        <f>Tabla3[[#This Row],[Valor Tran]]/(Tabla3[[#This Row],[DISTANCIA (km)]]*2)</f>
        <v>8646.7790747946383</v>
      </c>
      <c r="J211" s="5"/>
      <c r="K211" s="3">
        <v>1</v>
      </c>
      <c r="L211" s="15">
        <v>80000</v>
      </c>
      <c r="M211" s="16">
        <f>Tabla3[[#This Row],[VLR. TRANSPORTE]]/Tabla3[[#This Row],[Numero de Transportes]]</f>
        <v>80000</v>
      </c>
      <c r="N211" s="15">
        <v>284000</v>
      </c>
      <c r="O211" s="15">
        <f>Tabla3[[#This Row],[VLR. TOTAL FACT.]]-Tabla3[[#This Row],[VLR. TRANSPORTE]]</f>
        <v>204000</v>
      </c>
      <c r="P211" s="3">
        <v>1</v>
      </c>
      <c r="Q211" s="3" t="s">
        <v>251</v>
      </c>
    </row>
    <row r="212" spans="1:17" ht="15" thickBot="1" x14ac:dyDescent="0.35">
      <c r="A212" s="3">
        <v>47735</v>
      </c>
      <c r="B212" s="4">
        <v>45976</v>
      </c>
      <c r="C212" s="3" t="s">
        <v>94</v>
      </c>
      <c r="D212" s="3" t="s">
        <v>221</v>
      </c>
      <c r="E212" s="3" t="s">
        <v>222</v>
      </c>
      <c r="F212" s="3">
        <v>2</v>
      </c>
      <c r="G212" s="12" t="str">
        <f>_xlfn.XLOOKUP(Tabla3[[#This Row],[ID]],Tabla2[ID],Tabla2[Corregimiento],"NA")</f>
        <v>Borrero Ayerbe</v>
      </c>
      <c r="H212" s="167">
        <f>_xlfn.XLOOKUP(Tabla3[[#This Row],[LUGAR ENVÍO]],Tabla9[[Nombre ]],Tabla9[Distancia],"NA")</f>
        <v>4.6260000000000003</v>
      </c>
      <c r="I212" s="67">
        <f>Tabla3[[#This Row],[Valor Tran]]/(Tabla3[[#This Row],[DISTANCIA (km)]]*2)</f>
        <v>4323.3895373973191</v>
      </c>
      <c r="J212" s="5"/>
      <c r="K212" s="3">
        <v>2</v>
      </c>
      <c r="L212" s="15">
        <v>80000</v>
      </c>
      <c r="M212" s="16">
        <f>Tabla3[[#This Row],[VLR. TRANSPORTE]]/Tabla3[[#This Row],[Numero de Transportes]]</f>
        <v>40000</v>
      </c>
      <c r="N212" s="15">
        <v>300000</v>
      </c>
      <c r="O212" s="15">
        <f>Tabla3[[#This Row],[VLR. TOTAL FACT.]]-Tabla3[[#This Row],[VLR. TRANSPORTE]]</f>
        <v>220000</v>
      </c>
      <c r="P212" s="3">
        <v>0</v>
      </c>
      <c r="Q212" s="3" t="s">
        <v>96</v>
      </c>
    </row>
    <row r="213" spans="1:17" ht="27.6" thickBot="1" x14ac:dyDescent="0.35">
      <c r="A213" s="93">
        <v>48290</v>
      </c>
      <c r="B213" s="98">
        <v>45981</v>
      </c>
      <c r="C213" s="93" t="s">
        <v>94</v>
      </c>
      <c r="D213" s="93" t="s">
        <v>133</v>
      </c>
      <c r="E213" s="93" t="s">
        <v>222</v>
      </c>
      <c r="F213" s="93">
        <v>2</v>
      </c>
      <c r="G213" s="91" t="str">
        <f>_xlfn.XLOOKUP(Tabla3[[#This Row],[ID]],Tabla2[ID],Tabla2[Corregimiento],"NA")</f>
        <v>Borrero Ayerbe</v>
      </c>
      <c r="H213" s="167">
        <f>_xlfn.XLOOKUP(Tabla3[[#This Row],[LUGAR ENVÍO]],Tabla9[[Nombre ]],Tabla9[Distancia],"NA")</f>
        <v>4.6260000000000003</v>
      </c>
      <c r="I213" s="97">
        <f>Tabla3[[#This Row],[Valor Tran]]/(Tabla3[[#This Row],[DISTANCIA (km)]]*2)</f>
        <v>8646.7790747946383</v>
      </c>
      <c r="J213" s="99"/>
      <c r="K213" s="93">
        <v>1</v>
      </c>
      <c r="L213" s="96">
        <v>80000</v>
      </c>
      <c r="M213" s="95">
        <f>Tabla3[[#This Row],[VLR. TRANSPORTE]]/Tabla3[[#This Row],[Numero de Transportes]]</f>
        <v>80000</v>
      </c>
      <c r="N213" s="96">
        <v>386000</v>
      </c>
      <c r="O213" s="96">
        <f>Tabla3[[#This Row],[VLR. TOTAL FACT.]]-Tabla3[[#This Row],[VLR. TRANSPORTE]]</f>
        <v>306000</v>
      </c>
      <c r="P213" s="93">
        <v>1</v>
      </c>
      <c r="Q213" s="93" t="s">
        <v>115</v>
      </c>
    </row>
    <row r="214" spans="1:17" ht="40.799999999999997" thickBot="1" x14ac:dyDescent="0.35">
      <c r="A214" s="3">
        <v>58864</v>
      </c>
      <c r="B214" s="184">
        <v>45985</v>
      </c>
      <c r="C214" s="3" t="s">
        <v>94</v>
      </c>
      <c r="D214" s="3" t="s">
        <v>302</v>
      </c>
      <c r="E214" s="3" t="s">
        <v>222</v>
      </c>
      <c r="F214" s="3">
        <v>2</v>
      </c>
      <c r="G214" s="12" t="str">
        <f>_xlfn.XLOOKUP(Tabla3[[#This Row],[ID]],Tabla2[ID],Tabla2[Corregimiento],"NA")</f>
        <v>Borrero Ayerbe</v>
      </c>
      <c r="H214" s="167">
        <f>_xlfn.XLOOKUP(Tabla3[[#This Row],[LUGAR ENVÍO]],Tabla9[[Nombre ]],Tabla9[Distancia],"NA")</f>
        <v>4.6260000000000003</v>
      </c>
      <c r="I214" s="67">
        <f>Tabla3[[#This Row],[Valor Tran]]/(Tabla3[[#This Row],[DISTANCIA (km)]]*2)</f>
        <v>4323.3895373973191</v>
      </c>
      <c r="J214" s="5"/>
      <c r="K214" s="3">
        <v>1</v>
      </c>
      <c r="L214" s="15">
        <v>40000</v>
      </c>
      <c r="M214" s="16">
        <f>Tabla3[[#This Row],[VLR. TRANSPORTE]]/Tabla3[[#This Row],[Numero de Transportes]]</f>
        <v>40000</v>
      </c>
      <c r="N214" s="15">
        <v>1524000</v>
      </c>
      <c r="O214" s="15">
        <f>Tabla3[[#This Row],[VLR. TOTAL FACT.]]-Tabla3[[#This Row],[VLR. TRANSPORTE]]</f>
        <v>1484000</v>
      </c>
      <c r="P214" s="3">
        <v>1</v>
      </c>
      <c r="Q214" s="3" t="s">
        <v>120</v>
      </c>
    </row>
    <row r="215" spans="1:17" ht="27.6" hidden="1" thickBot="1" x14ac:dyDescent="0.35">
      <c r="A215" s="3">
        <v>58449</v>
      </c>
      <c r="B215" s="4">
        <v>45975</v>
      </c>
      <c r="C215" s="3" t="s">
        <v>101</v>
      </c>
      <c r="D215" s="3" t="s">
        <v>216</v>
      </c>
      <c r="E215" s="171" t="s">
        <v>552</v>
      </c>
      <c r="F215" s="3">
        <v>4</v>
      </c>
      <c r="G215" s="12" t="str">
        <f>_xlfn.XLOOKUP(Tabla3[[#This Row],[ID]],Tabla2[ID],Tabla2[Corregimiento],"NA")</f>
        <v>El Carmen</v>
      </c>
      <c r="H215" s="167">
        <f>_xlfn.XLOOKUP(Tabla3[[#This Row],[LUGAR ENVÍO]],Tabla9[[Nombre ]],Tabla9[Distancia],"NA")</f>
        <v>4.2009999999999987</v>
      </c>
      <c r="I215" s="67">
        <f>Tabla3[[#This Row],[Valor Tran]]/(Tabla3[[#This Row],[DISTANCIA (km)]]*2)</f>
        <v>7141.1568674125228</v>
      </c>
      <c r="J215" s="5"/>
      <c r="K215" s="3">
        <v>1</v>
      </c>
      <c r="L215" s="15">
        <v>60000</v>
      </c>
      <c r="M215" s="16">
        <f>Tabla3[[#This Row],[VLR. TRANSPORTE]]/Tabla3[[#This Row],[Numero de Transportes]]</f>
        <v>60000</v>
      </c>
      <c r="N215" s="15">
        <v>213000</v>
      </c>
      <c r="O215" s="15">
        <f>Tabla3[[#This Row],[VLR. TOTAL FACT.]]-Tabla3[[#This Row],[VLR. TRANSPORTE]]</f>
        <v>153000</v>
      </c>
      <c r="P215" s="3">
        <v>1</v>
      </c>
      <c r="Q215" s="3" t="s">
        <v>100</v>
      </c>
    </row>
    <row r="216" spans="1:17" ht="15" hidden="1" thickBot="1" x14ac:dyDescent="0.35">
      <c r="A216" s="3">
        <v>58895</v>
      </c>
      <c r="B216" s="184">
        <v>45991</v>
      </c>
      <c r="C216" s="3" t="s">
        <v>94</v>
      </c>
      <c r="D216" s="3" t="s">
        <v>169</v>
      </c>
      <c r="E216" s="3" t="s">
        <v>552</v>
      </c>
      <c r="F216" s="3">
        <v>4</v>
      </c>
      <c r="G216" s="12" t="str">
        <f>_xlfn.XLOOKUP(Tabla3[[#This Row],[ID]],Tabla2[ID],Tabla2[Corregimiento],"NA")</f>
        <v>El Carmen</v>
      </c>
      <c r="H216" s="167">
        <f>_xlfn.XLOOKUP(Tabla3[[#This Row],[LUGAR ENVÍO]],Tabla9[[Nombre ]],Tabla9[Distancia],"NA")</f>
        <v>4.2009999999999987</v>
      </c>
      <c r="I216" s="67">
        <f>Tabla3[[#This Row],[Valor Tran]]/(Tabla3[[#This Row],[DISTANCIA (km)]]*2)</f>
        <v>4760.7712449416822</v>
      </c>
      <c r="J216" s="5"/>
      <c r="K216" s="3">
        <v>1</v>
      </c>
      <c r="L216" s="15">
        <v>40000</v>
      </c>
      <c r="M216" s="16">
        <f>Tabla3[[#This Row],[VLR. TRANSPORTE]]/Tabla3[[#This Row],[Numero de Transportes]]</f>
        <v>40000</v>
      </c>
      <c r="N216" s="15">
        <v>233000</v>
      </c>
      <c r="O216" s="15">
        <f>Tabla3[[#This Row],[VLR. TOTAL FACT.]]-Tabla3[[#This Row],[VLR. TRANSPORTE]]</f>
        <v>193000</v>
      </c>
      <c r="P216" s="3">
        <v>1</v>
      </c>
      <c r="Q216" s="3" t="s">
        <v>100</v>
      </c>
    </row>
    <row r="217" spans="1:17" ht="27.6" hidden="1" thickBot="1" x14ac:dyDescent="0.35">
      <c r="A217" s="3">
        <v>58703</v>
      </c>
      <c r="B217" s="4">
        <v>45980</v>
      </c>
      <c r="C217" s="3" t="s">
        <v>94</v>
      </c>
      <c r="D217" s="3" t="s">
        <v>216</v>
      </c>
      <c r="E217" s="171" t="s">
        <v>552</v>
      </c>
      <c r="F217" s="3">
        <v>4</v>
      </c>
      <c r="G217" s="12" t="str">
        <f>_xlfn.XLOOKUP(Tabla3[[#This Row],[ID]],Tabla2[ID],Tabla2[Corregimiento],"NA")</f>
        <v>El Carmen</v>
      </c>
      <c r="H217" s="167">
        <f>_xlfn.XLOOKUP(Tabla3[[#This Row],[LUGAR ENVÍO]],Tabla9[[Nombre ]],Tabla9[Distancia],"NA")</f>
        <v>4.2009999999999987</v>
      </c>
      <c r="I217" s="67">
        <f>Tabla3[[#This Row],[Valor Tran]]/(Tabla3[[#This Row],[DISTANCIA (km)]]*2)</f>
        <v>4760.7712449416822</v>
      </c>
      <c r="J217" s="5"/>
      <c r="K217" s="3">
        <v>1</v>
      </c>
      <c r="L217" s="15">
        <v>40000</v>
      </c>
      <c r="M217" s="16">
        <f>Tabla3[[#This Row],[VLR. TRANSPORTE]]/Tabla3[[#This Row],[Numero de Transportes]]</f>
        <v>40000</v>
      </c>
      <c r="N217" s="15">
        <v>730000</v>
      </c>
      <c r="O217" s="15">
        <f>Tabla3[[#This Row],[VLR. TOTAL FACT.]]-Tabla3[[#This Row],[VLR. TRANSPORTE]]</f>
        <v>690000</v>
      </c>
      <c r="P217" s="3">
        <v>1</v>
      </c>
      <c r="Q217" s="3" t="s">
        <v>100</v>
      </c>
    </row>
    <row r="218" spans="1:17" ht="15" hidden="1" thickBot="1" x14ac:dyDescent="0.35">
      <c r="A218" s="3">
        <v>47595</v>
      </c>
      <c r="B218" s="4">
        <v>45974</v>
      </c>
      <c r="C218" s="3" t="s">
        <v>94</v>
      </c>
      <c r="D218" s="3" t="s">
        <v>240</v>
      </c>
      <c r="E218" s="171" t="s">
        <v>552</v>
      </c>
      <c r="F218" s="3">
        <v>4</v>
      </c>
      <c r="G218" s="12" t="str">
        <f>_xlfn.XLOOKUP(Tabla3[[#This Row],[ID]],Tabla2[ID],Tabla2[Corregimiento],"NA")</f>
        <v>El Carmen</v>
      </c>
      <c r="H218" s="167">
        <f>_xlfn.XLOOKUP(Tabla3[[#This Row],[LUGAR ENVÍO]],Tabla9[[Nombre ]],Tabla9[Distancia],"NA")</f>
        <v>4.2009999999999987</v>
      </c>
      <c r="I218" s="67">
        <f>Tabla3[[#This Row],[Valor Tran]]/(Tabla3[[#This Row],[DISTANCIA (km)]]*2)</f>
        <v>4760.7712449416822</v>
      </c>
      <c r="J218" s="5"/>
      <c r="K218" s="3">
        <v>1</v>
      </c>
      <c r="L218" s="15">
        <v>40000</v>
      </c>
      <c r="M218" s="16">
        <f>Tabla3[[#This Row],[VLR. TRANSPORTE]]/Tabla3[[#This Row],[Numero de Transportes]]</f>
        <v>40000</v>
      </c>
      <c r="N218" s="15">
        <v>881000</v>
      </c>
      <c r="O218" s="15">
        <f>Tabla3[[#This Row],[VLR. TOTAL FACT.]]-Tabla3[[#This Row],[VLR. TRANSPORTE]]</f>
        <v>841000</v>
      </c>
      <c r="P218" s="3">
        <v>0</v>
      </c>
      <c r="Q218" s="3" t="s">
        <v>96</v>
      </c>
    </row>
    <row r="219" spans="1:17" ht="15" hidden="1" thickBot="1" x14ac:dyDescent="0.35">
      <c r="A219" s="3">
        <v>47595</v>
      </c>
      <c r="B219" s="4">
        <v>45974</v>
      </c>
      <c r="C219" s="3" t="s">
        <v>94</v>
      </c>
      <c r="D219" s="3" t="s">
        <v>183</v>
      </c>
      <c r="E219" s="171" t="s">
        <v>552</v>
      </c>
      <c r="F219" s="3">
        <v>4</v>
      </c>
      <c r="G219" s="12" t="str">
        <f>_xlfn.XLOOKUP(Tabla3[[#This Row],[ID]],Tabla2[ID],Tabla2[Corregimiento],"NA")</f>
        <v>El Carmen</v>
      </c>
      <c r="H219" s="167">
        <f>_xlfn.XLOOKUP(Tabla3[[#This Row],[LUGAR ENVÍO]],Tabla9[[Nombre ]],Tabla9[Distancia],"NA")</f>
        <v>4.2009999999999987</v>
      </c>
      <c r="I219" s="67">
        <f>Tabla3[[#This Row],[Valor Tran]]/(Tabla3[[#This Row],[DISTANCIA (km)]]*2)</f>
        <v>3570.5784337062614</v>
      </c>
      <c r="J219" s="5"/>
      <c r="K219" s="3">
        <v>1</v>
      </c>
      <c r="L219" s="15">
        <v>30000</v>
      </c>
      <c r="M219" s="16">
        <f>Tabla3[[#This Row],[VLR. TRANSPORTE]]/Tabla3[[#This Row],[Numero de Transportes]]</f>
        <v>30000</v>
      </c>
      <c r="N219" s="15">
        <v>1940400</v>
      </c>
      <c r="O219" s="15">
        <f>Tabla3[[#This Row],[VLR. TOTAL FACT.]]-Tabla3[[#This Row],[VLR. TRANSPORTE]]</f>
        <v>1910400</v>
      </c>
      <c r="P219" s="3">
        <v>0</v>
      </c>
      <c r="Q219" s="3" t="s">
        <v>96</v>
      </c>
    </row>
    <row r="220" spans="1:17" ht="27.6" hidden="1" thickBot="1" x14ac:dyDescent="0.35">
      <c r="A220" s="146">
        <v>58505</v>
      </c>
      <c r="B220" s="148" t="s">
        <v>652</v>
      </c>
      <c r="C220" s="146" t="s">
        <v>94</v>
      </c>
      <c r="D220" s="146" t="s">
        <v>626</v>
      </c>
      <c r="E220" s="146" t="s">
        <v>188</v>
      </c>
      <c r="F220" s="146">
        <v>4</v>
      </c>
      <c r="G220" s="12" t="str">
        <f>_xlfn.XLOOKUP(Tabla3[[#This Row],[ID]],Tabla2[ID],Tabla2[Corregimiento],"NA")</f>
        <v>El Carmen</v>
      </c>
      <c r="H220" s="167">
        <f>_xlfn.XLOOKUP(Tabla3[[#This Row],[LUGAR ENVÍO]],Tabla9[[Nombre ]],Tabla9[Distancia],"NA")</f>
        <v>5.6</v>
      </c>
      <c r="I220" s="67">
        <f>Tabla3[[#This Row],[Valor Tran]]/(Tabla3[[#This Row],[DISTANCIA (km)]]*2)</f>
        <v>4464.2857142857147</v>
      </c>
      <c r="J220" s="150"/>
      <c r="K220" s="146">
        <v>1</v>
      </c>
      <c r="L220" s="152">
        <v>50000</v>
      </c>
      <c r="M220" s="179">
        <v>50000</v>
      </c>
      <c r="N220" s="152">
        <v>133500</v>
      </c>
      <c r="O220" s="15">
        <f>Tabla3[[#This Row],[VLR. TOTAL FACT.]]-Tabla3[[#This Row],[VLR. TRANSPORTE]]</f>
        <v>83500</v>
      </c>
      <c r="P220" s="146">
        <v>1</v>
      </c>
      <c r="Q220" s="146" t="s">
        <v>120</v>
      </c>
    </row>
    <row r="221" spans="1:17" ht="27.6" hidden="1" thickBot="1" x14ac:dyDescent="0.35">
      <c r="A221" s="146">
        <v>52478</v>
      </c>
      <c r="B221" s="148" t="s">
        <v>630</v>
      </c>
      <c r="C221" s="146" t="s">
        <v>94</v>
      </c>
      <c r="D221" s="146" t="s">
        <v>310</v>
      </c>
      <c r="E221" s="146" t="s">
        <v>188</v>
      </c>
      <c r="F221" s="146">
        <v>4</v>
      </c>
      <c r="G221" s="12" t="str">
        <f>_xlfn.XLOOKUP(Tabla3[[#This Row],[ID]],Tabla2[ID],Tabla2[Corregimiento],"NA")</f>
        <v>El Carmen</v>
      </c>
      <c r="H221" s="167">
        <f>_xlfn.XLOOKUP(Tabla3[[#This Row],[LUGAR ENVÍO]],Tabla9[[Nombre ]],Tabla9[Distancia],"NA")</f>
        <v>5.6</v>
      </c>
      <c r="I221" s="67">
        <f>Tabla3[[#This Row],[Valor Tran]]/(Tabla3[[#This Row],[DISTANCIA (km)]]*2)</f>
        <v>4464.2857142857147</v>
      </c>
      <c r="J221" s="150"/>
      <c r="K221" s="146">
        <v>1</v>
      </c>
      <c r="L221" s="152">
        <v>50000</v>
      </c>
      <c r="M221" s="179">
        <v>50000</v>
      </c>
      <c r="N221" s="152">
        <v>216700</v>
      </c>
      <c r="O221" s="15">
        <f>Tabla3[[#This Row],[VLR. TOTAL FACT.]]-Tabla3[[#This Row],[VLR. TRANSPORTE]]</f>
        <v>166700</v>
      </c>
      <c r="P221" s="146">
        <v>1</v>
      </c>
      <c r="Q221" s="146" t="s">
        <v>96</v>
      </c>
    </row>
    <row r="222" spans="1:17" ht="15" hidden="1" thickBot="1" x14ac:dyDescent="0.35">
      <c r="A222" s="93">
        <v>47598</v>
      </c>
      <c r="B222" s="98">
        <v>45974</v>
      </c>
      <c r="C222" s="93" t="s">
        <v>94</v>
      </c>
      <c r="D222" s="93" t="s">
        <v>239</v>
      </c>
      <c r="E222" s="93" t="s">
        <v>188</v>
      </c>
      <c r="F222" s="93">
        <v>4</v>
      </c>
      <c r="G222" s="91" t="str">
        <f>_xlfn.XLOOKUP(Tabla3[[#This Row],[ID]],Tabla2[ID],Tabla2[Corregimiento],"NA")</f>
        <v>El Carmen</v>
      </c>
      <c r="H222" s="167">
        <f>_xlfn.XLOOKUP(Tabla3[[#This Row],[LUGAR ENVÍO]],Tabla9[[Nombre ]],Tabla9[Distancia],"NA")</f>
        <v>5.6</v>
      </c>
      <c r="I222" s="192">
        <f>Tabla3[[#This Row],[Valor Tran]]/(Tabla3[[#This Row],[DISTANCIA (km)]]*2)</f>
        <v>4464.2857142857147</v>
      </c>
      <c r="J222" s="99"/>
      <c r="K222" s="93">
        <v>1</v>
      </c>
      <c r="L222" s="96">
        <v>50000</v>
      </c>
      <c r="M222" s="95">
        <f>Tabla3[[#This Row],[VLR. TRANSPORTE]]/Tabla3[[#This Row],[Numero de Transportes]]</f>
        <v>50000</v>
      </c>
      <c r="N222" s="96">
        <v>404000</v>
      </c>
      <c r="O222" s="96">
        <f>Tabla3[[#This Row],[VLR. TOTAL FACT.]]-Tabla3[[#This Row],[VLR. TRANSPORTE]]</f>
        <v>354000</v>
      </c>
      <c r="P222" s="93">
        <v>0</v>
      </c>
      <c r="Q222" s="93" t="s">
        <v>96</v>
      </c>
    </row>
    <row r="223" spans="1:17" ht="15" thickBot="1" x14ac:dyDescent="0.35">
      <c r="A223" s="93">
        <v>30747</v>
      </c>
      <c r="B223" s="98">
        <v>45990</v>
      </c>
      <c r="C223" s="93" t="s">
        <v>94</v>
      </c>
      <c r="D223" s="93" t="s">
        <v>116</v>
      </c>
      <c r="E223" s="93" t="s">
        <v>312</v>
      </c>
      <c r="F223" s="93">
        <v>2</v>
      </c>
      <c r="G223" s="91" t="str">
        <f>_xlfn.XLOOKUP(Tabla3[[#This Row],[ID]],Tabla2[ID],Tabla2[Corregimiento],"NA")</f>
        <v>Borrero Ayerbe</v>
      </c>
      <c r="H223" s="167">
        <f>_xlfn.XLOOKUP(Tabla3[[#This Row],[LUGAR ENVÍO]],Tabla9[[Nombre ]],Tabla9[Distancia],"NA")</f>
        <v>2.31</v>
      </c>
      <c r="I223" s="192">
        <f>Tabla3[[#This Row],[Valor Tran]]/(Tabla3[[#This Row],[DISTANCIA (km)]]*2)</f>
        <v>6493.5064935064929</v>
      </c>
      <c r="J223" s="99"/>
      <c r="K223" s="93">
        <v>1</v>
      </c>
      <c r="L223" s="96">
        <v>30000</v>
      </c>
      <c r="M223" s="95">
        <f>Tabla3[[#This Row],[VLR. TRANSPORTE]]/Tabla3[[#This Row],[Numero de Transportes]]</f>
        <v>30000</v>
      </c>
      <c r="N223" s="96">
        <v>232000</v>
      </c>
      <c r="O223" s="96">
        <f>Tabla3[[#This Row],[VLR. TOTAL FACT.]]-Tabla3[[#This Row],[VLR. TRANSPORTE]]</f>
        <v>202000</v>
      </c>
      <c r="P223" s="93">
        <v>0</v>
      </c>
      <c r="Q223" s="93" t="s">
        <v>251</v>
      </c>
    </row>
    <row r="224" spans="1:17" ht="27.6" thickBot="1" x14ac:dyDescent="0.35">
      <c r="A224" s="3">
        <v>58646</v>
      </c>
      <c r="B224" s="4">
        <v>45981</v>
      </c>
      <c r="C224" s="3" t="s">
        <v>94</v>
      </c>
      <c r="D224" s="3" t="s">
        <v>311</v>
      </c>
      <c r="E224" s="3" t="s">
        <v>312</v>
      </c>
      <c r="F224" s="3">
        <v>2</v>
      </c>
      <c r="G224" s="12" t="str">
        <f>_xlfn.XLOOKUP(Tabla3[[#This Row],[ID]],Tabla2[ID],Tabla2[Corregimiento],"NA")</f>
        <v>Borrero Ayerbe</v>
      </c>
      <c r="H224" s="167">
        <f>_xlfn.XLOOKUP(Tabla3[[#This Row],[LUGAR ENVÍO]],Tabla9[[Nombre ]],Tabla9[Distancia],"NA")</f>
        <v>2.31</v>
      </c>
      <c r="I224" s="67">
        <f>Tabla3[[#This Row],[Valor Tran]]/(Tabla3[[#This Row],[DISTANCIA (km)]]*2)</f>
        <v>12987.012987012986</v>
      </c>
      <c r="J224" s="5"/>
      <c r="K224" s="3">
        <v>1</v>
      </c>
      <c r="L224" s="15">
        <v>60000</v>
      </c>
      <c r="M224" s="16">
        <f>Tabla3[[#This Row],[VLR. TRANSPORTE]]/Tabla3[[#This Row],[Numero de Transportes]]</f>
        <v>60000</v>
      </c>
      <c r="N224" s="15">
        <v>733000</v>
      </c>
      <c r="O224" s="15">
        <f>Tabla3[[#This Row],[VLR. TOTAL FACT.]]-Tabla3[[#This Row],[VLR. TRANSPORTE]]</f>
        <v>673000</v>
      </c>
      <c r="P224" s="3">
        <v>1</v>
      </c>
      <c r="Q224" s="3" t="s">
        <v>100</v>
      </c>
    </row>
    <row r="225" spans="1:17" ht="15" hidden="1" thickBot="1" x14ac:dyDescent="0.35">
      <c r="A225" s="3">
        <v>48370</v>
      </c>
      <c r="B225" s="4">
        <v>45981</v>
      </c>
      <c r="C225" s="3" t="s">
        <v>94</v>
      </c>
      <c r="D225" s="3" t="s">
        <v>142</v>
      </c>
      <c r="E225" s="3" t="s">
        <v>551</v>
      </c>
      <c r="F225" s="3">
        <v>4</v>
      </c>
      <c r="G225" s="12" t="str">
        <f>_xlfn.XLOOKUP(Tabla3[[#This Row],[ID]],Tabla2[ID],Tabla2[Corregimiento],"NA")</f>
        <v>El Carmen</v>
      </c>
      <c r="H225" s="167">
        <f>_xlfn.XLOOKUP(Tabla3[[#This Row],[LUGAR ENVÍO]],Tabla9[[Nombre ]],Tabla9[Distancia],"NA")</f>
        <v>5.4639999999999986</v>
      </c>
      <c r="I225" s="67">
        <f>Tabla3[[#This Row],[Valor Tran]]/(Tabla3[[#This Row],[DISTANCIA (km)]]*2)</f>
        <v>3660.3221083455355</v>
      </c>
      <c r="J225" s="5"/>
      <c r="K225" s="3">
        <v>1</v>
      </c>
      <c r="L225" s="15">
        <v>40000</v>
      </c>
      <c r="M225" s="16">
        <f>Tabla3[[#This Row],[VLR. TRANSPORTE]]/Tabla3[[#This Row],[Numero de Transportes]]</f>
        <v>40000</v>
      </c>
      <c r="N225" s="15">
        <v>228200</v>
      </c>
      <c r="O225" s="15">
        <f>Tabla3[[#This Row],[VLR. TOTAL FACT.]]-Tabla3[[#This Row],[VLR. TRANSPORTE]]</f>
        <v>188200</v>
      </c>
      <c r="P225" s="3">
        <v>0</v>
      </c>
      <c r="Q225" s="3" t="s">
        <v>96</v>
      </c>
    </row>
    <row r="226" spans="1:17" ht="27.6" hidden="1" thickBot="1" x14ac:dyDescent="0.35">
      <c r="A226" s="147">
        <v>55570</v>
      </c>
      <c r="B226" s="149" t="s">
        <v>642</v>
      </c>
      <c r="C226" s="147" t="s">
        <v>94</v>
      </c>
      <c r="D226" s="147" t="s">
        <v>649</v>
      </c>
      <c r="E226" s="147" t="s">
        <v>551</v>
      </c>
      <c r="F226" s="147">
        <v>4</v>
      </c>
      <c r="G226" s="12" t="str">
        <f>_xlfn.XLOOKUP(Tabla3[[#This Row],[ID]],Tabla2[ID],Tabla2[Corregimiento],"NA")</f>
        <v>El Carmen</v>
      </c>
      <c r="H226" s="167">
        <f>_xlfn.XLOOKUP(Tabla3[[#This Row],[LUGAR ENVÍO]],Tabla9[[Nombre ]],Tabla9[Distancia],"NA")</f>
        <v>5.4639999999999986</v>
      </c>
      <c r="I226" s="67">
        <f>Tabla3[[#This Row],[Valor Tran]]/(Tabla3[[#This Row],[DISTANCIA (km)]]*2)</f>
        <v>5490.4831625183033</v>
      </c>
      <c r="J226" s="151"/>
      <c r="K226" s="147">
        <v>1</v>
      </c>
      <c r="L226" s="153">
        <v>60000</v>
      </c>
      <c r="M226" s="194">
        <v>60000</v>
      </c>
      <c r="N226" s="153">
        <v>534100</v>
      </c>
      <c r="O226" s="15">
        <f>Tabla3[[#This Row],[VLR. TOTAL FACT.]]-Tabla3[[#This Row],[VLR. TRANSPORTE]]</f>
        <v>474100</v>
      </c>
      <c r="P226" s="147">
        <v>1</v>
      </c>
      <c r="Q226" s="147" t="s">
        <v>100</v>
      </c>
    </row>
    <row r="227" spans="1:17" ht="15" hidden="1" thickBot="1" x14ac:dyDescent="0.35">
      <c r="A227" s="3">
        <v>47038</v>
      </c>
      <c r="B227" s="4">
        <v>45967</v>
      </c>
      <c r="C227" s="3" t="s">
        <v>94</v>
      </c>
      <c r="D227" s="3" t="s">
        <v>103</v>
      </c>
      <c r="E227" s="3" t="s">
        <v>551</v>
      </c>
      <c r="F227" s="3">
        <v>4</v>
      </c>
      <c r="G227" s="12" t="str">
        <f>_xlfn.XLOOKUP(Tabla3[[#This Row],[ID]],Tabla2[ID],Tabla2[Corregimiento],"NA")</f>
        <v>El Carmen</v>
      </c>
      <c r="H227" s="167">
        <f>_xlfn.XLOOKUP(Tabla3[[#This Row],[LUGAR ENVÍO]],Tabla9[[Nombre ]],Tabla9[Distancia],"NA")</f>
        <v>5.4639999999999986</v>
      </c>
      <c r="I227" s="67">
        <f>Tabla3[[#This Row],[Valor Tran]]/(Tabla3[[#This Row],[DISTANCIA (km)]]*2)</f>
        <v>3660.3221083455355</v>
      </c>
      <c r="J227" s="5"/>
      <c r="K227" s="3">
        <v>1</v>
      </c>
      <c r="L227" s="15">
        <v>40000</v>
      </c>
      <c r="M227" s="16">
        <f>Tabla3[[#This Row],[VLR. TRANSPORTE]]/Tabla3[[#This Row],[Numero de Transportes]]</f>
        <v>40000</v>
      </c>
      <c r="N227" s="15">
        <v>515000</v>
      </c>
      <c r="O227" s="15">
        <f>Tabla3[[#This Row],[VLR. TOTAL FACT.]]-Tabla3[[#This Row],[VLR. TRANSPORTE]]</f>
        <v>475000</v>
      </c>
      <c r="P227" s="3">
        <v>0</v>
      </c>
      <c r="Q227" s="3" t="s">
        <v>96</v>
      </c>
    </row>
    <row r="228" spans="1:17" ht="15" hidden="1" thickBot="1" x14ac:dyDescent="0.35">
      <c r="A228" s="3">
        <v>47038</v>
      </c>
      <c r="B228" s="4">
        <v>45967</v>
      </c>
      <c r="C228" s="3" t="s">
        <v>94</v>
      </c>
      <c r="D228" s="3" t="s">
        <v>103</v>
      </c>
      <c r="E228" s="3" t="s">
        <v>551</v>
      </c>
      <c r="F228" s="3">
        <v>4</v>
      </c>
      <c r="G228" s="12" t="str">
        <f>_xlfn.XLOOKUP(Tabla3[[#This Row],[ID]],Tabla2[ID],Tabla2[Corregimiento],"NA")</f>
        <v>El Carmen</v>
      </c>
      <c r="H228" s="167">
        <f>_xlfn.XLOOKUP(Tabla3[[#This Row],[LUGAR ENVÍO]],Tabla9[[Nombre ]],Tabla9[Distancia],"NA")</f>
        <v>5.4639999999999986</v>
      </c>
      <c r="I228" s="67">
        <f>Tabla3[[#This Row],[Valor Tran]]/(Tabla3[[#This Row],[DISTANCIA (km)]]*2)</f>
        <v>3660.3221083455355</v>
      </c>
      <c r="J228" s="5"/>
      <c r="K228" s="3">
        <v>1</v>
      </c>
      <c r="L228" s="15">
        <v>40000</v>
      </c>
      <c r="M228" s="16">
        <f>Tabla3[[#This Row],[VLR. TRANSPORTE]]/Tabla3[[#This Row],[Numero de Transportes]]</f>
        <v>40000</v>
      </c>
      <c r="N228" s="15">
        <v>515800</v>
      </c>
      <c r="O228" s="15">
        <f>Tabla3[[#This Row],[VLR. TOTAL FACT.]]-Tabla3[[#This Row],[VLR. TRANSPORTE]]</f>
        <v>475800</v>
      </c>
      <c r="P228" s="3">
        <v>0</v>
      </c>
      <c r="Q228" s="3" t="s">
        <v>96</v>
      </c>
    </row>
    <row r="229" spans="1:17" ht="15" hidden="1" thickBot="1" x14ac:dyDescent="0.35">
      <c r="A229" s="3">
        <v>48488</v>
      </c>
      <c r="B229" s="4">
        <v>45985</v>
      </c>
      <c r="C229" s="3" t="s">
        <v>94</v>
      </c>
      <c r="D229" s="3" t="s">
        <v>154</v>
      </c>
      <c r="E229" s="3" t="s">
        <v>551</v>
      </c>
      <c r="F229" s="3">
        <v>4</v>
      </c>
      <c r="G229" s="12" t="str">
        <f>_xlfn.XLOOKUP(Tabla3[[#This Row],[ID]],Tabla2[ID],Tabla2[Corregimiento],"NA")</f>
        <v>El Carmen</v>
      </c>
      <c r="H229" s="167">
        <f>_xlfn.XLOOKUP(Tabla3[[#This Row],[LUGAR ENVÍO]],Tabla9[[Nombre ]],Tabla9[Distancia],"NA")</f>
        <v>5.4639999999999986</v>
      </c>
      <c r="I229" s="67">
        <f>Tabla3[[#This Row],[Valor Tran]]/(Tabla3[[#This Row],[DISTANCIA (km)]]*2)</f>
        <v>5490.4831625183033</v>
      </c>
      <c r="J229" s="5"/>
      <c r="K229" s="3">
        <v>1</v>
      </c>
      <c r="L229" s="15">
        <v>60000</v>
      </c>
      <c r="M229" s="16">
        <f>Tabla3[[#This Row],[VLR. TRANSPORTE]]/Tabla3[[#This Row],[Numero de Transportes]]</f>
        <v>60000</v>
      </c>
      <c r="N229" s="15">
        <v>575400</v>
      </c>
      <c r="O229" s="15">
        <f>Tabla3[[#This Row],[VLR. TOTAL FACT.]]-Tabla3[[#This Row],[VLR. TRANSPORTE]]</f>
        <v>515400</v>
      </c>
      <c r="P229" s="3">
        <v>1</v>
      </c>
      <c r="Q229" s="3" t="s">
        <v>96</v>
      </c>
    </row>
    <row r="230" spans="1:17" ht="27.6" hidden="1" thickBot="1" x14ac:dyDescent="0.35">
      <c r="A230" s="3">
        <v>58345</v>
      </c>
      <c r="B230" s="4">
        <v>45987</v>
      </c>
      <c r="C230" s="3" t="s">
        <v>94</v>
      </c>
      <c r="D230" s="3" t="s">
        <v>334</v>
      </c>
      <c r="E230" s="3" t="s">
        <v>551</v>
      </c>
      <c r="F230" s="3">
        <v>4</v>
      </c>
      <c r="G230" s="12" t="str">
        <f>_xlfn.XLOOKUP(Tabla3[[#This Row],[ID]],Tabla2[ID],Tabla2[Corregimiento],"NA")</f>
        <v>El Carmen</v>
      </c>
      <c r="H230" s="167">
        <f>_xlfn.XLOOKUP(Tabla3[[#This Row],[LUGAR ENVÍO]],Tabla9[[Nombre ]],Tabla9[Distancia],"NA")</f>
        <v>5.4639999999999986</v>
      </c>
      <c r="I230" s="67">
        <f>Tabla3[[#This Row],[Valor Tran]]/(Tabla3[[#This Row],[DISTANCIA (km)]]*2)</f>
        <v>4575.4026354319194</v>
      </c>
      <c r="J230" s="5"/>
      <c r="K230" s="3">
        <v>1</v>
      </c>
      <c r="L230" s="15">
        <v>50000</v>
      </c>
      <c r="M230" s="16">
        <f>Tabla3[[#This Row],[VLR. TRANSPORTE]]/Tabla3[[#This Row],[Numero de Transportes]]</f>
        <v>50000</v>
      </c>
      <c r="N230" s="15">
        <v>694000</v>
      </c>
      <c r="O230" s="15">
        <f>Tabla3[[#This Row],[VLR. TOTAL FACT.]]-Tabla3[[#This Row],[VLR. TRANSPORTE]]</f>
        <v>644000</v>
      </c>
      <c r="P230" s="3">
        <v>0</v>
      </c>
      <c r="Q230" s="3" t="s">
        <v>120</v>
      </c>
    </row>
    <row r="231" spans="1:17" ht="27.6" hidden="1" thickBot="1" x14ac:dyDescent="0.35">
      <c r="A231" s="147">
        <v>54793</v>
      </c>
      <c r="B231" s="149" t="s">
        <v>648</v>
      </c>
      <c r="C231" s="147" t="s">
        <v>94</v>
      </c>
      <c r="D231" s="147" t="s">
        <v>631</v>
      </c>
      <c r="E231" s="147" t="s">
        <v>551</v>
      </c>
      <c r="F231" s="147">
        <v>4</v>
      </c>
      <c r="G231" s="12" t="str">
        <f>_xlfn.XLOOKUP(Tabla3[[#This Row],[ID]],Tabla2[ID],Tabla2[Corregimiento],"NA")</f>
        <v>El Carmen</v>
      </c>
      <c r="H231" s="167">
        <f>_xlfn.XLOOKUP(Tabla3[[#This Row],[LUGAR ENVÍO]],Tabla9[[Nombre ]],Tabla9[Distancia],"NA")</f>
        <v>5.4639999999999986</v>
      </c>
      <c r="I231" s="67">
        <f>Tabla3[[#This Row],[Valor Tran]]/(Tabla3[[#This Row],[DISTANCIA (km)]]*2)</f>
        <v>5490.4831625183033</v>
      </c>
      <c r="J231" s="151"/>
      <c r="K231" s="147">
        <v>1</v>
      </c>
      <c r="L231" s="153">
        <v>60000</v>
      </c>
      <c r="M231" s="194">
        <v>60000</v>
      </c>
      <c r="N231" s="153">
        <v>899500</v>
      </c>
      <c r="O231" s="15">
        <f>Tabla3[[#This Row],[VLR. TOTAL FACT.]]-Tabla3[[#This Row],[VLR. TRANSPORTE]]</f>
        <v>839500</v>
      </c>
      <c r="P231" s="147">
        <v>1</v>
      </c>
      <c r="Q231" s="147" t="s">
        <v>96</v>
      </c>
    </row>
    <row r="232" spans="1:17" ht="15" hidden="1" thickBot="1" x14ac:dyDescent="0.35">
      <c r="A232" s="147">
        <v>39927</v>
      </c>
      <c r="B232" s="149" t="s">
        <v>629</v>
      </c>
      <c r="C232" s="147" t="s">
        <v>101</v>
      </c>
      <c r="D232" s="147" t="s">
        <v>260</v>
      </c>
      <c r="E232" s="147" t="s">
        <v>551</v>
      </c>
      <c r="F232" s="147">
        <v>4</v>
      </c>
      <c r="G232" s="12" t="str">
        <f>_xlfn.XLOOKUP(Tabla3[[#This Row],[ID]],Tabla2[ID],Tabla2[Corregimiento],"NA")</f>
        <v>El Carmen</v>
      </c>
      <c r="H232" s="167">
        <f>_xlfn.XLOOKUP(Tabla3[[#This Row],[LUGAR ENVÍO]],Tabla9[[Nombre ]],Tabla9[Distancia],"NA")</f>
        <v>5.4639999999999986</v>
      </c>
      <c r="I232" s="67">
        <f>Tabla3[[#This Row],[Valor Tran]]/(Tabla3[[#This Row],[DISTANCIA (km)]]*2)</f>
        <v>5490.4831625183033</v>
      </c>
      <c r="J232" s="151"/>
      <c r="K232" s="147">
        <v>1</v>
      </c>
      <c r="L232" s="153">
        <v>60000</v>
      </c>
      <c r="M232" s="194">
        <v>60000</v>
      </c>
      <c r="N232" s="153">
        <v>985600</v>
      </c>
      <c r="O232" s="15">
        <f>Tabla3[[#This Row],[VLR. TOTAL FACT.]]-Tabla3[[#This Row],[VLR. TRANSPORTE]]</f>
        <v>925600</v>
      </c>
      <c r="P232" s="147">
        <v>1</v>
      </c>
      <c r="Q232" s="147" t="s">
        <v>100</v>
      </c>
    </row>
    <row r="233" spans="1:17" ht="27.6" hidden="1" thickBot="1" x14ac:dyDescent="0.35">
      <c r="A233" s="3">
        <v>58947</v>
      </c>
      <c r="B233" s="4">
        <v>45981</v>
      </c>
      <c r="C233" s="3" t="s">
        <v>94</v>
      </c>
      <c r="D233" s="3" t="s">
        <v>303</v>
      </c>
      <c r="E233" s="3" t="s">
        <v>551</v>
      </c>
      <c r="F233" s="3">
        <v>4</v>
      </c>
      <c r="G233" s="12" t="str">
        <f>_xlfn.XLOOKUP(Tabla3[[#This Row],[ID]],Tabla2[ID],Tabla2[Corregimiento],"NA")</f>
        <v>El Carmen</v>
      </c>
      <c r="H233" s="167">
        <f>_xlfn.XLOOKUP(Tabla3[[#This Row],[LUGAR ENVÍO]],Tabla9[[Nombre ]],Tabla9[Distancia],"NA")</f>
        <v>5.4639999999999986</v>
      </c>
      <c r="I233" s="67">
        <f>Tabla3[[#This Row],[Valor Tran]]/(Tabla3[[#This Row],[DISTANCIA (km)]]*2)</f>
        <v>4575.4026354319194</v>
      </c>
      <c r="J233" s="5"/>
      <c r="K233" s="3">
        <v>1</v>
      </c>
      <c r="L233" s="15">
        <v>50000</v>
      </c>
      <c r="M233" s="16">
        <f>Tabla3[[#This Row],[VLR. TRANSPORTE]]/Tabla3[[#This Row],[Numero de Transportes]]</f>
        <v>50000</v>
      </c>
      <c r="N233" s="15">
        <v>1130700</v>
      </c>
      <c r="O233" s="15">
        <f>Tabla3[[#This Row],[VLR. TOTAL FACT.]]-Tabla3[[#This Row],[VLR. TRANSPORTE]]</f>
        <v>1080700</v>
      </c>
      <c r="P233" s="3">
        <v>0</v>
      </c>
      <c r="Q233" s="3" t="s">
        <v>251</v>
      </c>
    </row>
    <row r="234" spans="1:17" ht="15" hidden="1" thickBot="1" x14ac:dyDescent="0.35">
      <c r="A234" s="3">
        <v>46751</v>
      </c>
      <c r="B234" s="4">
        <v>45966</v>
      </c>
      <c r="C234" s="3" t="s">
        <v>94</v>
      </c>
      <c r="D234" s="3" t="s">
        <v>213</v>
      </c>
      <c r="E234" s="171" t="s">
        <v>511</v>
      </c>
      <c r="F234" s="3">
        <v>4</v>
      </c>
      <c r="G234" s="12" t="str">
        <f>_xlfn.XLOOKUP(Tabla3[[#This Row],[ID]],Tabla2[ID],Tabla2[Corregimiento],"NA")</f>
        <v>El Carmen</v>
      </c>
      <c r="H234" s="167">
        <f>_xlfn.XLOOKUP(Tabla3[[#This Row],[LUGAR ENVÍO]],Tabla9[[Nombre ]],Tabla9[Distancia],"NA")</f>
        <v>6.7240000000000002</v>
      </c>
      <c r="I234" s="67">
        <f>Tabla3[[#This Row],[Valor Tran]]/(Tabla3[[#This Row],[DISTANCIA (km)]]*2)</f>
        <v>4461.6299821534803</v>
      </c>
      <c r="J234" s="5"/>
      <c r="K234" s="3">
        <v>1</v>
      </c>
      <c r="L234" s="15">
        <v>60000</v>
      </c>
      <c r="M234" s="16">
        <f>Tabla3[[#This Row],[VLR. TRANSPORTE]]/Tabla3[[#This Row],[Numero de Transportes]]</f>
        <v>60000</v>
      </c>
      <c r="N234" s="15">
        <v>194200</v>
      </c>
      <c r="O234" s="15">
        <f>Tabla3[[#This Row],[VLR. TOTAL FACT.]]-Tabla3[[#This Row],[VLR. TRANSPORTE]]</f>
        <v>134200</v>
      </c>
      <c r="P234" s="3">
        <v>1</v>
      </c>
      <c r="Q234" s="3" t="s">
        <v>96</v>
      </c>
    </row>
    <row r="235" spans="1:17" ht="27.6" hidden="1" thickBot="1" x14ac:dyDescent="0.35">
      <c r="A235" s="146">
        <v>58712</v>
      </c>
      <c r="B235" s="148" t="s">
        <v>620</v>
      </c>
      <c r="C235" s="146" t="s">
        <v>94</v>
      </c>
      <c r="D235" s="146" t="s">
        <v>633</v>
      </c>
      <c r="E235" s="171" t="s">
        <v>511</v>
      </c>
      <c r="F235" s="146">
        <v>4</v>
      </c>
      <c r="G235" s="12" t="str">
        <f>_xlfn.XLOOKUP(Tabla3[[#This Row],[ID]],Tabla2[ID],Tabla2[Corregimiento],"NA")</f>
        <v>El Carmen</v>
      </c>
      <c r="H235" s="167">
        <f>_xlfn.XLOOKUP(Tabla3[[#This Row],[LUGAR ENVÍO]],Tabla9[[Nombre ]],Tabla9[Distancia],"NA")</f>
        <v>6.7240000000000002</v>
      </c>
      <c r="I235" s="67">
        <f>Tabla3[[#This Row],[Valor Tran]]/(Tabla3[[#This Row],[DISTANCIA (km)]]*2)</f>
        <v>4461.6299821534803</v>
      </c>
      <c r="J235" s="150"/>
      <c r="K235" s="146">
        <v>1</v>
      </c>
      <c r="L235" s="152">
        <v>60000</v>
      </c>
      <c r="M235" s="179">
        <v>60000</v>
      </c>
      <c r="N235" s="152">
        <v>294900</v>
      </c>
      <c r="O235" s="15">
        <f>Tabla3[[#This Row],[VLR. TOTAL FACT.]]-Tabla3[[#This Row],[VLR. TRANSPORTE]]</f>
        <v>234900</v>
      </c>
      <c r="P235" s="146">
        <v>1</v>
      </c>
      <c r="Q235" s="146" t="s">
        <v>96</v>
      </c>
    </row>
    <row r="236" spans="1:17" ht="15" hidden="1" thickBot="1" x14ac:dyDescent="0.35">
      <c r="A236" s="3">
        <v>58104</v>
      </c>
      <c r="B236" s="4">
        <v>45966</v>
      </c>
      <c r="C236" s="3" t="s">
        <v>94</v>
      </c>
      <c r="D236" s="3" t="s">
        <v>208</v>
      </c>
      <c r="E236" s="171" t="s">
        <v>511</v>
      </c>
      <c r="F236" s="3">
        <v>4</v>
      </c>
      <c r="G236" s="12" t="str">
        <f>_xlfn.XLOOKUP(Tabla3[[#This Row],[ID]],Tabla2[ID],Tabla2[Corregimiento],"NA")</f>
        <v>El Carmen</v>
      </c>
      <c r="H236" s="167">
        <f>_xlfn.XLOOKUP(Tabla3[[#This Row],[LUGAR ENVÍO]],Tabla9[[Nombre ]],Tabla9[Distancia],"NA")</f>
        <v>6.7240000000000002</v>
      </c>
      <c r="I236" s="67">
        <f>Tabla3[[#This Row],[Valor Tran]]/(Tabla3[[#This Row],[DISTANCIA (km)]]*2)</f>
        <v>5205.2349791790602</v>
      </c>
      <c r="J236" s="5"/>
      <c r="K236" s="3">
        <v>1</v>
      </c>
      <c r="L236" s="15">
        <v>70000</v>
      </c>
      <c r="M236" s="16">
        <f>Tabla3[[#This Row],[VLR. TRANSPORTE]]/Tabla3[[#This Row],[Numero de Transportes]]</f>
        <v>70000</v>
      </c>
      <c r="N236" s="15">
        <v>376000</v>
      </c>
      <c r="O236" s="15">
        <f>Tabla3[[#This Row],[VLR. TOTAL FACT.]]-Tabla3[[#This Row],[VLR. TRANSPORTE]]</f>
        <v>306000</v>
      </c>
      <c r="P236" s="3">
        <v>1</v>
      </c>
      <c r="Q236" s="3" t="s">
        <v>100</v>
      </c>
    </row>
    <row r="237" spans="1:17" ht="27.6" hidden="1" thickBot="1" x14ac:dyDescent="0.35">
      <c r="A237" s="3">
        <v>58767</v>
      </c>
      <c r="B237" s="184">
        <v>46006</v>
      </c>
      <c r="C237" s="3" t="s">
        <v>94</v>
      </c>
      <c r="D237" s="3" t="s">
        <v>141</v>
      </c>
      <c r="E237" s="3" t="s">
        <v>511</v>
      </c>
      <c r="F237" s="3">
        <v>4</v>
      </c>
      <c r="G237" s="12" t="str">
        <f>_xlfn.XLOOKUP(Tabla3[[#This Row],[ID]],Tabla2[ID],Tabla2[Corregimiento],"NA")</f>
        <v>El Carmen</v>
      </c>
      <c r="H237" s="167">
        <f>_xlfn.XLOOKUP(Tabla3[[#This Row],[LUGAR ENVÍO]],Tabla9[[Nombre ]],Tabla9[Distancia],"NA")</f>
        <v>6.7240000000000002</v>
      </c>
      <c r="I237" s="67">
        <f>Tabla3[[#This Row],[Valor Tran]]/(Tabla3[[#This Row],[DISTANCIA (km)]]*2)</f>
        <v>3718.0249851279</v>
      </c>
      <c r="J237" s="5"/>
      <c r="K237" s="3">
        <v>1</v>
      </c>
      <c r="L237" s="15">
        <v>50000</v>
      </c>
      <c r="M237" s="16">
        <f>Tabla3[[#This Row],[VLR. TRANSPORTE]]/Tabla3[[#This Row],[Numero de Transportes]]</f>
        <v>50000</v>
      </c>
      <c r="N237" s="15">
        <v>2890000</v>
      </c>
      <c r="O237" s="15">
        <f>Tabla3[[#This Row],[VLR. TOTAL FACT.]]-Tabla3[[#This Row],[VLR. TRANSPORTE]]</f>
        <v>2840000</v>
      </c>
      <c r="P237" s="3">
        <v>1</v>
      </c>
      <c r="Q237" s="3" t="s">
        <v>100</v>
      </c>
    </row>
    <row r="238" spans="1:17" ht="27.6" thickBot="1" x14ac:dyDescent="0.35">
      <c r="A238" s="3">
        <v>30602</v>
      </c>
      <c r="B238" s="4">
        <v>45981</v>
      </c>
      <c r="C238" s="3" t="s">
        <v>94</v>
      </c>
      <c r="D238" s="3" t="s">
        <v>299</v>
      </c>
      <c r="E238" s="171" t="s">
        <v>509</v>
      </c>
      <c r="F238" s="3">
        <v>2</v>
      </c>
      <c r="G238" s="12" t="str">
        <f>_xlfn.XLOOKUP(Tabla3[[#This Row],[ID]],Tabla2[ID],Tabla2[Corregimiento],"NA")</f>
        <v>Borrero Ayerbe</v>
      </c>
      <c r="H238" s="167">
        <f>_xlfn.XLOOKUP(Tabla3[[#This Row],[LUGAR ENVÍO]],Tabla9[[Nombre ]],Tabla9[Distancia],"NA")</f>
        <v>1.343</v>
      </c>
      <c r="I238" s="67">
        <f>Tabla3[[#This Row],[Valor Tran]]/(Tabla3[[#This Row],[DISTANCIA (km)]]*2)</f>
        <v>14892.032762472078</v>
      </c>
      <c r="J238" s="5"/>
      <c r="K238" s="3">
        <v>1</v>
      </c>
      <c r="L238" s="15">
        <v>40000</v>
      </c>
      <c r="M238" s="16">
        <f>Tabla3[[#This Row],[VLR. TRANSPORTE]]/Tabla3[[#This Row],[Numero de Transportes]]</f>
        <v>40000</v>
      </c>
      <c r="N238" s="15">
        <v>1459500</v>
      </c>
      <c r="O238" s="15">
        <f>Tabla3[[#This Row],[VLR. TOTAL FACT.]]-Tabla3[[#This Row],[VLR. TRANSPORTE]]</f>
        <v>1419500</v>
      </c>
      <c r="P238" s="3">
        <v>0</v>
      </c>
      <c r="Q238" s="3" t="s">
        <v>120</v>
      </c>
    </row>
    <row r="239" spans="1:17" ht="15" thickBot="1" x14ac:dyDescent="0.35">
      <c r="A239" s="3">
        <v>58663</v>
      </c>
      <c r="B239" s="184">
        <v>45986</v>
      </c>
      <c r="C239" s="3" t="s">
        <v>94</v>
      </c>
      <c r="D239" s="3" t="s">
        <v>130</v>
      </c>
      <c r="E239" s="3" t="s">
        <v>509</v>
      </c>
      <c r="F239" s="3">
        <v>2</v>
      </c>
      <c r="G239" s="12" t="str">
        <f>_xlfn.XLOOKUP(Tabla3[[#This Row],[ID]],Tabla2[ID],Tabla2[Corregimiento],"NA")</f>
        <v>Borrero Ayerbe</v>
      </c>
      <c r="H239" s="167">
        <f>_xlfn.XLOOKUP(Tabla3[[#This Row],[LUGAR ENVÍO]],Tabla9[[Nombre ]],Tabla9[Distancia],"NA")</f>
        <v>1.343</v>
      </c>
      <c r="I239" s="67">
        <f>Tabla3[[#This Row],[Valor Tran]]/(Tabla3[[#This Row],[DISTANCIA (km)]]*2)</f>
        <v>11169.024571854059</v>
      </c>
      <c r="J239" s="5"/>
      <c r="K239" s="3">
        <v>2</v>
      </c>
      <c r="L239" s="15">
        <v>60000</v>
      </c>
      <c r="M239" s="16">
        <f>Tabla3[[#This Row],[VLR. TRANSPORTE]]/Tabla3[[#This Row],[Numero de Transportes]]</f>
        <v>30000</v>
      </c>
      <c r="N239" s="15">
        <v>2526000</v>
      </c>
      <c r="O239" s="15">
        <f>Tabla3[[#This Row],[VLR. TOTAL FACT.]]-Tabla3[[#This Row],[VLR. TRANSPORTE]]</f>
        <v>2466000</v>
      </c>
      <c r="P239" s="3">
        <v>1</v>
      </c>
      <c r="Q239" s="3" t="s">
        <v>100</v>
      </c>
    </row>
    <row r="240" spans="1:17" ht="15" thickBot="1" x14ac:dyDescent="0.35">
      <c r="A240" s="3">
        <v>58602</v>
      </c>
      <c r="B240" s="184">
        <v>45996</v>
      </c>
      <c r="C240" s="3" t="s">
        <v>94</v>
      </c>
      <c r="D240" s="3" t="s">
        <v>129</v>
      </c>
      <c r="E240" s="3" t="s">
        <v>509</v>
      </c>
      <c r="F240" s="3">
        <v>2</v>
      </c>
      <c r="G240" s="12" t="str">
        <f>_xlfn.XLOOKUP(Tabla3[[#This Row],[ID]],Tabla2[ID],Tabla2[Corregimiento],"NA")</f>
        <v>Borrero Ayerbe</v>
      </c>
      <c r="H240" s="167">
        <f>_xlfn.XLOOKUP(Tabla3[[#This Row],[LUGAR ENVÍO]],Tabla9[[Nombre ]],Tabla9[Distancia],"NA")</f>
        <v>1.343</v>
      </c>
      <c r="I240" s="67">
        <f>Tabla3[[#This Row],[Valor Tran]]/(Tabla3[[#This Row],[DISTANCIA (km)]]*2)</f>
        <v>9307.520476545049</v>
      </c>
      <c r="J240" s="5"/>
      <c r="K240" s="3">
        <v>1</v>
      </c>
      <c r="L240" s="15">
        <v>25000</v>
      </c>
      <c r="M240" s="16">
        <f>Tabla3[[#This Row],[VLR. TRANSPORTE]]/Tabla3[[#This Row],[Numero de Transportes]]</f>
        <v>25000</v>
      </c>
      <c r="N240" s="15">
        <v>2687000</v>
      </c>
      <c r="O240" s="15">
        <f>Tabla3[[#This Row],[VLR. TOTAL FACT.]]-Tabla3[[#This Row],[VLR. TRANSPORTE]]</f>
        <v>2662000</v>
      </c>
      <c r="P240" s="3">
        <v>1</v>
      </c>
      <c r="Q240" s="3" t="s">
        <v>100</v>
      </c>
    </row>
    <row r="241" spans="1:17" ht="15" thickBot="1" x14ac:dyDescent="0.35">
      <c r="A241" s="12">
        <v>52000</v>
      </c>
      <c r="B241" s="13">
        <v>45962</v>
      </c>
      <c r="C241" s="12" t="s">
        <v>94</v>
      </c>
      <c r="D241" s="12" t="s">
        <v>171</v>
      </c>
      <c r="E241" s="175" t="s">
        <v>509</v>
      </c>
      <c r="F241" s="12">
        <v>2</v>
      </c>
      <c r="G241" s="12" t="str">
        <f>_xlfn.XLOOKUP(Tabla3[[#This Row],[ID]],Tabla2[ID],Tabla2[Corregimiento],"NA")</f>
        <v>Borrero Ayerbe</v>
      </c>
      <c r="H241" s="167">
        <f>_xlfn.XLOOKUP(Tabla3[[#This Row],[LUGAR ENVÍO]],Tabla9[[Nombre ]],Tabla9[Distancia],"NA")</f>
        <v>1.343</v>
      </c>
      <c r="I241" s="67">
        <f>Tabla3[[#This Row],[Valor Tran]]/(Tabla3[[#This Row],[DISTANCIA (km)]]*2)</f>
        <v>14892.032762472078</v>
      </c>
      <c r="J241" s="14"/>
      <c r="K241" s="12">
        <v>3</v>
      </c>
      <c r="L241" s="16">
        <v>120000</v>
      </c>
      <c r="M241" s="16">
        <f>Tabla3[[#This Row],[VLR. TRANSPORTE]]/Tabla3[[#This Row],[Numero de Transportes]]</f>
        <v>40000</v>
      </c>
      <c r="N241" s="16">
        <v>4564800</v>
      </c>
      <c r="O241" s="15">
        <f>Tabla3[[#This Row],[VLR. TOTAL FACT.]]-Tabla3[[#This Row],[VLR. TRANSPORTE]]</f>
        <v>4444800</v>
      </c>
      <c r="P241" s="12">
        <v>1</v>
      </c>
      <c r="Q241" s="12" t="s">
        <v>96</v>
      </c>
    </row>
    <row r="242" spans="1:17" x14ac:dyDescent="0.3">
      <c r="A242" s="12">
        <f>SUBTOTAL(103,Tabla3[N° FACTURA])</f>
        <v>90</v>
      </c>
      <c r="B242" s="13"/>
      <c r="C242" s="12"/>
      <c r="D242" s="12"/>
      <c r="E242" s="84"/>
      <c r="F242" s="12">
        <f>SUBTOTAL(102,Tabla3[ID])</f>
        <v>90</v>
      </c>
      <c r="G242" s="12"/>
      <c r="H242" s="12">
        <f>SUBTOTAL(101,Tabla3[DISTANCIA (km)])</f>
        <v>2.4517922333333355</v>
      </c>
      <c r="I242" s="67">
        <f>SUBTOTAL(104,Tabla3[Valor del transporte/KM])</f>
        <v>55679.287305122489</v>
      </c>
      <c r="J242" s="14"/>
      <c r="K242" s="12"/>
      <c r="L242" s="67">
        <f>SUBTOTAL(109,Tabla3[VLR. TRANSPORTE])</f>
        <v>4195000</v>
      </c>
      <c r="M242" s="67"/>
      <c r="N242" s="67">
        <f>SUBTOTAL(109,Tabla3[VLR. TOTAL FACT.])</f>
        <v>98838750</v>
      </c>
      <c r="O242" s="67">
        <f>SUBTOTAL(109,Tabla3[VLR. PRODUCTOS])</f>
        <v>94643750</v>
      </c>
      <c r="P242" s="12"/>
      <c r="Q242" s="12"/>
    </row>
  </sheetData>
  <phoneticPr fontId="26" type="noConversion"/>
  <dataValidations count="1">
    <dataValidation type="whole" allowBlank="1" showInputMessage="1" showErrorMessage="1" sqref="F2 F46:F134" xr:uid="{98B3158B-F174-46E4-9607-C6DEB26DE4E1}">
      <formula1>1</formula1>
      <formula2>27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0642-A656-4202-B949-0B7541D3FDFA}">
  <dimension ref="A1:R65"/>
  <sheetViews>
    <sheetView showOutlineSymbols="0" showWhiteSpace="0" topLeftCell="H17" workbookViewId="0">
      <selection activeCell="M16" sqref="M16:R40"/>
    </sheetView>
  </sheetViews>
  <sheetFormatPr baseColWidth="10" defaultRowHeight="14.4" x14ac:dyDescent="0.3"/>
  <cols>
    <col min="1" max="1" width="21.44140625" bestFit="1" customWidth="1"/>
    <col min="2" max="2" width="21.44140625" customWidth="1"/>
    <col min="6" max="6" width="20.33203125" bestFit="1" customWidth="1"/>
    <col min="8" max="8" width="22.44140625" customWidth="1"/>
    <col min="9" max="9" width="26.109375" customWidth="1"/>
    <col min="10" max="10" width="15" bestFit="1" customWidth="1"/>
    <col min="11" max="11" width="21.21875" bestFit="1" customWidth="1"/>
    <col min="14" max="14" width="6.33203125" bestFit="1" customWidth="1"/>
    <col min="15" max="15" width="21.77734375" bestFit="1" customWidth="1"/>
    <col min="17" max="17" width="15" bestFit="1" customWidth="1"/>
    <col min="18" max="18" width="19" bestFit="1" customWidth="1"/>
  </cols>
  <sheetData>
    <row r="1" spans="1:18" ht="15" thickBot="1" x14ac:dyDescent="0.35">
      <c r="A1" t="s">
        <v>659</v>
      </c>
      <c r="B1" t="s">
        <v>542</v>
      </c>
      <c r="C1" t="s">
        <v>660</v>
      </c>
    </row>
    <row r="2" spans="1:18" ht="15" thickBot="1" x14ac:dyDescent="0.35">
      <c r="A2" s="166" t="s">
        <v>554</v>
      </c>
      <c r="B2" s="189">
        <f>COUNTIF(Tabla3[LUGAR ENVÍO],Tabla9[[#This Row],[Nombre ]])</f>
        <v>11</v>
      </c>
      <c r="C2">
        <f>Distancias!EA61</f>
        <v>2.649999999999999</v>
      </c>
    </row>
    <row r="3" spans="1:18" ht="15" thickBot="1" x14ac:dyDescent="0.35">
      <c r="A3" s="166" t="s">
        <v>551</v>
      </c>
      <c r="B3" s="189">
        <f>COUNTIF(Tabla3[LUGAR ENVÍO],Tabla9[[#This Row],[Nombre ]])</f>
        <v>9</v>
      </c>
      <c r="C3">
        <f>Distancias!DO118</f>
        <v>5.4639999999999986</v>
      </c>
      <c r="F3" t="s">
        <v>699</v>
      </c>
      <c r="G3" t="s">
        <v>700</v>
      </c>
      <c r="H3" t="s">
        <v>701</v>
      </c>
      <c r="I3" t="s">
        <v>703</v>
      </c>
      <c r="J3" t="s">
        <v>702</v>
      </c>
      <c r="K3" t="s">
        <v>704</v>
      </c>
    </row>
    <row r="4" spans="1:18" ht="15" thickBot="1" x14ac:dyDescent="0.35">
      <c r="A4" s="166" t="s">
        <v>545</v>
      </c>
      <c r="B4" s="189">
        <f>COUNTIF(Tabla3[LUGAR ENVÍO],Tabla9[[#This Row],[Nombre ]])</f>
        <v>9</v>
      </c>
      <c r="C4">
        <f>Distancias!DC47</f>
        <v>2.6666500000000002</v>
      </c>
      <c r="F4" t="s">
        <v>638</v>
      </c>
      <c r="G4">
        <f>COUNTIF(Tabla3[LUGAR ENVÍO],Tabla11[[#This Row],[Ubicación]])</f>
        <v>6</v>
      </c>
      <c r="H4" s="45">
        <f>SUMIF(Tabla3[LUGAR ENVÍO],Tabla11[[#This Row],[Ubicación]],Tabla3[VLR. TRANSPORTE])</f>
        <v>360000</v>
      </c>
      <c r="I4" s="45">
        <f>AVERAGEIF(Tabla3[LUGAR ENVÍO],Tabla11[[#This Row],[Ubicación]],Tabla3[VLR. TRANSPORTE])</f>
        <v>60000</v>
      </c>
      <c r="J4" s="45">
        <f>SUMIF(Tabla3[LUGAR ENVÍO],Tabla11[[#This Row],[Ubicación]],Tabla3[VLR. TOTAL FACT.])</f>
        <v>16869200</v>
      </c>
      <c r="K4" s="88">
        <f>AVERAGEIF(Tabla8[Lugar],Tabla11[[#This Row],[Ubicación]],Tabla8[Perdida o ganancia de margen])</f>
        <v>-0.11006850089797311</v>
      </c>
    </row>
    <row r="5" spans="1:18" ht="15" thickBot="1" x14ac:dyDescent="0.35">
      <c r="A5" s="165" t="s">
        <v>163</v>
      </c>
      <c r="B5" s="189">
        <f>COUNTIF(Tabla3[LUGAR ENVÍO],Tabla9[[#This Row],[Nombre ]])</f>
        <v>8</v>
      </c>
      <c r="C5">
        <f>Distancias!DG63</f>
        <v>4.3159999999999989</v>
      </c>
      <c r="F5" t="s">
        <v>502</v>
      </c>
      <c r="G5">
        <f>COUNTIF(Tabla3[LUGAR ENVÍO],Tabla11[[#This Row],[Ubicación]])</f>
        <v>5</v>
      </c>
      <c r="H5" s="45">
        <f>SUMIF(Tabla3[LUGAR ENVÍO],Tabla11[[#This Row],[Ubicación]],Tabla3[VLR. TRANSPORTE])</f>
        <v>290000</v>
      </c>
      <c r="I5" s="45">
        <f>AVERAGEIF(Tabla3[LUGAR ENVÍO],Tabla11[[#This Row],[Ubicación]],Tabla3[VLR. TRANSPORTE])</f>
        <v>58000</v>
      </c>
      <c r="J5" s="45">
        <f>SUMIF(Tabla3[LUGAR ENVÍO],Tabla11[[#This Row],[Ubicación]],Tabla3[VLR. TOTAL FACT.])</f>
        <v>4672500</v>
      </c>
      <c r="K5" s="88">
        <f>AVERAGEIF(Tabla8[Lugar],Tabla11[[#This Row],[Ubicación]],Tabla8[Perdida o ganancia de margen])</f>
        <v>-0.15768467701595335</v>
      </c>
    </row>
    <row r="6" spans="1:18" ht="15" thickBot="1" x14ac:dyDescent="0.35">
      <c r="A6" s="165" t="s">
        <v>553</v>
      </c>
      <c r="B6" s="189">
        <f>COUNTIF(Tabla3[LUGAR ENVÍO],Tabla9[[#This Row],[Nombre ]])</f>
        <v>7</v>
      </c>
      <c r="C6">
        <v>13.07</v>
      </c>
    </row>
    <row r="7" spans="1:18" ht="15" thickBot="1" x14ac:dyDescent="0.35">
      <c r="A7" s="165" t="s">
        <v>512</v>
      </c>
      <c r="B7" s="189">
        <f>COUNTIF(Tabla3[LUGAR ENVÍO],Tabla9[[#This Row],[Nombre ]])</f>
        <v>7</v>
      </c>
      <c r="C7">
        <f>Distancias!CI44</f>
        <v>2.2689999999999992</v>
      </c>
      <c r="F7" t="s">
        <v>699</v>
      </c>
      <c r="G7" t="s">
        <v>700</v>
      </c>
      <c r="H7" t="s">
        <v>701</v>
      </c>
      <c r="I7" t="s">
        <v>703</v>
      </c>
      <c r="J7" t="s">
        <v>702</v>
      </c>
      <c r="K7" t="s">
        <v>704</v>
      </c>
    </row>
    <row r="8" spans="1:18" ht="15" thickBot="1" x14ac:dyDescent="0.35">
      <c r="A8" s="165" t="s">
        <v>505</v>
      </c>
      <c r="B8" s="189">
        <f>COUNTIF(Tabla3[LUGAR ENVÍO],Tabla9[[#This Row],[Nombre ]])</f>
        <v>7</v>
      </c>
      <c r="C8">
        <f>Distancias!BO92</f>
        <v>5.7570000000000006</v>
      </c>
      <c r="F8" t="s">
        <v>553</v>
      </c>
      <c r="G8">
        <f>COUNTIF(Tabla3[LUGAR ENVÍO],Tabla1113[[#This Row],[Ubicación]])</f>
        <v>7</v>
      </c>
      <c r="H8" s="45">
        <f>SUMIF(Tabla3[LUGAR ENVÍO],Tabla1113[[#This Row],[Ubicación]],Tabla3[VLR. TRANSPORTE])</f>
        <v>500000</v>
      </c>
      <c r="I8" s="45">
        <f>AVERAGEIF(Tabla3[LUGAR ENVÍO],Tabla1113[[#This Row],[Ubicación]],Tabla3[VLR. TRANSPORTE])</f>
        <v>71428.571428571435</v>
      </c>
      <c r="J8" s="45">
        <f>SUMIF(Tabla3[LUGAR ENVÍO],Tabla1113[[#This Row],[Ubicación]],Tabla3[VLR. TOTAL FACT.])</f>
        <v>6594300</v>
      </c>
      <c r="K8" s="88">
        <f>AVERAGEIF(Tabla8[Lugar],Tabla1113[[#This Row],[Ubicación]],Tabla8[Perdida o ganancia de margen])</f>
        <v>-0.21904907174767527</v>
      </c>
    </row>
    <row r="9" spans="1:18" ht="15" thickBot="1" x14ac:dyDescent="0.35">
      <c r="A9" s="165" t="s">
        <v>683</v>
      </c>
      <c r="B9" s="189">
        <f>COUNTIF(Tabla3[LUGAR ENVÍO],Tabla9[[#This Row],[Nombre ]])</f>
        <v>7</v>
      </c>
      <c r="C9">
        <f>Distancias!HG57</f>
        <v>4.6260000000000003</v>
      </c>
      <c r="H9" s="45"/>
      <c r="I9" s="45"/>
      <c r="J9" s="45"/>
      <c r="K9" s="88"/>
      <c r="M9" t="s">
        <v>699</v>
      </c>
      <c r="N9" t="s">
        <v>700</v>
      </c>
      <c r="O9" t="s">
        <v>701</v>
      </c>
      <c r="P9" t="s">
        <v>703</v>
      </c>
      <c r="Q9" t="s">
        <v>702</v>
      </c>
      <c r="R9" t="s">
        <v>704</v>
      </c>
    </row>
    <row r="10" spans="1:18" ht="15" thickBot="1" x14ac:dyDescent="0.35">
      <c r="A10" s="165" t="s">
        <v>510</v>
      </c>
      <c r="B10" s="189">
        <f>COUNTIF(Tabla3[LUGAR ENVÍO],Tabla9[[#This Row],[Nombre ]])</f>
        <v>6</v>
      </c>
      <c r="C10">
        <f>Distancias!BK97</f>
        <v>6.1239999999999988</v>
      </c>
      <c r="F10" t="s">
        <v>699</v>
      </c>
      <c r="G10" t="s">
        <v>700</v>
      </c>
      <c r="H10" t="s">
        <v>701</v>
      </c>
      <c r="I10" t="s">
        <v>703</v>
      </c>
      <c r="J10" t="s">
        <v>702</v>
      </c>
      <c r="K10" t="s">
        <v>704</v>
      </c>
      <c r="M10" t="s">
        <v>513</v>
      </c>
      <c r="N10">
        <f>COUNTIF(Tabla3[LUGAR ENVÍO],Tabla1116[[#This Row],[Ubicación]])</f>
        <v>3</v>
      </c>
      <c r="O10" s="45">
        <f>SUMIF(Tabla3[LUGAR ENVÍO],Tabla1116[[#This Row],[Ubicación]],Tabla3[VLR. TRANSPORTE])</f>
        <v>120000</v>
      </c>
      <c r="P10" s="45">
        <f>AVERAGEIF(Tabla3[LUGAR ENVÍO],Tabla1116[[#This Row],[Ubicación]],Tabla3[VLR. TRANSPORTE])</f>
        <v>40000</v>
      </c>
      <c r="Q10" s="45">
        <f>SUMIF(Tabla3[LUGAR ENVÍO],Tabla1116[[#This Row],[Ubicación]],Tabla3[VLR. TOTAL FACT.])</f>
        <v>3082200</v>
      </c>
      <c r="R10" s="88">
        <f>AVERAGEIF(Tabla8[Lugar],Tabla1116[[#This Row],[Ubicación]],Tabla8[Perdida o ganancia de margen])</f>
        <v>-0.38011721426245215</v>
      </c>
    </row>
    <row r="11" spans="1:18" ht="15" thickBot="1" x14ac:dyDescent="0.35">
      <c r="A11" s="165" t="s">
        <v>503</v>
      </c>
      <c r="B11" s="189">
        <f>COUNTIF(Tabla3[LUGAR ENVÍO],Tabla9[[#This Row],[Nombre ]])</f>
        <v>6</v>
      </c>
      <c r="C11">
        <f>Distancias!CA111</f>
        <v>8.4710000000000001</v>
      </c>
      <c r="F11" t="s">
        <v>163</v>
      </c>
      <c r="G11">
        <f>COUNTIF(Tabla3[LUGAR ENVÍO],Tabla111314[[#This Row],[Ubicación]])</f>
        <v>8</v>
      </c>
      <c r="H11" s="45">
        <f>SUMIF(Tabla3[LUGAR ENVÍO],Tabla111314[[#This Row],[Ubicación]],Tabla3[VLR. TRANSPORTE])</f>
        <v>390000</v>
      </c>
      <c r="I11" s="45">
        <f>AVERAGEIF(Tabla3[LUGAR ENVÍO],Tabla111314[[#This Row],[Ubicación]],Tabla3[VLR. TRANSPORTE])</f>
        <v>48750</v>
      </c>
      <c r="J11" s="45">
        <f>SUMIF(Tabla3[LUGAR ENVÍO],Tabla111314[[#This Row],[Ubicación]],Tabla3[VLR. TOTAL FACT.])</f>
        <v>7742400</v>
      </c>
      <c r="K11" s="88">
        <f>AVERAGEIF(Tabla8[Lugar],Tabla111314[[#This Row],[Ubicación]],Tabla8[Perdida o ganancia de margen])</f>
        <v>-0.5855157047168057</v>
      </c>
      <c r="M11" t="s">
        <v>502</v>
      </c>
      <c r="N11">
        <f>COUNTIF(Tabla3[LUGAR ENVÍO],Tabla1116[[#This Row],[Ubicación]])</f>
        <v>0</v>
      </c>
      <c r="O11" s="45">
        <f>SUMIF(Tabla3[LUGAR ENVÍO],Tabla1116[[#This Row],[Ubicación]],Tabla3[VLR. TRANSPORTE])</f>
        <v>0</v>
      </c>
      <c r="P11" s="45" t="e">
        <f>AVERAGEIF(Tabla3[LUGAR ENVÍO],Tabla1116[[#This Row],[Ubicación]],Tabla3[VLR. TRANSPORTE])</f>
        <v>#DIV/0!</v>
      </c>
      <c r="Q11" s="45">
        <f>SUMIF(Tabla3[LUGAR ENVÍO],Tabla1116[[#This Row],[Ubicación]],Tabla3[VLR. TOTAL FACT.])</f>
        <v>0</v>
      </c>
      <c r="R11" s="88" t="e">
        <f>AVERAGEIF(Tabla8[Lugar],Tabla1116[[#This Row],[Ubicación]],Tabla8[Perdida o ganancia de margen])</f>
        <v>#DIV/0!</v>
      </c>
    </row>
    <row r="12" spans="1:18" ht="15" thickBot="1" x14ac:dyDescent="0.35">
      <c r="A12" s="165" t="s">
        <v>508</v>
      </c>
      <c r="B12" s="189">
        <f>COUNTIF(Tabla3[LUGAR ENVÍO],Tabla9[[#This Row],[Nombre ]])</f>
        <v>6</v>
      </c>
      <c r="C12">
        <f>Distancias!AY49</f>
        <v>2.0919999999999992</v>
      </c>
      <c r="F12" t="s">
        <v>706</v>
      </c>
      <c r="G12" s="212">
        <f>COUNTIF(Tabla3[LUGAR ENVÍO],Tabla111314[[#This Row],[Ubicación]])</f>
        <v>5</v>
      </c>
      <c r="H12" s="45">
        <f>SUMIF(Tabla3[LUGAR ENVÍO],Tabla111314[[#This Row],[Ubicación]],Tabla3[VLR. TRANSPORTE])</f>
        <v>475000</v>
      </c>
      <c r="I12" s="45">
        <f>AVERAGEIF(Tabla3[LUGAR ENVÍO],Tabla111314[[#This Row],[Ubicación]],Tabla3[VLR. TRANSPORTE])</f>
        <v>95000</v>
      </c>
      <c r="J12" s="45">
        <f>SUMIF(Tabla3[LUGAR ENVÍO],Tabla111314[[#This Row],[Ubicación]],Tabla3[VLR. TOTAL FACT.])</f>
        <v>6272700</v>
      </c>
      <c r="K12" s="88">
        <f>AVERAGEIF(Tabla8[Lugar],Tabla111314[[#This Row],[Ubicación]],Tabla8[Perdida o ganancia de margen])</f>
        <v>0.1899144788461786</v>
      </c>
    </row>
    <row r="13" spans="1:18" ht="15" thickBot="1" x14ac:dyDescent="0.35">
      <c r="A13" s="165" t="s">
        <v>680</v>
      </c>
      <c r="B13" s="189">
        <f>COUNTIF(Tabla3[LUGAR ENVÍO],Tabla9[[#This Row],[Nombre ]])</f>
        <v>6</v>
      </c>
      <c r="C13">
        <f>Distancias!GY32</f>
        <v>2.2797620000000003</v>
      </c>
      <c r="F13" t="s">
        <v>515</v>
      </c>
      <c r="G13" s="212">
        <f>COUNTIF(Tabla3[LUGAR ENVÍO],Tabla111314[[#This Row],[Ubicación]])</f>
        <v>3</v>
      </c>
      <c r="H13" s="45">
        <f>SUMIF(Tabla3[LUGAR ENVÍO],Tabla111314[[#This Row],[Ubicación]],Tabla3[VLR. TRANSPORTE])</f>
        <v>200000</v>
      </c>
      <c r="I13" s="45">
        <f>AVERAGEIF(Tabla3[LUGAR ENVÍO],Tabla111314[[#This Row],[Ubicación]],Tabla3[VLR. TRANSPORTE])</f>
        <v>66666.666666666672</v>
      </c>
      <c r="J13" s="45">
        <f>SUMIF(Tabla3[LUGAR ENVÍO],Tabla111314[[#This Row],[Ubicación]],Tabla3[VLR. TOTAL FACT.])</f>
        <v>2582600</v>
      </c>
      <c r="K13" s="88">
        <f>AVERAGEIF(Tabla8[Lugar],Tabla111314[[#This Row],[Ubicación]],Tabla8[Perdida o ganancia de margen])</f>
        <v>3.2808391503682643E-2</v>
      </c>
      <c r="M13" t="s">
        <v>699</v>
      </c>
      <c r="N13" t="s">
        <v>700</v>
      </c>
      <c r="O13" t="s">
        <v>701</v>
      </c>
      <c r="P13" t="s">
        <v>703</v>
      </c>
      <c r="Q13" t="s">
        <v>702</v>
      </c>
      <c r="R13" t="s">
        <v>704</v>
      </c>
    </row>
    <row r="14" spans="1:18" ht="15" thickBot="1" x14ac:dyDescent="0.35">
      <c r="A14" s="165" t="s">
        <v>552</v>
      </c>
      <c r="B14" s="189">
        <f>COUNTIF(Tabla3[LUGAR ENVÍO],Tabla9[[#This Row],[Nombre ]])</f>
        <v>5</v>
      </c>
      <c r="C14">
        <f>Distancias!DS145</f>
        <v>4.2009999999999987</v>
      </c>
      <c r="F14" t="s">
        <v>692</v>
      </c>
      <c r="G14" s="212">
        <f>COUNTIF(Tabla3[LUGAR ENVÍO],Tabla111314[[#This Row],[Ubicación]])</f>
        <v>2</v>
      </c>
      <c r="H14" s="45">
        <f>SUMIF(Tabla3[LUGAR ENVÍO],Tabla111314[[#This Row],[Ubicación]],Tabla3[VLR. TRANSPORTE])</f>
        <v>250000</v>
      </c>
      <c r="I14" s="45">
        <f>AVERAGEIF(Tabla3[LUGAR ENVÍO],Tabla111314[[#This Row],[Ubicación]],Tabla3[VLR. TRANSPORTE])</f>
        <v>125000</v>
      </c>
      <c r="J14" s="45">
        <f>SUMIF(Tabla3[LUGAR ENVÍO],Tabla111314[[#This Row],[Ubicación]],Tabla3[VLR. TOTAL FACT.])</f>
        <v>5111500</v>
      </c>
      <c r="K14" s="88">
        <f>AVERAGEIF(Tabla8[Lugar],Tabla111314[[#This Row],[Ubicación]],Tabla8[Perdida o ganancia de margen])</f>
        <v>0.15336298219393432</v>
      </c>
      <c r="M14" t="s">
        <v>31</v>
      </c>
      <c r="N14">
        <f>COUNTIF(Tabla3[LUGAR ENVÍO],Tabla111617[[#This Row],[Ubicación]])</f>
        <v>4</v>
      </c>
      <c r="O14" s="45">
        <f>SUMIF(Tabla3[LUGAR ENVÍO],Tabla111617[[#This Row],[Ubicación]],Tabla3[VLR. TRANSPORTE])</f>
        <v>221000</v>
      </c>
      <c r="P14" s="45">
        <f>AVERAGEIF(Tabla3[LUGAR ENVÍO],Tabla111617[[#This Row],[Ubicación]],Tabla3[VLR. TRANSPORTE])</f>
        <v>55250</v>
      </c>
      <c r="Q14" s="45">
        <f>SUMIF(Tabla3[LUGAR ENVÍO],Tabla111617[[#This Row],[Ubicación]],Tabla3[VLR. TOTAL FACT.])</f>
        <v>11041800</v>
      </c>
      <c r="R14" s="88">
        <f>AVERAGEIF(Tabla8[Lugar],Tabla111617[[#This Row],[Ubicación]],Tabla8[Perdida o ganancia de margen])</f>
        <v>-7.4418547232673785E-2</v>
      </c>
    </row>
    <row r="15" spans="1:18" ht="15" thickBot="1" x14ac:dyDescent="0.35">
      <c r="A15" s="165" t="s">
        <v>672</v>
      </c>
      <c r="B15" s="189">
        <f>COUNTIF(Tabla3[LUGAR ENVÍO],Tabla9[[#This Row],[Nombre ]])</f>
        <v>5</v>
      </c>
      <c r="C15">
        <f>Distancias!GM17</f>
        <v>0.83599999999999997</v>
      </c>
      <c r="F15" t="s">
        <v>516</v>
      </c>
      <c r="G15" s="212">
        <f>COUNTIF(Tabla3[LUGAR ENVÍO],Tabla111314[[#This Row],[Ubicación]])</f>
        <v>2</v>
      </c>
      <c r="H15" s="45">
        <f>SUMIF(Tabla3[LUGAR ENVÍO],Tabla111314[[#This Row],[Ubicación]],Tabla3[VLR. TRANSPORTE])</f>
        <v>60000</v>
      </c>
      <c r="I15" s="45">
        <f>AVERAGEIF(Tabla3[LUGAR ENVÍO],Tabla111314[[#This Row],[Ubicación]],Tabla3[VLR. TRANSPORTE])</f>
        <v>30000</v>
      </c>
      <c r="J15" s="45">
        <f>SUMIF(Tabla3[LUGAR ENVÍO],Tabla111314[[#This Row],[Ubicación]],Tabla3[VLR. TOTAL FACT.])</f>
        <v>1765600</v>
      </c>
      <c r="K15" s="88">
        <f>AVERAGEIF(Tabla8[Lugar],Tabla111314[[#This Row],[Ubicación]],Tabla8[Perdida o ganancia de margen])</f>
        <v>-0.33721545252337987</v>
      </c>
    </row>
    <row r="16" spans="1:18" ht="15" thickBot="1" x14ac:dyDescent="0.35">
      <c r="A16" s="165" t="s">
        <v>496</v>
      </c>
      <c r="B16" s="189">
        <f>COUNTIF(Tabla3[LUGAR ENVÍO],Tabla9[[#This Row],[Nombre ]])</f>
        <v>5</v>
      </c>
      <c r="C16">
        <f>Distancias!W24</f>
        <v>1.2480000000000002</v>
      </c>
      <c r="F16" t="s">
        <v>687</v>
      </c>
      <c r="G16" s="212">
        <f>COUNTIF(Tabla3[LUGAR ENVÍO],Tabla111314[[#This Row],[Ubicación]])</f>
        <v>2</v>
      </c>
      <c r="H16" s="45">
        <f>SUMIF(Tabla3[LUGAR ENVÍO],Tabla111314[[#This Row],[Ubicación]],Tabla3[VLR. TRANSPORTE])</f>
        <v>150000</v>
      </c>
      <c r="I16" s="45">
        <f>AVERAGEIF(Tabla3[LUGAR ENVÍO],Tabla111314[[#This Row],[Ubicación]],Tabla3[VLR. TRANSPORTE])</f>
        <v>75000</v>
      </c>
      <c r="J16" s="45">
        <f>SUMIF(Tabla3[LUGAR ENVÍO],Tabla111314[[#This Row],[Ubicación]],Tabla3[VLR. TOTAL FACT.])</f>
        <v>1117000</v>
      </c>
      <c r="K16" s="88">
        <f>AVERAGEIF(Tabla8[Lugar],Tabla111314[[#This Row],[Ubicación]],Tabla8[Perdida o ganancia de margen])</f>
        <v>-0.10422192372318684</v>
      </c>
      <c r="M16" t="s">
        <v>699</v>
      </c>
      <c r="N16" t="s">
        <v>700</v>
      </c>
      <c r="O16" t="s">
        <v>701</v>
      </c>
      <c r="P16" t="s">
        <v>703</v>
      </c>
      <c r="Q16" t="s">
        <v>702</v>
      </c>
      <c r="R16" t="s">
        <v>704</v>
      </c>
    </row>
    <row r="17" spans="1:18" ht="15" thickBot="1" x14ac:dyDescent="0.35">
      <c r="A17" s="165" t="s">
        <v>664</v>
      </c>
      <c r="B17" s="189">
        <f>COUNTIF(Tabla3[LUGAR ENVÍO],Tabla9[[#This Row],[Nombre ]])</f>
        <v>5</v>
      </c>
      <c r="C17">
        <f>Distancias!EU51</f>
        <v>3.5070000000000001</v>
      </c>
      <c r="F17" t="s">
        <v>514</v>
      </c>
      <c r="G17" s="212">
        <f>COUNTIF(Tabla3[LUGAR ENVÍO],Tabla111314[[#This Row],[Ubicación]])</f>
        <v>1</v>
      </c>
      <c r="H17" s="45">
        <f>SUMIF(Tabla3[LUGAR ENVÍO],Tabla111314[[#This Row],[Ubicación]],Tabla3[VLR. TRANSPORTE])</f>
        <v>140000</v>
      </c>
      <c r="I17" s="45">
        <f>AVERAGEIF(Tabla3[LUGAR ENVÍO],Tabla111314[[#This Row],[Ubicación]],Tabla3[VLR. TRANSPORTE])</f>
        <v>140000</v>
      </c>
      <c r="J17" s="45">
        <f>SUMIF(Tabla3[LUGAR ENVÍO],Tabla111314[[#This Row],[Ubicación]],Tabla3[VLR. TOTAL FACT.])</f>
        <v>1784000</v>
      </c>
      <c r="K17" s="88">
        <f>AVERAGEIF(Tabla8[Lugar],Tabla111314[[#This Row],[Ubicación]],Tabla8[Perdida o ganancia de margen])</f>
        <v>6.8632409968595764E-2</v>
      </c>
      <c r="M17" t="s">
        <v>710</v>
      </c>
      <c r="N17" s="212">
        <f>COUNTIF(Tabla3[LUGAR ENVÍO],Tabla11161718[[#This Row],[Ubicación]])</f>
        <v>7</v>
      </c>
      <c r="O17" s="45">
        <f>SUMIF(Tabla3[LUGAR ENVÍO],Tabla11161718[[#This Row],[Ubicación]],Tabla3[VLR. TRANSPORTE])</f>
        <v>460000</v>
      </c>
      <c r="P17" s="45">
        <f>AVERAGEIF(Tabla3[LUGAR ENVÍO],Tabla11161718[[#This Row],[Ubicación]],Tabla3[VLR. TRANSPORTE])</f>
        <v>65714.28571428571</v>
      </c>
      <c r="Q17" s="45">
        <f>SUMIF(Tabla3[LUGAR ENVÍO],Tabla11161718[[#This Row],[Ubicación]],Tabla3[VLR. TOTAL FACT.])</f>
        <v>5698200</v>
      </c>
      <c r="R17" s="88">
        <f>AVERAGEIF(Tabla8[Lugar],Tabla11161718[[#This Row],[Ubicación]],Tabla8[Perdida o ganancia de margen])</f>
        <v>0.22630925187917628</v>
      </c>
    </row>
    <row r="18" spans="1:18" ht="15" thickBot="1" x14ac:dyDescent="0.35">
      <c r="A18" s="165" t="s">
        <v>487</v>
      </c>
      <c r="B18" s="189">
        <f>COUNTIF(Tabla3[LUGAR ENVÍO],Tabla9[[#This Row],[Nombre ]])</f>
        <v>5</v>
      </c>
      <c r="C18">
        <f>Distancias!C13</f>
        <v>0.42800000000000005</v>
      </c>
      <c r="M18" t="s">
        <v>683</v>
      </c>
      <c r="N18" s="212">
        <f>COUNTIF(Tabla3[LUGAR ENVÍO],Tabla11161718[[#This Row],[Ubicación]])</f>
        <v>7</v>
      </c>
      <c r="O18" s="45">
        <f>SUMIF(Tabla3[LUGAR ENVÍO],Tabla11161718[[#This Row],[Ubicación]],Tabla3[VLR. TRANSPORTE])</f>
        <v>470000</v>
      </c>
      <c r="P18" s="45">
        <f>AVERAGEIF(Tabla3[LUGAR ENVÍO],Tabla11161718[[#This Row],[Ubicación]],Tabla3[VLR. TRANSPORTE])</f>
        <v>67142.857142857145</v>
      </c>
      <c r="Q18" s="45">
        <f>SUMIF(Tabla3[LUGAR ENVÍO],Tabla11161718[[#This Row],[Ubicación]],Tabla3[VLR. TOTAL FACT.])</f>
        <v>3215600</v>
      </c>
      <c r="R18" s="88">
        <f>AVERAGEIF(Tabla8[Lugar],Tabla11161718[[#This Row],[Ubicación]],Tabla8[Perdida o ganancia de margen])</f>
        <v>0.1789927323191422</v>
      </c>
    </row>
    <row r="19" spans="1:18" ht="15" thickBot="1" x14ac:dyDescent="0.35">
      <c r="A19" s="165" t="s">
        <v>662</v>
      </c>
      <c r="B19" s="189">
        <f>COUNTIF(Tabla3[LUGAR ENVÍO],Tabla9[[#This Row],[Nombre ]])</f>
        <v>5</v>
      </c>
      <c r="C19">
        <f>Distancias!EM92</f>
        <v>4.4759999999999982</v>
      </c>
      <c r="F19" t="s">
        <v>699</v>
      </c>
      <c r="G19" t="s">
        <v>700</v>
      </c>
      <c r="H19" t="s">
        <v>701</v>
      </c>
      <c r="I19" t="s">
        <v>703</v>
      </c>
      <c r="J19" t="s">
        <v>702</v>
      </c>
      <c r="K19" t="s">
        <v>704</v>
      </c>
      <c r="M19" t="s">
        <v>678</v>
      </c>
      <c r="N19" s="212">
        <f>COUNTIF(Tabla3[LUGAR ENVÍO],Tabla11161718[[#This Row],[Ubicación]])</f>
        <v>5</v>
      </c>
      <c r="O19" s="45">
        <f>SUMIF(Tabla3[LUGAR ENVÍO],Tabla11161718[[#This Row],[Ubicación]],Tabla3[VLR. TRANSPORTE])</f>
        <v>140000</v>
      </c>
      <c r="P19" s="45">
        <f>AVERAGEIF(Tabla3[LUGAR ENVÍO],Tabla11161718[[#This Row],[Ubicación]],Tabla3[VLR. TRANSPORTE])</f>
        <v>28000</v>
      </c>
      <c r="Q19" s="45">
        <f>SUMIF(Tabla3[LUGAR ENVÍO],Tabla11161718[[#This Row],[Ubicación]],Tabla3[VLR. TOTAL FACT.])</f>
        <v>7004200</v>
      </c>
      <c r="R19" s="88">
        <f>AVERAGEIF(Tabla8[Lugar],Tabla11161718[[#This Row],[Ubicación]],Tabla8[Perdida o ganancia de margen])</f>
        <v>-0.12106897967501555</v>
      </c>
    </row>
    <row r="20" spans="1:18" ht="15" thickBot="1" x14ac:dyDescent="0.35">
      <c r="A20" s="165" t="s">
        <v>555</v>
      </c>
      <c r="B20" s="189">
        <f>COUNTIF(Tabla3[LUGAR ENVÍO],Tabla9[[#This Row],[Nombre ]])</f>
        <v>5</v>
      </c>
      <c r="C20">
        <f>Distancias!EE79</f>
        <v>2.7099999999999986</v>
      </c>
      <c r="F20" t="s">
        <v>554</v>
      </c>
      <c r="G20">
        <f>COUNTIF(Tabla3[LUGAR ENVÍO],Tabla11131415[[#This Row],[Ubicación]])</f>
        <v>11</v>
      </c>
      <c r="H20" s="45">
        <f>SUMIF(Tabla3[LUGAR ENVÍO],Tabla11131415[[#This Row],[Ubicación]],Tabla3[VLR. TRANSPORTE])</f>
        <v>985000</v>
      </c>
      <c r="I20" s="45">
        <f>AVERAGEIF(Tabla3[LUGAR ENVÍO],Tabla11131415[[#This Row],[Ubicación]],Tabla3[VLR. TRANSPORTE])</f>
        <v>89545.454545454544</v>
      </c>
      <c r="J20" s="45">
        <f>SUMIF(Tabla3[LUGAR ENVÍO],Tabla11131415[[#This Row],[Ubicación]],Tabla3[VLR. TOTAL FACT.])</f>
        <v>14554100</v>
      </c>
      <c r="K20" s="88">
        <f>AVERAGEIF(Tabla8[Lugar],Tabla11131415[[#This Row],[Ubicación]],Tabla8[Perdida o ganancia de margen])</f>
        <v>0.16313548563278155</v>
      </c>
      <c r="M20" t="s">
        <v>487</v>
      </c>
      <c r="N20" s="212">
        <f>COUNTIF(Tabla3[LUGAR ENVÍO],Tabla11161718[[#This Row],[Ubicación]])</f>
        <v>5</v>
      </c>
      <c r="O20" s="45">
        <f>SUMIF(Tabla3[LUGAR ENVÍO],Tabla11161718[[#This Row],[Ubicación]],Tabla3[VLR. TRANSPORTE])</f>
        <v>150000</v>
      </c>
      <c r="P20" s="45">
        <f>AVERAGEIF(Tabla3[LUGAR ENVÍO],Tabla11161718[[#This Row],[Ubicación]],Tabla3[VLR. TRANSPORTE])</f>
        <v>30000</v>
      </c>
      <c r="Q20" s="45">
        <f>SUMIF(Tabla3[LUGAR ENVÍO],Tabla11161718[[#This Row],[Ubicación]],Tabla3[VLR. TOTAL FACT.])</f>
        <v>1882800</v>
      </c>
      <c r="R20" s="88">
        <f>AVERAGEIF(Tabla8[Lugar],Tabla11161718[[#This Row],[Ubicación]],Tabla8[Perdida o ganancia de margen])</f>
        <v>-0.37490082347353504</v>
      </c>
    </row>
    <row r="21" spans="1:18" ht="15" thickBot="1" x14ac:dyDescent="0.35">
      <c r="A21" s="165" t="s">
        <v>665</v>
      </c>
      <c r="B21" s="189">
        <f>COUNTIF(Tabla3[LUGAR ENVÍO],Tabla9[[#This Row],[Nombre ]])</f>
        <v>5</v>
      </c>
      <c r="C21">
        <f>Distancias!EY52</f>
        <v>2.6410000000000009</v>
      </c>
      <c r="F21" t="s">
        <v>545</v>
      </c>
      <c r="G21" s="212">
        <f>COUNTIF(Tabla3[LUGAR ENVÍO],Tabla11131415[[#This Row],[Ubicación]])</f>
        <v>9</v>
      </c>
      <c r="H21" s="45">
        <f>SUMIF(Tabla3[LUGAR ENVÍO],Tabla11131415[[#This Row],[Ubicación]],Tabla3[VLR. TRANSPORTE])</f>
        <v>495000</v>
      </c>
      <c r="I21" s="45">
        <f>AVERAGEIF(Tabla3[LUGAR ENVÍO],Tabla11131415[[#This Row],[Ubicación]],Tabla3[VLR. TRANSPORTE])</f>
        <v>55000</v>
      </c>
      <c r="J21" s="45">
        <f>SUMIF(Tabla3[LUGAR ENVÍO],Tabla11131415[[#This Row],[Ubicación]],Tabla3[VLR. TOTAL FACT.])</f>
        <v>10085100</v>
      </c>
      <c r="K21" s="88">
        <f>AVERAGEIF(Tabla8[Lugar],Tabla11131415[[#This Row],[Ubicación]],Tabla8[Perdida o ganancia de margen])</f>
        <v>-7.0990936381866571E-2</v>
      </c>
      <c r="M21" t="s">
        <v>496</v>
      </c>
      <c r="N21" s="212">
        <f>COUNTIF(Tabla3[LUGAR ENVÍO],Tabla11161718[[#This Row],[Ubicación]])</f>
        <v>5</v>
      </c>
      <c r="O21" s="45">
        <f>SUMIF(Tabla3[LUGAR ENVÍO],Tabla11161718[[#This Row],[Ubicación]],Tabla3[VLR. TRANSPORTE])</f>
        <v>165000</v>
      </c>
      <c r="P21" s="45">
        <f>AVERAGEIF(Tabla3[LUGAR ENVÍO],Tabla11161718[[#This Row],[Ubicación]],Tabla3[VLR. TRANSPORTE])</f>
        <v>33000</v>
      </c>
      <c r="Q21" s="45">
        <f>SUMIF(Tabla3[LUGAR ENVÍO],Tabla11161718[[#This Row],[Ubicación]],Tabla3[VLR. TOTAL FACT.])</f>
        <v>2401300</v>
      </c>
      <c r="R21" s="88">
        <f>AVERAGEIF(Tabla8[Lugar],Tabla11161718[[#This Row],[Ubicación]],Tabla8[Perdida o ganancia de margen])</f>
        <v>-0.15998145098733205</v>
      </c>
    </row>
    <row r="22" spans="1:18" ht="15" thickBot="1" x14ac:dyDescent="0.35">
      <c r="A22" s="165" t="s">
        <v>502</v>
      </c>
      <c r="B22" s="189">
        <f>COUNTIF(Tabla3[LUGAR ENVÍO],Tabla9[[#This Row],[Nombre ]])</f>
        <v>5</v>
      </c>
      <c r="C22">
        <f>Distancias!CE118</f>
        <v>9.4380000000000024</v>
      </c>
      <c r="F22" t="s">
        <v>551</v>
      </c>
      <c r="G22" s="212">
        <f>COUNTIF(Tabla3[LUGAR ENVÍO],Tabla11131415[[#This Row],[Ubicación]])</f>
        <v>9</v>
      </c>
      <c r="H22" s="45">
        <f>SUMIF(Tabla3[LUGAR ENVÍO],Tabla11131415[[#This Row],[Ubicación]],Tabla3[VLR. TRANSPORTE])</f>
        <v>460000</v>
      </c>
      <c r="I22" s="45">
        <f>AVERAGEIF(Tabla3[LUGAR ENVÍO],Tabla11131415[[#This Row],[Ubicación]],Tabla3[VLR. TRANSPORTE])</f>
        <v>51111.111111111109</v>
      </c>
      <c r="J22" s="45">
        <f>SUMIF(Tabla3[LUGAR ENVÍO],Tabla11131415[[#This Row],[Ubicación]],Tabla3[VLR. TOTAL FACT.])</f>
        <v>6078300</v>
      </c>
      <c r="K22" s="88">
        <f>AVERAGEIF(Tabla8[Lugar],Tabla11131415[[#This Row],[Ubicación]],Tabla8[Perdida o ganancia de margen])</f>
        <v>-7.4871140777966208E-2</v>
      </c>
      <c r="M22" t="s">
        <v>681</v>
      </c>
      <c r="N22" s="212">
        <f>COUNTIF(Tabla3[LUGAR ENVÍO],Tabla11161718[[#This Row],[Ubicación]])</f>
        <v>5</v>
      </c>
      <c r="O22" s="45">
        <f>SUMIF(Tabla3[LUGAR ENVÍO],Tabla11161718[[#This Row],[Ubicación]],Tabla3[VLR. TRANSPORTE])</f>
        <v>340000</v>
      </c>
      <c r="P22" s="45">
        <f>AVERAGEIF(Tabla3[LUGAR ENVÍO],Tabla11161718[[#This Row],[Ubicación]],Tabla3[VLR. TRANSPORTE])</f>
        <v>68000</v>
      </c>
      <c r="Q22" s="45">
        <f>SUMIF(Tabla3[LUGAR ENVÍO],Tabla11161718[[#This Row],[Ubicación]],Tabla3[VLR. TOTAL FACT.])</f>
        <v>7209650</v>
      </c>
      <c r="R22" s="88">
        <f>AVERAGEIF(Tabla8[Lugar],Tabla11161718[[#This Row],[Ubicación]],Tabla8[Perdida o ganancia de margen])</f>
        <v>-0.11182206802731567</v>
      </c>
    </row>
    <row r="23" spans="1:18" ht="15" thickBot="1" x14ac:dyDescent="0.35">
      <c r="A23" s="165" t="s">
        <v>678</v>
      </c>
      <c r="B23" s="189">
        <f>COUNTIF(Tabla3[LUGAR ENVÍO],Tabla9[[#This Row],[Nombre ]])</f>
        <v>5</v>
      </c>
      <c r="C23">
        <f>Distancias!GQ41</f>
        <v>2.3290000000000006</v>
      </c>
      <c r="F23" t="s">
        <v>505</v>
      </c>
      <c r="G23" s="212">
        <f>COUNTIF(Tabla3[LUGAR ENVÍO],Tabla11131415[[#This Row],[Ubicación]])</f>
        <v>7</v>
      </c>
      <c r="H23" s="45">
        <f>SUMIF(Tabla3[LUGAR ENVÍO],Tabla11131415[[#This Row],[Ubicación]],Tabla3[VLR. TRANSPORTE])</f>
        <v>580000</v>
      </c>
      <c r="I23" s="45">
        <f>AVERAGEIF(Tabla3[LUGAR ENVÍO],Tabla11131415[[#This Row],[Ubicación]],Tabla3[VLR. TRANSPORTE])</f>
        <v>82857.142857142855</v>
      </c>
      <c r="J23" s="45">
        <f>SUMIF(Tabla3[LUGAR ENVÍO],Tabla11131415[[#This Row],[Ubicación]],Tabla3[VLR. TOTAL FACT.])</f>
        <v>6919800</v>
      </c>
      <c r="K23" s="88">
        <f>AVERAGEIF(Tabla8[Lugar],Tabla11131415[[#This Row],[Ubicación]],Tabla8[Perdida o ganancia de margen])</f>
        <v>-5.12973856130884E-2</v>
      </c>
      <c r="M23" t="s">
        <v>672</v>
      </c>
      <c r="N23" s="212">
        <f>COUNTIF(Tabla3[LUGAR ENVÍO],Tabla11161718[[#This Row],[Ubicación]])</f>
        <v>5</v>
      </c>
      <c r="O23" s="45">
        <f>SUMIF(Tabla3[LUGAR ENVÍO],Tabla11161718[[#This Row],[Ubicación]],Tabla3[VLR. TRANSPORTE])</f>
        <v>180000</v>
      </c>
      <c r="P23" s="45">
        <f>AVERAGEIF(Tabla3[LUGAR ENVÍO],Tabla11161718[[#This Row],[Ubicación]],Tabla3[VLR. TRANSPORTE])</f>
        <v>36000</v>
      </c>
      <c r="Q23" s="45">
        <f>SUMIF(Tabla3[LUGAR ENVÍO],Tabla11161718[[#This Row],[Ubicación]],Tabla3[VLR. TOTAL FACT.])</f>
        <v>1639500</v>
      </c>
      <c r="R23" s="88">
        <f>AVERAGEIF(Tabla8[Lugar],Tabla11161718[[#This Row],[Ubicación]],Tabla8[Perdida o ganancia de margen])</f>
        <v>-0.45704624973763147</v>
      </c>
    </row>
    <row r="24" spans="1:18" ht="15" thickBot="1" x14ac:dyDescent="0.35">
      <c r="A24" s="165" t="s">
        <v>681</v>
      </c>
      <c r="B24" s="189">
        <f>COUNTIF(Tabla3[LUGAR ENVÍO],Tabla9[[#This Row],[Nombre ]])</f>
        <v>5</v>
      </c>
      <c r="C24">
        <f>Distancias!HC28</f>
        <v>1.4669269999999999</v>
      </c>
      <c r="F24" t="s">
        <v>510</v>
      </c>
      <c r="G24" s="212">
        <f>COUNTIF(Tabla3[LUGAR ENVÍO],Tabla11131415[[#This Row],[Ubicación]])</f>
        <v>6</v>
      </c>
      <c r="H24" s="45">
        <f>SUMIF(Tabla3[LUGAR ENVÍO],Tabla11131415[[#This Row],[Ubicación]],Tabla3[VLR. TRANSPORTE])</f>
        <v>270000</v>
      </c>
      <c r="I24" s="45">
        <f>AVERAGEIF(Tabla3[LUGAR ENVÍO],Tabla11131415[[#This Row],[Ubicación]],Tabla3[VLR. TRANSPORTE])</f>
        <v>45000</v>
      </c>
      <c r="J24" s="45">
        <f>SUMIF(Tabla3[LUGAR ENVÍO],Tabla11131415[[#This Row],[Ubicación]],Tabla3[VLR. TOTAL FACT.])</f>
        <v>7374800</v>
      </c>
      <c r="K24" s="88">
        <f>AVERAGEIF(Tabla8[Lugar],Tabla11131415[[#This Row],[Ubicación]],Tabla8[Perdida o ganancia de margen])</f>
        <v>-4.9634588797506873E-2</v>
      </c>
      <c r="M24" t="s">
        <v>495</v>
      </c>
      <c r="N24" s="212">
        <f>COUNTIF(Tabla3[LUGAR ENVÍO],Tabla11161718[[#This Row],[Ubicación]])</f>
        <v>4</v>
      </c>
      <c r="O24" s="45">
        <f>SUMIF(Tabla3[LUGAR ENVÍO],Tabla11161718[[#This Row],[Ubicación]],Tabla3[VLR. TRANSPORTE])</f>
        <v>145000</v>
      </c>
      <c r="P24" s="45">
        <f>AVERAGEIF(Tabla3[LUGAR ENVÍO],Tabla11161718[[#This Row],[Ubicación]],Tabla3[VLR. TRANSPORTE])</f>
        <v>36250</v>
      </c>
      <c r="Q24" s="45">
        <f>SUMIF(Tabla3[LUGAR ENVÍO],Tabla11161718[[#This Row],[Ubicación]],Tabla3[VLR. TOTAL FACT.])</f>
        <v>3183400</v>
      </c>
      <c r="R24" s="88">
        <f>AVERAGEIF(Tabla8[Lugar],Tabla11161718[[#This Row],[Ubicación]],Tabla8[Perdida o ganancia de margen])</f>
        <v>-0.20243558050649882</v>
      </c>
    </row>
    <row r="25" spans="1:18" ht="15" thickBot="1" x14ac:dyDescent="0.35">
      <c r="A25" s="165" t="s">
        <v>509</v>
      </c>
      <c r="B25" s="189">
        <f>COUNTIF(Tabla3[LUGAR ENVÍO],Tabla9[[#This Row],[Nombre ]])</f>
        <v>4</v>
      </c>
      <c r="C25">
        <f>Distancias!AU32</f>
        <v>1.343</v>
      </c>
      <c r="F25" t="s">
        <v>680</v>
      </c>
      <c r="G25" s="212">
        <f>COUNTIF(Tabla3[LUGAR ENVÍO],Tabla11131415[[#This Row],[Ubicación]])</f>
        <v>6</v>
      </c>
      <c r="H25" s="45">
        <f>SUMIF(Tabla3[LUGAR ENVÍO],Tabla11131415[[#This Row],[Ubicación]],Tabla3[VLR. TRANSPORTE])</f>
        <v>245000</v>
      </c>
      <c r="I25" s="45">
        <f>AVERAGEIF(Tabla3[LUGAR ENVÍO],Tabla11131415[[#This Row],[Ubicación]],Tabla3[VLR. TRANSPORTE])</f>
        <v>40833.333333333336</v>
      </c>
      <c r="J25" s="45">
        <f>SUMIF(Tabla3[LUGAR ENVÍO],Tabla11131415[[#This Row],[Ubicación]],Tabla3[VLR. TOTAL FACT.])</f>
        <v>2634000</v>
      </c>
      <c r="K25" s="88">
        <f>AVERAGEIF(Tabla8[Lugar],Tabla11131415[[#This Row],[Ubicación]],Tabla8[Perdida o ganancia de margen])</f>
        <v>-7.941444008473704E-2</v>
      </c>
      <c r="M25" t="s">
        <v>632</v>
      </c>
      <c r="N25" s="212">
        <f>COUNTIF(Tabla3[LUGAR ENVÍO],Tabla11161718[[#This Row],[Ubicación]])</f>
        <v>4</v>
      </c>
      <c r="O25" s="45">
        <f>SUMIF(Tabla3[LUGAR ENVÍO],Tabla11161718[[#This Row],[Ubicación]],Tabla3[VLR. TRANSPORTE])</f>
        <v>235000</v>
      </c>
      <c r="P25" s="45">
        <f>AVERAGEIF(Tabla3[LUGAR ENVÍO],Tabla11161718[[#This Row],[Ubicación]],Tabla3[VLR. TRANSPORTE])</f>
        <v>58750</v>
      </c>
      <c r="Q25" s="45">
        <f>SUMIF(Tabla3[LUGAR ENVÍO],Tabla11161718[[#This Row],[Ubicación]],Tabla3[VLR. TOTAL FACT.])</f>
        <v>4996600</v>
      </c>
      <c r="R25" s="88">
        <f>AVERAGEIF(Tabla8[Lugar],Tabla11161718[[#This Row],[Ubicación]],Tabla8[Perdida o ganancia de margen])</f>
        <v>-0.11504817385758181</v>
      </c>
    </row>
    <row r="26" spans="1:18" ht="15" thickBot="1" x14ac:dyDescent="0.35">
      <c r="A26" s="165" t="s">
        <v>511</v>
      </c>
      <c r="B26" s="189">
        <f>COUNTIF(Tabla3[LUGAR ENVÍO],Tabla9[[#This Row],[Nombre ]])</f>
        <v>4</v>
      </c>
      <c r="C26">
        <f>Distancias!BS118</f>
        <v>6.7240000000000002</v>
      </c>
      <c r="F26" t="s">
        <v>508</v>
      </c>
      <c r="G26" s="212">
        <f>COUNTIF(Tabla3[LUGAR ENVÍO],Tabla11131415[[#This Row],[Ubicación]])</f>
        <v>6</v>
      </c>
      <c r="H26" s="45">
        <f>SUMIF(Tabla3[LUGAR ENVÍO],Tabla11131415[[#This Row],[Ubicación]],Tabla3[VLR. TRANSPORTE])</f>
        <v>260000</v>
      </c>
      <c r="I26" s="45">
        <f>AVERAGEIF(Tabla3[LUGAR ENVÍO],Tabla11131415[[#This Row],[Ubicación]],Tabla3[VLR. TRANSPORTE])</f>
        <v>43333.333333333336</v>
      </c>
      <c r="J26" s="45">
        <f>SUMIF(Tabla3[LUGAR ENVÍO],Tabla11131415[[#This Row],[Ubicación]],Tabla3[VLR. TOTAL FACT.])</f>
        <v>14975100</v>
      </c>
      <c r="K26" s="88">
        <f>AVERAGEIF(Tabla8[Lugar],Tabla11131415[[#This Row],[Ubicación]],Tabla8[Perdida o ganancia de margen])</f>
        <v>-0.16615066639704815</v>
      </c>
      <c r="M26" t="s">
        <v>711</v>
      </c>
      <c r="N26" s="212">
        <f>COUNTIF(Tabla3[LUGAR ENVÍO],Tabla11161718[[#This Row],[Ubicación]])</f>
        <v>4</v>
      </c>
      <c r="O26" s="45">
        <f>SUMIF(Tabla3[LUGAR ENVÍO],Tabla11161718[[#This Row],[Ubicación]],Tabla3[VLR. TRANSPORTE])</f>
        <v>105000</v>
      </c>
      <c r="P26" s="45">
        <f>AVERAGEIF(Tabla3[LUGAR ENVÍO],Tabla11161718[[#This Row],[Ubicación]],Tabla3[VLR. TRANSPORTE])</f>
        <v>26250</v>
      </c>
      <c r="Q26" s="45">
        <f>SUMIF(Tabla3[LUGAR ENVÍO],Tabla11161718[[#This Row],[Ubicación]],Tabla3[VLR. TOTAL FACT.])</f>
        <v>5409900</v>
      </c>
      <c r="R26" s="88">
        <f>AVERAGEIF(Tabla8[Lugar],Tabla11161718[[#This Row],[Ubicación]],Tabla8[Perdida o ganancia de margen])</f>
        <v>-0.17279622556205188</v>
      </c>
    </row>
    <row r="27" spans="1:18" ht="15" thickBot="1" x14ac:dyDescent="0.35">
      <c r="A27" s="165" t="s">
        <v>671</v>
      </c>
      <c r="B27" s="189">
        <f>COUNTIF(Tabla3[LUGAR ENVÍO],Tabla9[[#This Row],[Nombre ]])</f>
        <v>4</v>
      </c>
      <c r="C27">
        <f>Distancias!FW71</f>
        <v>4.7129999999999992</v>
      </c>
      <c r="F27" t="s">
        <v>707</v>
      </c>
      <c r="G27" s="212">
        <f>COUNTIF(Tabla3[LUGAR ENVÍO],Tabla11131415[[#This Row],[Ubicación]])</f>
        <v>5</v>
      </c>
      <c r="H27" s="45">
        <f>SUMIF(Tabla3[LUGAR ENVÍO],Tabla11131415[[#This Row],[Ubicación]],Tabla3[VLR. TRANSPORTE])</f>
        <v>270000</v>
      </c>
      <c r="I27" s="45">
        <f>AVERAGEIF(Tabla3[LUGAR ENVÍO],Tabla11131415[[#This Row],[Ubicación]],Tabla3[VLR. TRANSPORTE])</f>
        <v>54000</v>
      </c>
      <c r="J27" s="45">
        <f>SUMIF(Tabla3[LUGAR ENVÍO],Tabla11131415[[#This Row],[Ubicación]],Tabla3[VLR. TOTAL FACT.])</f>
        <v>1938600</v>
      </c>
      <c r="K27" s="88">
        <f>AVERAGEIF(Tabla8[Lugar],Tabla11131415[[#This Row],[Ubicación]],Tabla8[Perdida o ganancia de margen])</f>
        <v>0.10560217567063554</v>
      </c>
      <c r="M27" t="s">
        <v>715</v>
      </c>
      <c r="N27" s="212">
        <f>COUNTIF(Tabla3[LUGAR ENVÍO],Tabla11161718[[#This Row],[Ubicación]])</f>
        <v>4</v>
      </c>
      <c r="O27" s="45">
        <f>SUMIF(Tabla3[LUGAR ENVÍO],Tabla11161718[[#This Row],[Ubicación]],Tabla3[VLR. TRANSPORTE])</f>
        <v>245000</v>
      </c>
      <c r="P27" s="45">
        <f>AVERAGEIF(Tabla3[LUGAR ENVÍO],Tabla11161718[[#This Row],[Ubicación]],Tabla3[VLR. TRANSPORTE])</f>
        <v>61250</v>
      </c>
      <c r="Q27" s="45">
        <f>SUMIF(Tabla3[LUGAR ENVÍO],Tabla11161718[[#This Row],[Ubicación]],Tabla3[VLR. TOTAL FACT.])</f>
        <v>11237300</v>
      </c>
      <c r="R27" s="88">
        <f>AVERAGEIF(Tabla8[Lugar],Tabla11161718[[#This Row],[Ubicación]],Tabla8[Perdida o ganancia de margen])</f>
        <v>-3.1277381723188447E-2</v>
      </c>
    </row>
    <row r="28" spans="1:18" ht="15" thickBot="1" x14ac:dyDescent="0.35">
      <c r="A28" s="165" t="s">
        <v>31</v>
      </c>
      <c r="B28" s="189">
        <f>COUNTIF(Tabla3[LUGAR ENVÍO],Tabla9[[#This Row],[Nombre ]])</f>
        <v>4</v>
      </c>
      <c r="C28">
        <f>Distancias!EI71</f>
        <v>18.542000000000002</v>
      </c>
      <c r="F28" t="s">
        <v>552</v>
      </c>
      <c r="G28" s="212">
        <f>COUNTIF(Tabla3[LUGAR ENVÍO],Tabla11131415[[#This Row],[Ubicación]])</f>
        <v>5</v>
      </c>
      <c r="H28" s="45">
        <f>SUMIF(Tabla3[LUGAR ENVÍO],Tabla11131415[[#This Row],[Ubicación]],Tabla3[VLR. TRANSPORTE])</f>
        <v>210000</v>
      </c>
      <c r="I28" s="45">
        <f>AVERAGEIF(Tabla3[LUGAR ENVÍO],Tabla11131415[[#This Row],[Ubicación]],Tabla3[VLR. TRANSPORTE])</f>
        <v>42000</v>
      </c>
      <c r="J28" s="45">
        <f>SUMIF(Tabla3[LUGAR ENVÍO],Tabla11131415[[#This Row],[Ubicación]],Tabla3[VLR. TOTAL FACT.])</f>
        <v>3997400</v>
      </c>
      <c r="K28" s="88">
        <f>AVERAGEIF(Tabla8[Lugar],Tabla11131415[[#This Row],[Ubicación]],Tabla8[Perdida o ganancia de margen])</f>
        <v>-5.1038609690821496E-2</v>
      </c>
      <c r="M28" t="s">
        <v>709</v>
      </c>
      <c r="N28">
        <f>COUNTIF(Tabla3[LUGAR ENVÍO],Tabla11161718[[#This Row],[Ubicación]])</f>
        <v>3</v>
      </c>
      <c r="O28" s="45">
        <f>SUMIF(Tabla3[LUGAR ENVÍO],Tabla11161718[[#This Row],[Ubicación]],Tabla3[VLR. TRANSPORTE])</f>
        <v>80000</v>
      </c>
      <c r="P28" s="45">
        <f>AVERAGEIF(Tabla3[LUGAR ENVÍO],Tabla11161718[[#This Row],[Ubicación]],Tabla3[VLR. TRANSPORTE])</f>
        <v>26666.666666666668</v>
      </c>
      <c r="Q28" s="45">
        <f>SUMIF(Tabla3[LUGAR ENVÍO],Tabla11161718[[#This Row],[Ubicación]],Tabla3[VLR. TOTAL FACT.])</f>
        <v>3516000</v>
      </c>
      <c r="R28" s="88">
        <f>AVERAGEIF(Tabla8[Lugar],Tabla11161718[[#This Row],[Ubicación]],Tabla8[Perdida o ganancia de margen])</f>
        <v>-0.50796499356789127</v>
      </c>
    </row>
    <row r="29" spans="1:18" ht="15" thickBot="1" x14ac:dyDescent="0.35">
      <c r="A29" s="165" t="s">
        <v>673</v>
      </c>
      <c r="B29" s="189">
        <f>COUNTIF(Tabla3[LUGAR ENVÍO],Tabla9[[#This Row],[Nombre ]])</f>
        <v>4</v>
      </c>
      <c r="C29">
        <f>Distancias!GA121</f>
        <v>5.3780000000000001</v>
      </c>
      <c r="F29" t="s">
        <v>665</v>
      </c>
      <c r="G29" s="212">
        <f>COUNTIF(Tabla3[LUGAR ENVÍO],Tabla11131415[[#This Row],[Ubicación]])</f>
        <v>5</v>
      </c>
      <c r="H29" s="45">
        <f>SUMIF(Tabla3[LUGAR ENVÍO],Tabla11131415[[#This Row],[Ubicación]],Tabla3[VLR. TRANSPORTE])</f>
        <v>200000</v>
      </c>
      <c r="I29" s="45">
        <f>AVERAGEIF(Tabla3[LUGAR ENVÍO],Tabla11131415[[#This Row],[Ubicación]],Tabla3[VLR. TRANSPORTE])</f>
        <v>40000</v>
      </c>
      <c r="J29" s="45">
        <f>SUMIF(Tabla3[LUGAR ENVÍO],Tabla11131415[[#This Row],[Ubicación]],Tabla3[VLR. TOTAL FACT.])</f>
        <v>2762500</v>
      </c>
      <c r="K29" s="88">
        <f>AVERAGEIF(Tabla8[Lugar],Tabla11131415[[#This Row],[Ubicación]],Tabla8[Perdida o ganancia de margen])</f>
        <v>-7.8857759155761722E-2</v>
      </c>
      <c r="M29" t="s">
        <v>493</v>
      </c>
      <c r="N29" s="212">
        <f>COUNTIF(Tabla3[LUGAR ENVÍO],Tabla11161718[[#This Row],[Ubicación]])</f>
        <v>3</v>
      </c>
      <c r="O29" s="45">
        <f>SUMIF(Tabla3[LUGAR ENVÍO],Tabla11161718[[#This Row],[Ubicación]],Tabla3[VLR. TRANSPORTE])</f>
        <v>205000</v>
      </c>
      <c r="P29" s="45">
        <f>AVERAGEIF(Tabla3[LUGAR ENVÍO],Tabla11161718[[#This Row],[Ubicación]],Tabla3[VLR. TRANSPORTE])</f>
        <v>68333.333333333328</v>
      </c>
      <c r="Q29" s="45">
        <f>SUMIF(Tabla3[LUGAR ENVÍO],Tabla11161718[[#This Row],[Ubicación]],Tabla3[VLR. TOTAL FACT.])</f>
        <v>2559100</v>
      </c>
      <c r="R29" s="88">
        <f>AVERAGEIF(Tabla8[Lugar],Tabla11161718[[#This Row],[Ubicación]],Tabla8[Perdida o ganancia de margen])</f>
        <v>-4.9708889496061115E-2</v>
      </c>
    </row>
    <row r="30" spans="1:18" ht="15" thickBot="1" x14ac:dyDescent="0.35">
      <c r="A30" s="165" t="s">
        <v>675</v>
      </c>
      <c r="B30" s="189">
        <f>COUNTIF(Tabla3[LUGAR ENVÍO],Tabla9[[#This Row],[Nombre ]])</f>
        <v>4</v>
      </c>
      <c r="C30">
        <f>Distancias!GE64</f>
        <v>3.9430140000000011</v>
      </c>
      <c r="F30" t="s">
        <v>664</v>
      </c>
      <c r="G30" s="212">
        <f>COUNTIF(Tabla3[LUGAR ENVÍO],Tabla11131415[[#This Row],[Ubicación]])</f>
        <v>5</v>
      </c>
      <c r="H30" s="45">
        <f>SUMIF(Tabla3[LUGAR ENVÍO],Tabla11131415[[#This Row],[Ubicación]],Tabla3[VLR. TRANSPORTE])</f>
        <v>150000</v>
      </c>
      <c r="I30" s="45">
        <f>AVERAGEIF(Tabla3[LUGAR ENVÍO],Tabla11131415[[#This Row],[Ubicación]],Tabla3[VLR. TRANSPORTE])</f>
        <v>30000</v>
      </c>
      <c r="J30" s="45">
        <f>SUMIF(Tabla3[LUGAR ENVÍO],Tabla11131415[[#This Row],[Ubicación]],Tabla3[VLR. TOTAL FACT.])</f>
        <v>2360500</v>
      </c>
      <c r="K30" s="88">
        <f>AVERAGEIF(Tabla8[Lugar],Tabla11131415[[#This Row],[Ubicación]],Tabla8[Perdida o ganancia de margen])</f>
        <v>-0.30529454494987962</v>
      </c>
      <c r="M30" t="s">
        <v>492</v>
      </c>
      <c r="N30" s="212">
        <f>COUNTIF(Tabla3[LUGAR ENVÍO],Tabla11161718[[#This Row],[Ubicación]])</f>
        <v>3</v>
      </c>
      <c r="O30" s="45">
        <f>SUMIF(Tabla3[LUGAR ENVÍO],Tabla11161718[[#This Row],[Ubicación]],Tabla3[VLR. TRANSPORTE])</f>
        <v>170000</v>
      </c>
      <c r="P30" s="45">
        <f>AVERAGEIF(Tabla3[LUGAR ENVÍO],Tabla11161718[[#This Row],[Ubicación]],Tabla3[VLR. TRANSPORTE])</f>
        <v>56666.666666666664</v>
      </c>
      <c r="Q30" s="45">
        <f>SUMIF(Tabla3[LUGAR ENVÍO],Tabla11161718[[#This Row],[Ubicación]],Tabla3[VLR. TOTAL FACT.])</f>
        <v>956000</v>
      </c>
      <c r="R30" s="88">
        <f>AVERAGEIF(Tabla8[Lugar],Tabla11161718[[#This Row],[Ubicación]],Tabla8[Perdida o ganancia de margen])</f>
        <v>-0.24684298565162899</v>
      </c>
    </row>
    <row r="31" spans="1:18" ht="15" thickBot="1" x14ac:dyDescent="0.35">
      <c r="A31" s="165" t="s">
        <v>506</v>
      </c>
      <c r="B31" s="189">
        <f>COUNTIF(Tabla3[LUGAR ENVÍO],Tabla9[[#This Row],[Nombre ]])</f>
        <v>4</v>
      </c>
      <c r="C31">
        <f>Distancias!BG91</f>
        <v>5.2639999999999967</v>
      </c>
      <c r="F31" t="s">
        <v>670</v>
      </c>
      <c r="G31" s="212">
        <f>COUNTIF(Tabla3[LUGAR ENVÍO],Tabla11131415[[#This Row],[Ubicación]])</f>
        <v>4</v>
      </c>
      <c r="H31" s="45">
        <f>SUMIF(Tabla3[LUGAR ENVÍO],Tabla11131415[[#This Row],[Ubicación]],Tabla3[VLR. TRANSPORTE])</f>
        <v>240000</v>
      </c>
      <c r="I31" s="45">
        <f>AVERAGEIF(Tabla3[LUGAR ENVÍO],Tabla11131415[[#This Row],[Ubicación]],Tabla3[VLR. TRANSPORTE])</f>
        <v>60000</v>
      </c>
      <c r="J31" s="45">
        <f>SUMIF(Tabla3[LUGAR ENVÍO],Tabla11131415[[#This Row],[Ubicación]],Tabla3[VLR. TOTAL FACT.])</f>
        <v>2398800</v>
      </c>
      <c r="K31" s="88">
        <f>AVERAGEIF(Tabla8[Lugar],Tabla11131415[[#This Row],[Ubicación]],Tabla8[Perdida o ganancia de margen])</f>
        <v>5.9550713539039901E-2</v>
      </c>
      <c r="M31" t="s">
        <v>668</v>
      </c>
      <c r="N31" s="212">
        <f>COUNTIF(Tabla3[LUGAR ENVÍO],Tabla11161718[[#This Row],[Ubicación]])</f>
        <v>3</v>
      </c>
      <c r="O31" s="45">
        <f>SUMIF(Tabla3[LUGAR ENVÍO],Tabla11161718[[#This Row],[Ubicación]],Tabla3[VLR. TRANSPORTE])</f>
        <v>65000</v>
      </c>
      <c r="P31" s="45">
        <f>AVERAGEIF(Tabla3[LUGAR ENVÍO],Tabla11161718[[#This Row],[Ubicación]],Tabla3[VLR. TRANSPORTE])</f>
        <v>21666.666666666668</v>
      </c>
      <c r="Q31" s="45">
        <f>SUMIF(Tabla3[LUGAR ENVÍO],Tabla11161718[[#This Row],[Ubicación]],Tabla3[VLR. TOTAL FACT.])</f>
        <v>8288900</v>
      </c>
      <c r="R31" s="88">
        <f>AVERAGEIF(Tabla8[Lugar],Tabla11161718[[#This Row],[Ubicación]],Tabla8[Perdida o ganancia de margen])</f>
        <v>-4.0695945986805399E-2</v>
      </c>
    </row>
    <row r="32" spans="1:18" ht="15" thickBot="1" x14ac:dyDescent="0.35">
      <c r="A32" s="165" t="s">
        <v>495</v>
      </c>
      <c r="B32" s="189">
        <f>COUNTIF(Tabla3[LUGAR ENVÍO],Tabla9[[#This Row],[Nombre ]])</f>
        <v>4</v>
      </c>
      <c r="C32">
        <f>Distancias!S24</f>
        <v>1.087</v>
      </c>
      <c r="F32" t="s">
        <v>708</v>
      </c>
      <c r="G32" s="212">
        <f>COUNTIF(Tabla3[LUGAR ENVÍO],Tabla11131415[[#This Row],[Ubicación]])</f>
        <v>4</v>
      </c>
      <c r="H32" s="45">
        <f>SUMIF(Tabla3[LUGAR ENVÍO],Tabla11131415[[#This Row],[Ubicación]],Tabla3[VLR. TRANSPORTE])</f>
        <v>240000</v>
      </c>
      <c r="I32" s="45">
        <f>AVERAGEIF(Tabla3[LUGAR ENVÍO],Tabla11131415[[#This Row],[Ubicación]],Tabla3[VLR. TRANSPORTE])</f>
        <v>60000</v>
      </c>
      <c r="J32" s="45">
        <f>SUMIF(Tabla3[LUGAR ENVÍO],Tabla11131415[[#This Row],[Ubicación]],Tabla3[VLR. TOTAL FACT.])</f>
        <v>3755100</v>
      </c>
      <c r="K32" s="88">
        <f>AVERAGEIF(Tabla8[Lugar],Tabla11131415[[#This Row],[Ubicación]],Tabla8[Perdida o ganancia de margen])</f>
        <v>5.4933767489333346E-2</v>
      </c>
      <c r="M32" t="s">
        <v>712</v>
      </c>
      <c r="N32" s="212">
        <f>COUNTIF(Tabla3[LUGAR ENVÍO],Tabla11161718[[#This Row],[Ubicación]])</f>
        <v>3</v>
      </c>
      <c r="O32" s="45">
        <f>SUMIF(Tabla3[LUGAR ENVÍO],Tabla11161718[[#This Row],[Ubicación]],Tabla3[VLR. TRANSPORTE])</f>
        <v>200000</v>
      </c>
      <c r="P32" s="45">
        <f>AVERAGEIF(Tabla3[LUGAR ENVÍO],Tabla11161718[[#This Row],[Ubicación]],Tabla3[VLR. TRANSPORTE])</f>
        <v>66666.666666666672</v>
      </c>
      <c r="Q32" s="45">
        <f>SUMIF(Tabla3[LUGAR ENVÍO],Tabla11161718[[#This Row],[Ubicación]],Tabla3[VLR. TOTAL FACT.])</f>
        <v>8220300</v>
      </c>
      <c r="R32" s="88">
        <f>AVERAGEIF(Tabla8[Lugar],Tabla11161718[[#This Row],[Ubicación]],Tabla8[Perdida o ganancia de margen])</f>
        <v>-0.13156178278016981</v>
      </c>
    </row>
    <row r="33" spans="1:18" ht="15" thickBot="1" x14ac:dyDescent="0.35">
      <c r="A33" s="165" t="s">
        <v>670</v>
      </c>
      <c r="B33" s="189">
        <f>COUNTIF(Tabla3[LUGAR ENVÍO],Tabla9[[#This Row],[Nombre ]])</f>
        <v>4</v>
      </c>
      <c r="C33">
        <f>Distancias!FS60</f>
        <v>4.8000390000000017</v>
      </c>
      <c r="F33" t="s">
        <v>506</v>
      </c>
      <c r="G33" s="212">
        <f>COUNTIF(Tabla3[LUGAR ENVÍO],Tabla11131415[[#This Row],[Ubicación]])</f>
        <v>4</v>
      </c>
      <c r="H33" s="45">
        <f>SUMIF(Tabla3[LUGAR ENVÍO],Tabla11131415[[#This Row],[Ubicación]],Tabla3[VLR. TRANSPORTE])</f>
        <v>175000</v>
      </c>
      <c r="I33" s="45">
        <f>AVERAGEIF(Tabla3[LUGAR ENVÍO],Tabla11131415[[#This Row],[Ubicación]],Tabla3[VLR. TRANSPORTE])</f>
        <v>43750</v>
      </c>
      <c r="J33" s="45">
        <f>SUMIF(Tabla3[LUGAR ENVÍO],Tabla11131415[[#This Row],[Ubicación]],Tabla3[VLR. TOTAL FACT.])</f>
        <v>3514000</v>
      </c>
      <c r="K33" s="88">
        <f>AVERAGEIF(Tabla8[Lugar],Tabla11131415[[#This Row],[Ubicación]],Tabla8[Perdida o ganancia de margen])</f>
        <v>-0.31429450466477882</v>
      </c>
      <c r="M33" t="s">
        <v>666</v>
      </c>
      <c r="N33" s="212">
        <f>COUNTIF(Tabla3[LUGAR ENVÍO],Tabla11161718[[#This Row],[Ubicación]])</f>
        <v>3</v>
      </c>
      <c r="O33" s="45">
        <f>SUMIF(Tabla3[LUGAR ENVÍO],Tabla11161718[[#This Row],[Ubicación]],Tabla3[VLR. TRANSPORTE])</f>
        <v>180000</v>
      </c>
      <c r="P33" s="45">
        <f>AVERAGEIF(Tabla3[LUGAR ENVÍO],Tabla11161718[[#This Row],[Ubicación]],Tabla3[VLR. TRANSPORTE])</f>
        <v>60000</v>
      </c>
      <c r="Q33" s="45">
        <f>SUMIF(Tabla3[LUGAR ENVÍO],Tabla11161718[[#This Row],[Ubicación]],Tabla3[VLR. TOTAL FACT.])</f>
        <v>4517500</v>
      </c>
      <c r="R33" s="88">
        <f>AVERAGEIF(Tabla8[Lugar],Tabla11161718[[#This Row],[Ubicación]],Tabla8[Perdida o ganancia de margen])</f>
        <v>-0.13903505731655733</v>
      </c>
    </row>
    <row r="34" spans="1:18" ht="15" thickBot="1" x14ac:dyDescent="0.35">
      <c r="A34" s="165" t="s">
        <v>504</v>
      </c>
      <c r="B34" s="189">
        <f>COUNTIF(Tabla3[LUGAR ENVÍO],Tabla9[[#This Row],[Nombre ]])</f>
        <v>3</v>
      </c>
      <c r="C34">
        <f>Distancias!BW79</f>
        <v>5.6</v>
      </c>
      <c r="F34" t="s">
        <v>504</v>
      </c>
      <c r="G34" s="212">
        <f>COUNTIF(Tabla3[LUGAR ENVÍO],Tabla11131415[[#This Row],[Ubicación]])</f>
        <v>3</v>
      </c>
      <c r="H34" s="45">
        <f>SUMIF(Tabla3[LUGAR ENVÍO],Tabla11131415[[#This Row],[Ubicación]],Tabla3[VLR. TRANSPORTE])</f>
        <v>150000</v>
      </c>
      <c r="I34" s="45">
        <f>AVERAGEIF(Tabla3[LUGAR ENVÍO],Tabla11131415[[#This Row],[Ubicación]],Tabla3[VLR. TRANSPORTE])</f>
        <v>50000</v>
      </c>
      <c r="J34" s="45">
        <f>SUMIF(Tabla3[LUGAR ENVÍO],Tabla11131415[[#This Row],[Ubicación]],Tabla3[VLR. TOTAL FACT.])</f>
        <v>754200</v>
      </c>
      <c r="K34" s="88">
        <f>AVERAGEIF(Tabla8[Lugar],Tabla11131415[[#This Row],[Ubicación]],Tabla8[Perdida o ganancia de margen])</f>
        <v>-0.20720133256456463</v>
      </c>
      <c r="M34" t="s">
        <v>501</v>
      </c>
      <c r="N34" s="212">
        <f>COUNTIF(Tabla3[LUGAR ENVÍO],Tabla11161718[[#This Row],[Ubicación]])</f>
        <v>3</v>
      </c>
      <c r="O34" s="45">
        <f>SUMIF(Tabla3[LUGAR ENVÍO],Tabla11161718[[#This Row],[Ubicación]],Tabla3[VLR. TRANSPORTE])</f>
        <v>165000</v>
      </c>
      <c r="P34" s="45">
        <f>AVERAGEIF(Tabla3[LUGAR ENVÍO],Tabla11161718[[#This Row],[Ubicación]],Tabla3[VLR. TRANSPORTE])</f>
        <v>55000</v>
      </c>
      <c r="Q34" s="45">
        <f>SUMIF(Tabla3[LUGAR ENVÍO],Tabla11161718[[#This Row],[Ubicación]],Tabla3[VLR. TOTAL FACT.])</f>
        <v>3471900</v>
      </c>
      <c r="R34" s="88">
        <f>AVERAGEIF(Tabla8[Lugar],Tabla11161718[[#This Row],[Ubicación]],Tabla8[Perdida o ganancia de margen])</f>
        <v>-0.15588596147606382</v>
      </c>
    </row>
    <row r="35" spans="1:18" ht="15" thickBot="1" x14ac:dyDescent="0.35">
      <c r="A35" s="165" t="s">
        <v>501</v>
      </c>
      <c r="B35" s="189">
        <f>COUNTIF(Tabla3[LUGAR ENVÍO],Tabla9[[#This Row],[Nombre ]])</f>
        <v>3</v>
      </c>
      <c r="C35">
        <f>Distancias!AQ85</f>
        <v>4.7809999999999988</v>
      </c>
      <c r="F35" t="s">
        <v>690</v>
      </c>
      <c r="G35" s="212">
        <f>COUNTIF(Tabla3[LUGAR ENVÍO],Tabla11131415[[#This Row],[Ubicación]])</f>
        <v>3</v>
      </c>
      <c r="H35" s="45">
        <f>SUMIF(Tabla3[LUGAR ENVÍO],Tabla11131415[[#This Row],[Ubicación]],Tabla3[VLR. TRANSPORTE])</f>
        <v>115000</v>
      </c>
      <c r="I35" s="45">
        <f>AVERAGEIF(Tabla3[LUGAR ENVÍO],Tabla11131415[[#This Row],[Ubicación]],Tabla3[VLR. TRANSPORTE])</f>
        <v>38333.333333333336</v>
      </c>
      <c r="J35" s="45">
        <f>SUMIF(Tabla3[LUGAR ENVÍO],Tabla11131415[[#This Row],[Ubicación]],Tabla3[VLR. TOTAL FACT.])</f>
        <v>7310000</v>
      </c>
      <c r="K35" s="88">
        <f>AVERAGEIF(Tabla8[Lugar],Tabla11131415[[#This Row],[Ubicación]],Tabla8[Perdida o ganancia de margen])</f>
        <v>-7.7205952806737532E-2</v>
      </c>
      <c r="M35" t="s">
        <v>688</v>
      </c>
      <c r="N35" s="212">
        <f>COUNTIF(Tabla3[LUGAR ENVÍO],Tabla11161718[[#This Row],[Ubicación]])</f>
        <v>2</v>
      </c>
      <c r="O35" s="45">
        <f>SUMIF(Tabla3[LUGAR ENVÍO],Tabla11161718[[#This Row],[Ubicación]],Tabla3[VLR. TRANSPORTE])</f>
        <v>30000</v>
      </c>
      <c r="P35" s="45">
        <f>AVERAGEIF(Tabla3[LUGAR ENVÍO],Tabla11161718[[#This Row],[Ubicación]],Tabla3[VLR. TRANSPORTE])</f>
        <v>15000</v>
      </c>
      <c r="Q35" s="45">
        <f>SUMIF(Tabla3[LUGAR ENVÍO],Tabla11161718[[#This Row],[Ubicación]],Tabla3[VLR. TOTAL FACT.])</f>
        <v>2414000</v>
      </c>
      <c r="R35" s="88">
        <f>AVERAGEIF(Tabla8[Lugar],Tabla11161718[[#This Row],[Ubicación]],Tabla8[Perdida o ganancia de margen])</f>
        <v>-0.45623425696636766</v>
      </c>
    </row>
    <row r="36" spans="1:18" ht="15" thickBot="1" x14ac:dyDescent="0.35">
      <c r="A36" s="166" t="s">
        <v>513</v>
      </c>
      <c r="B36" s="189">
        <f>COUNTIF(Tabla3[LUGAR ENVÍO],Tabla9[[#This Row],[Nombre ]])</f>
        <v>3</v>
      </c>
      <c r="C36">
        <f>Distancias!CM100</f>
        <v>4.9299999999999988</v>
      </c>
      <c r="F36" t="s">
        <v>669</v>
      </c>
      <c r="G36" s="212">
        <f>COUNTIF(Tabla3[LUGAR ENVÍO],Tabla11131415[[#This Row],[Ubicación]])</f>
        <v>2</v>
      </c>
      <c r="H36" s="45">
        <f>SUMIF(Tabla3[LUGAR ENVÍO],Tabla11131415[[#This Row],[Ubicación]],Tabla3[VLR. TRANSPORTE])</f>
        <v>180000</v>
      </c>
      <c r="I36" s="45">
        <f>AVERAGEIF(Tabla3[LUGAR ENVÍO],Tabla11131415[[#This Row],[Ubicación]],Tabla3[VLR. TRANSPORTE])</f>
        <v>90000</v>
      </c>
      <c r="J36" s="45">
        <f>SUMIF(Tabla3[LUGAR ENVÍO],Tabla11131415[[#This Row],[Ubicación]],Tabla3[VLR. TOTAL FACT.])</f>
        <v>1596500</v>
      </c>
      <c r="K36" s="88">
        <f>AVERAGEIF(Tabla8[Lugar],Tabla11131415[[#This Row],[Ubicación]],Tabla8[Perdida o ganancia de margen])</f>
        <v>-0.37601594445954961</v>
      </c>
      <c r="M36" t="s">
        <v>494</v>
      </c>
      <c r="N36" s="212">
        <f>COUNTIF(Tabla3[LUGAR ENVÍO],Tabla11161718[[#This Row],[Ubicación]])</f>
        <v>2</v>
      </c>
      <c r="O36" s="45">
        <f>SUMIF(Tabla3[LUGAR ENVÍO],Tabla11161718[[#This Row],[Ubicación]],Tabla3[VLR. TRANSPORTE])</f>
        <v>70000</v>
      </c>
      <c r="P36" s="45">
        <f>AVERAGEIF(Tabla3[LUGAR ENVÍO],Tabla11161718[[#This Row],[Ubicación]],Tabla3[VLR. TRANSPORTE])</f>
        <v>35000</v>
      </c>
      <c r="Q36" s="45">
        <f>SUMIF(Tabla3[LUGAR ENVÍO],Tabla11161718[[#This Row],[Ubicación]],Tabla3[VLR. TOTAL FACT.])</f>
        <v>493800</v>
      </c>
      <c r="R36" s="88">
        <f>AVERAGEIF(Tabla8[Lugar],Tabla11161718[[#This Row],[Ubicación]],Tabla8[Perdida o ganancia de margen])</f>
        <v>-0.20015567972321613</v>
      </c>
    </row>
    <row r="37" spans="1:18" ht="15" thickBot="1" x14ac:dyDescent="0.35">
      <c r="A37" s="166" t="s">
        <v>666</v>
      </c>
      <c r="B37" s="189">
        <f>COUNTIF(Tabla3[LUGAR ENVÍO],Tabla9[[#This Row],[Nombre ]])</f>
        <v>3</v>
      </c>
      <c r="C37">
        <f>Distancias!FC115</f>
        <v>6.9730000000000016</v>
      </c>
      <c r="F37" t="s">
        <v>168</v>
      </c>
      <c r="G37" s="212">
        <f>COUNTIF(Tabla3[LUGAR ENVÍO],Tabla11131415[[#This Row],[Ubicación]])</f>
        <v>1</v>
      </c>
      <c r="H37" s="45">
        <f>SUMIF(Tabla3[LUGAR ENVÍO],Tabla11131415[[#This Row],[Ubicación]],Tabla3[VLR. TRANSPORTE])</f>
        <v>40000</v>
      </c>
      <c r="I37" s="45">
        <f>AVERAGEIF(Tabla3[LUGAR ENVÍO],Tabla11131415[[#This Row],[Ubicación]],Tabla3[VLR. TRANSPORTE])</f>
        <v>40000</v>
      </c>
      <c r="J37" s="45">
        <f>SUMIF(Tabla3[LUGAR ENVÍO],Tabla11131415[[#This Row],[Ubicación]],Tabla3[VLR. TOTAL FACT.])</f>
        <v>233000</v>
      </c>
      <c r="K37" s="88">
        <f>AVERAGEIF(Tabla8[Lugar],Tabla11131415[[#This Row],[Ubicación]],Tabla8[Perdida o ganancia de margen])</f>
        <v>-0.26229409205710996</v>
      </c>
      <c r="M37" t="s">
        <v>713</v>
      </c>
      <c r="N37" s="212">
        <f>COUNTIF(Tabla3[LUGAR ENVÍO],Tabla11161718[[#This Row],[Ubicación]])</f>
        <v>2</v>
      </c>
      <c r="O37" s="45">
        <f>SUMIF(Tabla3[LUGAR ENVÍO],Tabla11161718[[#This Row],[Ubicación]],Tabla3[VLR. TRANSPORTE])</f>
        <v>110000</v>
      </c>
      <c r="P37" s="45">
        <f>AVERAGEIF(Tabla3[LUGAR ENVÍO],Tabla11161718[[#This Row],[Ubicación]],Tabla3[VLR. TRANSPORTE])</f>
        <v>55000</v>
      </c>
      <c r="Q37" s="45">
        <f>SUMIF(Tabla3[LUGAR ENVÍO],Tabla11161718[[#This Row],[Ubicación]],Tabla3[VLR. TOTAL FACT.])</f>
        <v>5960000</v>
      </c>
      <c r="R37" s="88">
        <f>AVERAGEIF(Tabla8[Lugar],Tabla11161718[[#This Row],[Ubicación]],Tabla8[Perdida o ganancia de margen])</f>
        <v>-6.2397199200484532E-2</v>
      </c>
    </row>
    <row r="38" spans="1:18" ht="15" thickBot="1" x14ac:dyDescent="0.35">
      <c r="A38" s="165" t="s">
        <v>676</v>
      </c>
      <c r="B38" s="189">
        <f>COUNTIF(Tabla3[LUGAR ENVÍO],Tabla9[[#This Row],[Nombre ]])</f>
        <v>3</v>
      </c>
      <c r="C38">
        <f>Distancias!GI77</f>
        <v>4.5839430000000005</v>
      </c>
      <c r="F38" t="s">
        <v>686</v>
      </c>
      <c r="G38" s="212">
        <f>COUNTIF(Tabla3[LUGAR ENVÍO],Tabla11131415[[#This Row],[Ubicación]])</f>
        <v>1</v>
      </c>
      <c r="H38" s="45">
        <f>SUMIF(Tabla3[LUGAR ENVÍO],Tabla11131415[[#This Row],[Ubicación]],Tabla3[VLR. TRANSPORTE])</f>
        <v>40000</v>
      </c>
      <c r="I38" s="45">
        <f>AVERAGEIF(Tabla3[LUGAR ENVÍO],Tabla11131415[[#This Row],[Ubicación]],Tabla3[VLR. TRANSPORTE])</f>
        <v>40000</v>
      </c>
      <c r="J38" s="45">
        <f>SUMIF(Tabla3[LUGAR ENVÍO],Tabla11131415[[#This Row],[Ubicación]],Tabla3[VLR. TOTAL FACT.])</f>
        <v>1480000</v>
      </c>
      <c r="K38" s="88">
        <f>AVERAGEIF(Tabla8[Lugar],Tabla11131415[[#This Row],[Ubicación]],Tabla8[Perdida o ganancia de margen])</f>
        <v>-1.715757300745524E-2</v>
      </c>
      <c r="M38" t="s">
        <v>714</v>
      </c>
      <c r="N38" s="212">
        <f>COUNTIF(Tabla3[LUGAR ENVÍO],Tabla11161718[[#This Row],[Ubicación]])</f>
        <v>2</v>
      </c>
      <c r="O38" s="45">
        <f>SUMIF(Tabla3[LUGAR ENVÍO],Tabla11161718[[#This Row],[Ubicación]],Tabla3[VLR. TRANSPORTE])</f>
        <v>60000</v>
      </c>
      <c r="P38" s="45">
        <f>AVERAGEIF(Tabla3[LUGAR ENVÍO],Tabla11161718[[#This Row],[Ubicación]],Tabla3[VLR. TRANSPORTE])</f>
        <v>30000</v>
      </c>
      <c r="Q38" s="45">
        <f>SUMIF(Tabla3[LUGAR ENVÍO],Tabla11161718[[#This Row],[Ubicación]],Tabla3[VLR. TOTAL FACT.])</f>
        <v>2085300</v>
      </c>
      <c r="R38" s="88">
        <f>AVERAGEIF(Tabla8[Lugar],Tabla11161718[[#This Row],[Ubicación]],Tabla8[Perdida o ganancia de margen])</f>
        <v>-0.23670780163377653</v>
      </c>
    </row>
    <row r="39" spans="1:18" ht="15" thickBot="1" x14ac:dyDescent="0.35">
      <c r="A39" s="166" t="s">
        <v>668</v>
      </c>
      <c r="B39" s="189">
        <f>COUNTIF(Tabla3[LUGAR ENVÍO],Tabla9[[#This Row],[Nombre ]])</f>
        <v>3</v>
      </c>
      <c r="C39">
        <f>Distancias!FK26</f>
        <v>1.3212069999999998</v>
      </c>
      <c r="F39" t="s">
        <v>689</v>
      </c>
      <c r="G39" s="212">
        <f>COUNTIF(Tabla3[LUGAR ENVÍO],Tabla11131415[[#This Row],[Ubicación]])</f>
        <v>1</v>
      </c>
      <c r="H39" s="45">
        <f>SUMIF(Tabla3[LUGAR ENVÍO],Tabla11131415[[#This Row],[Ubicación]],Tabla3[VLR. TRANSPORTE])</f>
        <v>40000</v>
      </c>
      <c r="I39" s="45">
        <f>AVERAGEIF(Tabla3[LUGAR ENVÍO],Tabla11131415[[#This Row],[Ubicación]],Tabla3[VLR. TRANSPORTE])</f>
        <v>40000</v>
      </c>
      <c r="J39" s="45">
        <f>SUMIF(Tabla3[LUGAR ENVÍO],Tabla11131415[[#This Row],[Ubicación]],Tabla3[VLR. TOTAL FACT.])</f>
        <v>1699000</v>
      </c>
      <c r="K39" s="88">
        <f>AVERAGEIF(Tabla8[Lugar],Tabla11131415[[#This Row],[Ubicación]],Tabla8[Perdida o ganancia de margen])</f>
        <v>-1.9689763221457657E-2</v>
      </c>
      <c r="M39" t="s">
        <v>663</v>
      </c>
      <c r="N39" s="212">
        <f>COUNTIF(Tabla3[LUGAR ENVÍO],Tabla11161718[[#This Row],[Ubicación]])</f>
        <v>2</v>
      </c>
      <c r="O39" s="45">
        <f>SUMIF(Tabla3[LUGAR ENVÍO],Tabla11161718[[#This Row],[Ubicación]],Tabla3[VLR. TRANSPORTE])</f>
        <v>90000</v>
      </c>
      <c r="P39" s="45">
        <f>AVERAGEIF(Tabla3[LUGAR ENVÍO],Tabla11161718[[#This Row],[Ubicación]],Tabla3[VLR. TRANSPORTE])</f>
        <v>45000</v>
      </c>
      <c r="Q39" s="45">
        <f>SUMIF(Tabla3[LUGAR ENVÍO],Tabla11161718[[#This Row],[Ubicación]],Tabla3[VLR. TOTAL FACT.])</f>
        <v>965000</v>
      </c>
      <c r="R39" s="88">
        <f>AVERAGEIF(Tabla8[Lugar],Tabla11161718[[#This Row],[Ubicación]],Tabla8[Perdida o ganancia de margen])</f>
        <v>-0.42142407662339043</v>
      </c>
    </row>
    <row r="40" spans="1:18" ht="15" thickBot="1" x14ac:dyDescent="0.35">
      <c r="A40" s="165" t="s">
        <v>492</v>
      </c>
      <c r="B40" s="189">
        <f>COUNTIF(Tabla3[LUGAR ENVÍO],Tabla9[[#This Row],[Nombre ]])</f>
        <v>3</v>
      </c>
      <c r="C40">
        <f>Distancias!G26</f>
        <v>0.94400000000000039</v>
      </c>
      <c r="F40" t="s">
        <v>684</v>
      </c>
      <c r="G40" s="212">
        <f>COUNTIF(Tabla3[LUGAR ENVÍO],Tabla11131415[[#This Row],[Ubicación]])</f>
        <v>1</v>
      </c>
      <c r="H40" s="45">
        <f>SUMIF(Tabla3[LUGAR ENVÍO],Tabla11131415[[#This Row],[Ubicación]],Tabla3[VLR. TRANSPORTE])</f>
        <v>40000</v>
      </c>
      <c r="I40" s="45">
        <f>AVERAGEIF(Tabla3[LUGAR ENVÍO],Tabla11131415[[#This Row],[Ubicación]],Tabla3[VLR. TRANSPORTE])</f>
        <v>40000</v>
      </c>
      <c r="J40" s="45">
        <f>SUMIF(Tabla3[LUGAR ENVÍO],Tabla11131415[[#This Row],[Ubicación]],Tabla3[VLR. TOTAL FACT.])</f>
        <v>396000</v>
      </c>
      <c r="K40" s="88">
        <f>AVERAGEIF(Tabla8[Lugar],Tabla11131415[[#This Row],[Ubicación]],Tabla8[Perdida o ganancia de margen])</f>
        <v>-9.0304383438173041E-2</v>
      </c>
      <c r="M40" t="s">
        <v>679</v>
      </c>
      <c r="N40" s="212">
        <f>COUNTIF(Tabla3[LUGAR ENVÍO],Tabla11161718[[#This Row],[Ubicación]])</f>
        <v>1</v>
      </c>
      <c r="O40" s="45">
        <f>SUMIF(Tabla3[LUGAR ENVÍO],Tabla11161718[[#This Row],[Ubicación]],Tabla3[VLR. TRANSPORTE])</f>
        <v>40000</v>
      </c>
      <c r="P40" s="45">
        <f>AVERAGEIF(Tabla3[LUGAR ENVÍO],Tabla11161718[[#This Row],[Ubicación]],Tabla3[VLR. TRANSPORTE])</f>
        <v>40000</v>
      </c>
      <c r="Q40" s="45">
        <f>SUMIF(Tabla3[LUGAR ENVÍO],Tabla11161718[[#This Row],[Ubicación]],Tabla3[VLR. TOTAL FACT.])</f>
        <v>181500</v>
      </c>
      <c r="R40" s="88">
        <f>AVERAGEIF(Tabla8[Lugar],Tabla11161718[[#This Row],[Ubicación]],Tabla8[Perdida o ganancia de margen])</f>
        <v>-0.38035143965834595</v>
      </c>
    </row>
    <row r="41" spans="1:18" ht="15" thickBot="1" x14ac:dyDescent="0.35">
      <c r="A41" s="166" t="s">
        <v>515</v>
      </c>
      <c r="B41" s="189">
        <f>COUNTIF(Tabla3[LUGAR ENVÍO],Tabla9[[#This Row],[Nombre ]])</f>
        <v>3</v>
      </c>
      <c r="C41">
        <f>Distancias!CU114</f>
        <v>7.6033179999999998</v>
      </c>
      <c r="G41" s="212">
        <f>SUM(Tabla11131415[Envios])</f>
        <v>98</v>
      </c>
      <c r="H41" s="213"/>
      <c r="I41" s="213"/>
      <c r="J41" s="213"/>
      <c r="K41" s="214"/>
    </row>
    <row r="42" spans="1:18" ht="15" thickBot="1" x14ac:dyDescent="0.35">
      <c r="A42" s="165" t="s">
        <v>493</v>
      </c>
      <c r="B42" s="189">
        <f>COUNTIF(Tabla3[LUGAR ENVÍO],Tabla9[[#This Row],[Nombre ]])</f>
        <v>3</v>
      </c>
      <c r="C42">
        <f>Distancias!K19</f>
        <v>0.44900000000000007</v>
      </c>
      <c r="G42" s="212">
        <f>COUNTIF(Tabla3[LUGAR ENVÍO],Tabla11131415[[#This Row],[Ubicación]])</f>
        <v>0</v>
      </c>
      <c r="H42" s="45">
        <f>SUMIF(Tabla3[LUGAR ENVÍO],Tabla11131415[[#This Row],[Ubicación]],Tabla3[VLR. TRANSPORTE])</f>
        <v>0</v>
      </c>
      <c r="I42" s="45" t="e">
        <f>AVERAGEIF(Tabla3[LUGAR ENVÍO],Tabla11131415[[#This Row],[Ubicación]],Tabla3[VLR. TRANSPORTE])</f>
        <v>#DIV/0!</v>
      </c>
      <c r="J42" s="45">
        <f>SUMIF(Tabla3[LUGAR ENVÍO],Tabla11131415[[#This Row],[Ubicación]],Tabla3[VLR. TOTAL FACT.])</f>
        <v>0</v>
      </c>
      <c r="K42" s="88" t="e">
        <f>AVERAGEIF(Tabla8[Lugar],Tabla11131415[[#This Row],[Ubicación]],Tabla8[Perdida o ganancia de margen])</f>
        <v>#DIV/0!</v>
      </c>
    </row>
    <row r="43" spans="1:18" ht="15" thickBot="1" x14ac:dyDescent="0.35">
      <c r="A43" s="166" t="s">
        <v>691</v>
      </c>
      <c r="B43" s="189">
        <f>COUNTIF(Tabla3[LUGAR ENVÍO],Tabla9[[#This Row],[Nombre ]])</f>
        <v>3</v>
      </c>
      <c r="C43">
        <f>Distancias!II37</f>
        <v>2.0589999999999997</v>
      </c>
      <c r="G43" s="212">
        <f>COUNTIF(Tabla3[LUGAR ENVÍO],Tabla11131415[[#This Row],[Ubicación]])</f>
        <v>0</v>
      </c>
      <c r="H43" s="45">
        <f>SUMIF(Tabla3[LUGAR ENVÍO],Tabla11131415[[#This Row],[Ubicación]],Tabla3[VLR. TRANSPORTE])</f>
        <v>0</v>
      </c>
      <c r="I43" s="45" t="e">
        <f>AVERAGEIF(Tabla3[LUGAR ENVÍO],Tabla11131415[[#This Row],[Ubicación]],Tabla3[VLR. TRANSPORTE])</f>
        <v>#DIV/0!</v>
      </c>
      <c r="J43" s="45">
        <f>SUMIF(Tabla3[LUGAR ENVÍO],Tabla11131415[[#This Row],[Ubicación]],Tabla3[VLR. TOTAL FACT.])</f>
        <v>0</v>
      </c>
      <c r="K43" s="88" t="e">
        <f>AVERAGEIF(Tabla8[Lugar],Tabla11131415[[#This Row],[Ubicación]],Tabla8[Perdida o ganancia de margen])</f>
        <v>#DIV/0!</v>
      </c>
    </row>
    <row r="44" spans="1:18" ht="15" thickBot="1" x14ac:dyDescent="0.35">
      <c r="A44" s="166" t="s">
        <v>690</v>
      </c>
      <c r="B44" s="189">
        <f>COUNTIF(Tabla3[LUGAR ENVÍO],Tabla9[[#This Row],[Nombre ]])</f>
        <v>3</v>
      </c>
      <c r="C44">
        <f>Distancias!IM58</f>
        <v>4.7339999999999982</v>
      </c>
    </row>
    <row r="45" spans="1:18" ht="15" thickBot="1" x14ac:dyDescent="0.35">
      <c r="A45" s="166" t="s">
        <v>663</v>
      </c>
      <c r="B45" s="189">
        <f>COUNTIF(Tabla3[LUGAR ENVÍO],Tabla9[[#This Row],[Nombre ]])</f>
        <v>2</v>
      </c>
      <c r="C45">
        <f>Distancias!EQ34</f>
        <v>2.31</v>
      </c>
    </row>
    <row r="46" spans="1:18" ht="15" thickBot="1" x14ac:dyDescent="0.35">
      <c r="A46" s="166" t="s">
        <v>497</v>
      </c>
      <c r="B46" s="189">
        <f>COUNTIF(Tabla3[LUGAR ENVÍO],Tabla9[[#This Row],[Nombre ]])</f>
        <v>2</v>
      </c>
      <c r="C46">
        <f>Distancias!AA19</f>
        <v>0.72299999999999998</v>
      </c>
    </row>
    <row r="47" spans="1:18" ht="15" thickBot="1" x14ac:dyDescent="0.35">
      <c r="A47" s="166" t="s">
        <v>549</v>
      </c>
      <c r="B47" s="189">
        <f>COUNTIF(Tabla3[LUGAR ENVÍO],Tabla9[[#This Row],[Nombre ]])</f>
        <v>2</v>
      </c>
      <c r="C47">
        <f>Distancias!DK130</f>
        <v>6.4665800000000022</v>
      </c>
    </row>
    <row r="48" spans="1:18" ht="15" thickBot="1" x14ac:dyDescent="0.35">
      <c r="A48" s="166" t="s">
        <v>516</v>
      </c>
      <c r="B48" s="189">
        <f>COUNTIF(Tabla3[LUGAR ENVÍO],Tabla9[[#This Row],[Nombre ]])</f>
        <v>2</v>
      </c>
      <c r="C48">
        <f>Distancias!CY130</f>
        <v>9.6076130000000024</v>
      </c>
    </row>
    <row r="49" spans="1:5" ht="15" thickBot="1" x14ac:dyDescent="0.35">
      <c r="A49" s="166" t="s">
        <v>494</v>
      </c>
      <c r="B49" s="189">
        <f>COUNTIF(Tabla3[LUGAR ENVÍO],Tabla9[[#This Row],[Nombre ]])</f>
        <v>2</v>
      </c>
      <c r="C49">
        <f>Distancias!O25</f>
        <v>0.93500000000000016</v>
      </c>
    </row>
    <row r="50" spans="1:5" ht="15" thickBot="1" x14ac:dyDescent="0.35">
      <c r="A50" s="166" t="s">
        <v>499</v>
      </c>
      <c r="B50" s="189">
        <f>COUNTIF(Tabla3[LUGAR ENVÍO],Tabla9[[#This Row],[Nombre ]])</f>
        <v>2</v>
      </c>
      <c r="C50">
        <f>Distancias!AI33</f>
        <v>1.2010000000000001</v>
      </c>
    </row>
    <row r="51" spans="1:5" ht="15" thickBot="1" x14ac:dyDescent="0.35">
      <c r="A51" s="165" t="s">
        <v>669</v>
      </c>
      <c r="B51" s="189">
        <f>COUNTIF(Tabla3[LUGAR ENVÍO],Tabla9[[#This Row],[Nombre ]])</f>
        <v>2</v>
      </c>
      <c r="C51">
        <f>Distancias!FO150</f>
        <v>9.826848</v>
      </c>
    </row>
    <row r="52" spans="1:5" ht="15" thickBot="1" x14ac:dyDescent="0.35">
      <c r="A52" s="166" t="s">
        <v>687</v>
      </c>
      <c r="B52" s="189">
        <f>COUNTIF(Tabla3[LUGAR ENVÍO],Tabla9[[#This Row],[Nombre ]])</f>
        <v>2</v>
      </c>
      <c r="C52">
        <f>Distancias!IA71</f>
        <v>14.314000000000002</v>
      </c>
    </row>
    <row r="53" spans="1:5" ht="15" thickBot="1" x14ac:dyDescent="0.35">
      <c r="A53" s="166" t="s">
        <v>688</v>
      </c>
      <c r="B53" s="189">
        <f>COUNTIF(Tabla3[LUGAR ENVÍO],Tabla9[[#This Row],[Nombre ]])</f>
        <v>2</v>
      </c>
      <c r="C53">
        <f>Distancias!IE21</f>
        <v>1.1270000000000002</v>
      </c>
    </row>
    <row r="54" spans="1:5" ht="15" thickBot="1" x14ac:dyDescent="0.35">
      <c r="A54" s="166" t="s">
        <v>692</v>
      </c>
      <c r="B54" s="189">
        <f>COUNTIF(Tabla3[LUGAR ENVÍO],Tabla9[[#This Row],[Nombre ]])</f>
        <v>2</v>
      </c>
      <c r="C54">
        <f>Distancias!IQ83</f>
        <v>6.7879999999999994</v>
      </c>
      <c r="E54" s="168"/>
    </row>
    <row r="55" spans="1:5" ht="15" thickBot="1" x14ac:dyDescent="0.35">
      <c r="A55" s="166" t="s">
        <v>514</v>
      </c>
      <c r="B55" s="189">
        <f>COUNTIF(Tabla3[LUGAR ENVÍO],Tabla9[[#This Row],[Nombre ]])</f>
        <v>1</v>
      </c>
      <c r="C55">
        <f>Distancias!CQ100</f>
        <v>6.6069689999999994</v>
      </c>
    </row>
    <row r="56" spans="1:5" ht="15" thickBot="1" x14ac:dyDescent="0.35">
      <c r="A56" s="166" t="s">
        <v>498</v>
      </c>
      <c r="B56" s="189">
        <f>COUNTIF(Tabla3[LUGAR ENVÍO],Tabla9[[#This Row],[Nombre ]])</f>
        <v>1</v>
      </c>
      <c r="C56">
        <f>Distancias!AE33</f>
        <v>1.3099999999999998</v>
      </c>
    </row>
    <row r="57" spans="1:5" ht="15" thickBot="1" x14ac:dyDescent="0.35">
      <c r="A57" s="166" t="s">
        <v>679</v>
      </c>
      <c r="B57" s="189">
        <f>COUNTIF(Tabla3[LUGAR ENVÍO],Tabla9[[#This Row],[Nombre ]])</f>
        <v>1</v>
      </c>
      <c r="C57">
        <f>Distancias!GU80</f>
        <v>3.6839999999999993</v>
      </c>
    </row>
    <row r="58" spans="1:5" ht="15" thickBot="1" x14ac:dyDescent="0.35">
      <c r="A58" s="166" t="s">
        <v>684</v>
      </c>
      <c r="B58" s="189">
        <f>COUNTIF(Tabla3[LUGAR ENVÍO],Tabla9[[#This Row],[Nombre ]])</f>
        <v>1</v>
      </c>
      <c r="C58">
        <f>Distancias!HK41</f>
        <v>2.0910000000000002</v>
      </c>
    </row>
    <row r="59" spans="1:5" ht="15" thickBot="1" x14ac:dyDescent="0.35">
      <c r="A59" s="165" t="s">
        <v>685</v>
      </c>
      <c r="B59" s="189">
        <f>COUNTIF(Tabla3[LUGAR ENVÍO],Tabla9[[#This Row],[Nombre ]])</f>
        <v>1</v>
      </c>
      <c r="C59">
        <f>Distancias!HO50</f>
        <v>3.4490000000000003</v>
      </c>
    </row>
    <row r="60" spans="1:5" ht="15" thickBot="1" x14ac:dyDescent="0.35">
      <c r="A60" s="165" t="s">
        <v>686</v>
      </c>
      <c r="B60" s="189">
        <f>COUNTIF(Tabla3[LUGAR ENVÍO],Tabla9[[#This Row],[Nombre ]])</f>
        <v>1</v>
      </c>
      <c r="C60">
        <f>Distancias!HS37</f>
        <v>1.544</v>
      </c>
    </row>
    <row r="61" spans="1:5" ht="15" thickBot="1" x14ac:dyDescent="0.35">
      <c r="A61" s="165" t="s">
        <v>689</v>
      </c>
      <c r="B61" s="189">
        <f>COUNTIF(Tabla3[LUGAR ENVÍO],Tabla9[[#This Row],[Nombre ]])</f>
        <v>1</v>
      </c>
      <c r="C61">
        <f>Distancias!HW40</f>
        <v>2.1290000000000004</v>
      </c>
    </row>
    <row r="62" spans="1:5" ht="15" thickBot="1" x14ac:dyDescent="0.35">
      <c r="A62" s="165" t="s">
        <v>500</v>
      </c>
      <c r="B62" s="189">
        <f>COUNTIF(Tabla3[LUGAR ENVÍO],Tabla9[[#This Row],[Nombre ]])</f>
        <v>0</v>
      </c>
      <c r="C62">
        <f>Distancias!AM58</f>
        <v>3.4670000000000001</v>
      </c>
    </row>
    <row r="63" spans="1:5" ht="15" thickBot="1" x14ac:dyDescent="0.35">
      <c r="A63" s="165" t="s">
        <v>667</v>
      </c>
      <c r="B63" s="189">
        <f>COUNTIF(Tabla3[LUGAR ENVÍO],Tabla9[[#This Row],[Nombre ]])</f>
        <v>0</v>
      </c>
      <c r="C63">
        <f>Distancias!FG77</f>
        <v>6.0709999999999997</v>
      </c>
    </row>
    <row r="64" spans="1:5" ht="15" thickBot="1" x14ac:dyDescent="0.35">
      <c r="A64" s="166" t="s">
        <v>674</v>
      </c>
      <c r="B64" s="189">
        <f>COUNTIF(Tabla3[LUGAR ENVÍO],Tabla9[[#This Row],[Nombre ]])</f>
        <v>0</v>
      </c>
      <c r="C64">
        <f>Distancias!GA121</f>
        <v>5.3780000000000001</v>
      </c>
    </row>
    <row r="65" spans="1:3" x14ac:dyDescent="0.3">
      <c r="A65" s="166"/>
      <c r="B65" s="166"/>
      <c r="C65">
        <f>SUBTOTAL(101,Tabla9[Distancia])</f>
        <v>4.410601111111113</v>
      </c>
    </row>
  </sheetData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90EC-AB8F-43D6-BCE5-D233782E72A7}">
  <dimension ref="A2:Q253"/>
  <sheetViews>
    <sheetView tabSelected="1" showOutlineSymbols="0" showWhiteSpace="0" topLeftCell="D228" workbookViewId="0">
      <selection activeCell="L250" sqref="L250"/>
    </sheetView>
  </sheetViews>
  <sheetFormatPr baseColWidth="10" defaultRowHeight="14.4" x14ac:dyDescent="0.3"/>
  <cols>
    <col min="1" max="1" width="14.77734375" customWidth="1"/>
    <col min="2" max="2" width="15.21875" bestFit="1" customWidth="1"/>
    <col min="3" max="3" width="15.21875" customWidth="1"/>
    <col min="4" max="4" width="16.21875" bestFit="1" customWidth="1"/>
    <col min="5" max="5" width="13.33203125" bestFit="1" customWidth="1"/>
    <col min="6" max="6" width="17.5546875" bestFit="1" customWidth="1"/>
    <col min="7" max="7" width="16" bestFit="1" customWidth="1"/>
    <col min="8" max="8" width="17.109375" bestFit="1" customWidth="1"/>
    <col min="9" max="9" width="13.77734375" bestFit="1" customWidth="1"/>
    <col min="10" max="10" width="12.21875" bestFit="1" customWidth="1"/>
    <col min="11" max="11" width="11" bestFit="1" customWidth="1"/>
    <col min="12" max="12" width="15.33203125" bestFit="1" customWidth="1"/>
    <col min="13" max="13" width="12.44140625" bestFit="1" customWidth="1"/>
    <col min="14" max="14" width="12.44140625" customWidth="1"/>
    <col min="15" max="15" width="12.88671875" bestFit="1" customWidth="1"/>
    <col min="16" max="16" width="11.21875" bestFit="1" customWidth="1"/>
    <col min="17" max="17" width="13.109375" bestFit="1" customWidth="1"/>
  </cols>
  <sheetData>
    <row r="2" spans="1:17" ht="43.8" thickBot="1" x14ac:dyDescent="0.35">
      <c r="A2" s="6" t="s">
        <v>81</v>
      </c>
      <c r="B2" s="8" t="s">
        <v>4</v>
      </c>
      <c r="C2" s="8" t="s">
        <v>705</v>
      </c>
      <c r="D2" s="8" t="s">
        <v>86</v>
      </c>
      <c r="E2" s="138" t="s">
        <v>88</v>
      </c>
      <c r="F2" s="138" t="s">
        <v>89</v>
      </c>
      <c r="G2" s="138" t="s">
        <v>606</v>
      </c>
      <c r="H2" s="139" t="s">
        <v>90</v>
      </c>
      <c r="I2" s="10" t="s">
        <v>91</v>
      </c>
      <c r="J2" s="142" t="s">
        <v>612</v>
      </c>
      <c r="K2" s="142" t="s">
        <v>607</v>
      </c>
      <c r="L2" s="142" t="s">
        <v>578</v>
      </c>
      <c r="M2" s="142" t="s">
        <v>608</v>
      </c>
      <c r="N2" s="142" t="s">
        <v>698</v>
      </c>
      <c r="O2" s="142" t="s">
        <v>609</v>
      </c>
      <c r="P2" s="141" t="s">
        <v>611</v>
      </c>
      <c r="Q2" s="142" t="s">
        <v>613</v>
      </c>
    </row>
    <row r="3" spans="1:17" ht="15" thickBot="1" x14ac:dyDescent="0.35">
      <c r="A3" s="3">
        <v>47735</v>
      </c>
      <c r="B3" s="3" t="str">
        <f>_xlfn.XLOOKUP(Tabla8[[#This Row],[N° FACTURA]],Tabla3[N° FACTURA],Tabla3[Corregimiento],"NA")</f>
        <v>Borrero Ayerbe</v>
      </c>
      <c r="C3" s="3" t="str">
        <f>_xlfn.XLOOKUP(Tabla8[[#This Row],[N° FACTURA]],Tabla3[N° FACTURA],Tabla3[LUGAR ENVÍO],"NA")</f>
        <v>casa verde</v>
      </c>
      <c r="D3" s="167">
        <f>_xlfn.XLOOKUP(Tabla8[[#This Row],[N° FACTURA]],Tabla3[N° FACTURA],Tabla3[DISTANCIA (km)],"NA")</f>
        <v>4.6260000000000003</v>
      </c>
      <c r="E3" s="3">
        <f>_xlfn.XLOOKUP(Tabla8[[#This Row],[N° FACTURA]],Tabla3[N° FACTURA],Tabla3[Numero de Transportes],"NA")</f>
        <v>2</v>
      </c>
      <c r="F3" s="15">
        <f>_xlfn.XLOOKUP(Tabla8[[#This Row],[N° FACTURA]],Tabla3[N° FACTURA],Tabla3[VLR. TRANSPORTE],"NA")</f>
        <v>80000</v>
      </c>
      <c r="G3" s="15">
        <f>Tabla8[[#This Row],[VLR. TRANSPORTE]]/Tabla8[[#This Row],[Numero de Transportes]]</f>
        <v>40000</v>
      </c>
      <c r="H3" s="15">
        <f>_xlfn.XLOOKUP(Tabla8[[#This Row],[N° FACTURA]],Tabla3[N° FACTURA],Tabla3[VLR. TOTAL FACT.],"NA")</f>
        <v>300000</v>
      </c>
      <c r="I3" s="15">
        <f>Tabla8[[#This Row],[VLR. TOTAL FACT.]]-Tabla8[[#This Row],[VLR. TRANSPORTE]]</f>
        <v>220000</v>
      </c>
      <c r="J3" s="140">
        <f>Tabla8[[#This Row],[VLR. PRODUCTOS]]*0.2</f>
        <v>44000</v>
      </c>
      <c r="K3" s="140">
        <f>'ABC COSTEO'!B$11</f>
        <v>40740.427791666669</v>
      </c>
      <c r="L3" s="140">
        <f>Tabla8[[#This Row],[DISTANCIA (km)]]*2*'ABC COSTEO'!B$21</f>
        <v>12586.534755639004</v>
      </c>
      <c r="M3" s="140">
        <f>Tabla8[[#This Row],[Costo Variable]]+Tabla8[[#This Row],[Costo fijo]]</f>
        <v>53326.962547305673</v>
      </c>
      <c r="N3" s="140">
        <f>Tabla8[[#This Row],[Costo Total]]*Tabla8[[#This Row],[Numero de Transportes]]</f>
        <v>106653.92509461135</v>
      </c>
      <c r="O3" s="140">
        <f>(Tabla8[[#This Row],[VLR. Transporte unitario]]-Tabla8[[#This Row],[Costo Total]])*Tabla8[[#This Row],[Numero de Transportes]]</f>
        <v>-26653.925094611346</v>
      </c>
      <c r="P3" s="140">
        <f>Tabla8[[#This Row],[Margen de productos]]+Tabla8[[#This Row],[Ganancia/Perdida]]</f>
        <v>17346.074905388654</v>
      </c>
      <c r="Q3" s="143">
        <f>(Tabla8[[#This Row],[Margen ]]/Tabla8[[#This Row],[Margen de productos]])-1</f>
        <v>-0.60577102487753054</v>
      </c>
    </row>
    <row r="4" spans="1:17" ht="15" thickBot="1" x14ac:dyDescent="0.35">
      <c r="A4" s="3">
        <v>57979</v>
      </c>
      <c r="B4" s="3" t="str">
        <f>_xlfn.XLOOKUP(Tabla8[[#This Row],[N° FACTURA]],Tabla3[N° FACTURA],Tabla3[Corregimiento],"NA")</f>
        <v>Borrero Ayerbe</v>
      </c>
      <c r="C4" s="3" t="str">
        <f>_xlfn.XLOOKUP(Tabla8[[#This Row],[N° FACTURA]],Tabla3[N° FACTURA],Tabla3[LUGAR ENVÍO],"NA")</f>
        <v>La Zulia 2</v>
      </c>
      <c r="D4" s="167">
        <f>_xlfn.XLOOKUP(Tabla8[[#This Row],[N° FACTURA]],Tabla3[N° FACTURA],Tabla3[DISTANCIA (km)],"NA")</f>
        <v>1.2480000000000002</v>
      </c>
      <c r="E4" s="3">
        <f>_xlfn.XLOOKUP(Tabla8[[#This Row],[N° FACTURA]],Tabla3[N° FACTURA],Tabla3[Numero de Transportes],"NA")</f>
        <v>1</v>
      </c>
      <c r="F4" s="15">
        <f>_xlfn.XLOOKUP(Tabla8[[#This Row],[N° FACTURA]],Tabla3[N° FACTURA],Tabla3[VLR. TRANSPORTE],"NA")</f>
        <v>15000</v>
      </c>
      <c r="G4" s="15">
        <f>Tabla8[[#This Row],[VLR. TRANSPORTE]]/Tabla8[[#This Row],[Numero de Transportes]]</f>
        <v>15000</v>
      </c>
      <c r="H4" s="15">
        <f>_xlfn.XLOOKUP(Tabla8[[#This Row],[N° FACTURA]],Tabla3[N° FACTURA],Tabla3[VLR. TOTAL FACT.],"NA")</f>
        <v>377800</v>
      </c>
      <c r="I4" s="15">
        <f>Tabla8[[#This Row],[VLR. TOTAL FACT.]]-Tabla8[[#This Row],[VLR. TRANSPORTE]]</f>
        <v>362800</v>
      </c>
      <c r="J4" s="140">
        <f>Tabla8[[#This Row],[VLR. PRODUCTOS]]*0.2</f>
        <v>72560</v>
      </c>
      <c r="K4" s="15">
        <f>'ABC COSTEO'!B$11</f>
        <v>40740.427791666669</v>
      </c>
      <c r="L4" s="15">
        <f>Tabla8[[#This Row],[DISTANCIA (km)]]*2*'ABC COSTEO'!B$21</f>
        <v>3395.5891428961258</v>
      </c>
      <c r="M4" s="15">
        <f>Tabla8[[#This Row],[Costo Variable]]+Tabla8[[#This Row],[Costo fijo]]</f>
        <v>44136.016934562795</v>
      </c>
      <c r="N4" s="15">
        <f>Tabla8[[#This Row],[Costo Total]]*Tabla8[[#This Row],[Numero de Transportes]]</f>
        <v>44136.016934562795</v>
      </c>
      <c r="O4" s="15">
        <f>(Tabla8[[#This Row],[VLR. Transporte unitario]]-Tabla8[[#This Row],[Costo Total]])*Tabla8[[#This Row],[Numero de Transportes]]</f>
        <v>-29136.016934562795</v>
      </c>
      <c r="P4" s="15">
        <f>Tabla8[[#This Row],[Margen de productos]]+Tabla8[[#This Row],[Ganancia/Perdida]]</f>
        <v>43423.983065437205</v>
      </c>
      <c r="Q4" s="144">
        <f>(Tabla8[[#This Row],[Margen ]]/Tabla8[[#This Row],[Margen de productos]])-1</f>
        <v>-0.40154378355240894</v>
      </c>
    </row>
    <row r="5" spans="1:17" ht="15" thickBot="1" x14ac:dyDescent="0.35">
      <c r="A5" s="3">
        <v>58976</v>
      </c>
      <c r="B5" s="3" t="str">
        <f>_xlfn.XLOOKUP(Tabla8[[#This Row],[N° FACTURA]],Tabla3[N° FACTURA],Tabla3[Corregimiento],"NA")</f>
        <v>El Limonar</v>
      </c>
      <c r="C5" s="3" t="str">
        <f>_xlfn.XLOOKUP(Tabla8[[#This Row],[N° FACTURA]],Tabla3[N° FACTURA],Tabla3[LUGAR ENVÍO],"NA")</f>
        <v>San Fernando</v>
      </c>
      <c r="D5" s="167">
        <f>_xlfn.XLOOKUP(Tabla8[[#This Row],[N° FACTURA]],Tabla3[N° FACTURA],Tabla3[DISTANCIA (km)],"NA")</f>
        <v>7.6033179999999998</v>
      </c>
      <c r="E5" s="3">
        <f>_xlfn.XLOOKUP(Tabla8[[#This Row],[N° FACTURA]],Tabla3[N° FACTURA],Tabla3[Numero de Transportes],"NA")</f>
        <v>1</v>
      </c>
      <c r="F5" s="15">
        <f>_xlfn.XLOOKUP(Tabla8[[#This Row],[N° FACTURA]],Tabla3[N° FACTURA],Tabla3[VLR. TRANSPORTE],"NA")</f>
        <v>70000</v>
      </c>
      <c r="G5" s="15">
        <f>Tabla8[[#This Row],[VLR. TRANSPORTE]]/Tabla8[[#This Row],[Numero de Transportes]]</f>
        <v>70000</v>
      </c>
      <c r="H5" s="15">
        <f>_xlfn.XLOOKUP(Tabla8[[#This Row],[N° FACTURA]],Tabla3[N° FACTURA],Tabla3[VLR. TOTAL FACT.],"NA")</f>
        <v>841000</v>
      </c>
      <c r="I5" s="15">
        <f>Tabla8[[#This Row],[VLR. TOTAL FACT.]]-Tabla8[[#This Row],[VLR. TRANSPORTE]]</f>
        <v>771000</v>
      </c>
      <c r="J5" s="140">
        <f>Tabla8[[#This Row],[VLR. PRODUCTOS]]*0.2</f>
        <v>154200</v>
      </c>
      <c r="K5" s="15">
        <f>'ABC COSTEO'!B$11</f>
        <v>40740.427791666669</v>
      </c>
      <c r="L5" s="15">
        <f>Tabla8[[#This Row],[DISTANCIA (km)]]*2*'ABC COSTEO'!B$21</f>
        <v>20687.294912489328</v>
      </c>
      <c r="M5" s="15">
        <f>Tabla8[[#This Row],[Costo Variable]]+Tabla8[[#This Row],[Costo fijo]]</f>
        <v>61427.722704155996</v>
      </c>
      <c r="N5" s="15">
        <f>Tabla8[[#This Row],[Costo Total]]*Tabla8[[#This Row],[Numero de Transportes]]</f>
        <v>61427.722704155996</v>
      </c>
      <c r="O5" s="15">
        <f>(Tabla8[[#This Row],[VLR. Transporte unitario]]-Tabla8[[#This Row],[Costo Total]])*Tabla8[[#This Row],[Numero de Transportes]]</f>
        <v>8572.2772958440037</v>
      </c>
      <c r="P5" s="15">
        <f>Tabla8[[#This Row],[Margen de productos]]+Tabla8[[#This Row],[Ganancia/Perdida]]</f>
        <v>162772.27729584399</v>
      </c>
      <c r="Q5" s="144">
        <f>(Tabla8[[#This Row],[Margen ]]/Tabla8[[#This Row],[Margen de productos]])-1</f>
        <v>5.5591940958780839E-2</v>
      </c>
    </row>
    <row r="6" spans="1:17" ht="15" thickBot="1" x14ac:dyDescent="0.35">
      <c r="A6" s="146">
        <v>58505</v>
      </c>
      <c r="B6" s="3" t="str">
        <f>_xlfn.XLOOKUP(Tabla8[[#This Row],[N° FACTURA]],Tabla3[N° FACTURA],Tabla3[Corregimiento],"NA")</f>
        <v>El Carmen</v>
      </c>
      <c r="C6" s="3" t="str">
        <f>_xlfn.XLOOKUP(Tabla8[[#This Row],[N° FACTURA]],Tabla3[N° FACTURA],Tabla3[LUGAR ENVÍO],"NA")</f>
        <v>bahondo</v>
      </c>
      <c r="D6" s="167">
        <f>_xlfn.XLOOKUP(Tabla8[[#This Row],[N° FACTURA]],Tabla3[N° FACTURA],Tabla3[DISTANCIA (km)],"NA")</f>
        <v>5.6</v>
      </c>
      <c r="E6" s="3">
        <f>_xlfn.XLOOKUP(Tabla8[[#This Row],[N° FACTURA]],Tabla3[N° FACTURA],Tabla3[Numero de Transportes],"NA")</f>
        <v>1</v>
      </c>
      <c r="F6" s="15">
        <f>_xlfn.XLOOKUP(Tabla8[[#This Row],[N° FACTURA]],Tabla3[N° FACTURA],Tabla3[VLR. TRANSPORTE],"NA")</f>
        <v>50000</v>
      </c>
      <c r="G6" s="15">
        <f>Tabla8[[#This Row],[VLR. TRANSPORTE]]/Tabla8[[#This Row],[Numero de Transportes]]</f>
        <v>50000</v>
      </c>
      <c r="H6" s="15">
        <f>_xlfn.XLOOKUP(Tabla8[[#This Row],[N° FACTURA]],Tabla3[N° FACTURA],Tabla3[VLR. TOTAL FACT.],"NA")</f>
        <v>133500</v>
      </c>
      <c r="I6" s="15">
        <f>Tabla8[[#This Row],[VLR. TOTAL FACT.]]-Tabla8[[#This Row],[VLR. TRANSPORTE]]</f>
        <v>83500</v>
      </c>
      <c r="J6" s="140">
        <f>Tabla8[[#This Row],[VLR. PRODUCTOS]]*0.2</f>
        <v>16700</v>
      </c>
      <c r="K6" s="15">
        <f>'ABC COSTEO'!B$11</f>
        <v>40740.427791666669</v>
      </c>
      <c r="L6" s="15">
        <f>Tabla8[[#This Row],[DISTANCIA (km)]]*2*'ABC COSTEO'!B$21</f>
        <v>15236.617948892868</v>
      </c>
      <c r="M6" s="15">
        <f>Tabla8[[#This Row],[Costo Variable]]+Tabla8[[#This Row],[Costo fijo]]</f>
        <v>55977.045740559537</v>
      </c>
      <c r="N6" s="15">
        <f>Tabla8[[#This Row],[Costo Total]]*Tabla8[[#This Row],[Numero de Transportes]]</f>
        <v>55977.045740559537</v>
      </c>
      <c r="O6" s="15">
        <f>(Tabla8[[#This Row],[VLR. Transporte unitario]]-Tabla8[[#This Row],[Costo Total]])*Tabla8[[#This Row],[Numero de Transportes]]</f>
        <v>-5977.0457405595371</v>
      </c>
      <c r="P6" s="15">
        <f>Tabla8[[#This Row],[Margen de productos]]+Tabla8[[#This Row],[Ganancia/Perdida]]</f>
        <v>10722.954259440463</v>
      </c>
      <c r="Q6" s="144">
        <f>(Tabla8[[#This Row],[Margen ]]/Tabla8[[#This Row],[Margen de productos]])-1</f>
        <v>-0.3579069305724274</v>
      </c>
    </row>
    <row r="7" spans="1:17" ht="15" thickBot="1" x14ac:dyDescent="0.35">
      <c r="A7" s="3">
        <v>48240</v>
      </c>
      <c r="B7" s="3" t="str">
        <f>_xlfn.XLOOKUP(Tabla8[[#This Row],[N° FACTURA]],Tabla3[N° FACTURA],Tabla3[Corregimiento],"NA")</f>
        <v>El Carmen</v>
      </c>
      <c r="C7" s="3" t="str">
        <f>_xlfn.XLOOKUP(Tabla8[[#This Row],[N° FACTURA]],Tabla3[N° FACTURA],Tabla3[LUGAR ENVÍO],"NA")</f>
        <v>villa del toro</v>
      </c>
      <c r="D7" s="167">
        <f>_xlfn.XLOOKUP(Tabla8[[#This Row],[N° FACTURA]],Tabla3[N° FACTURA],Tabla3[DISTANCIA (km)],"NA")</f>
        <v>2.2797620000000003</v>
      </c>
      <c r="E7" s="3">
        <f>_xlfn.XLOOKUP(Tabla8[[#This Row],[N° FACTURA]],Tabla3[N° FACTURA],Tabla3[Numero de Transportes],"NA")</f>
        <v>1</v>
      </c>
      <c r="F7" s="15">
        <f>_xlfn.XLOOKUP(Tabla8[[#This Row],[N° FACTURA]],Tabla3[N° FACTURA],Tabla3[VLR. TRANSPORTE],"NA")</f>
        <v>40000</v>
      </c>
      <c r="G7" s="15">
        <f>Tabla8[[#This Row],[VLR. TRANSPORTE]]/Tabla8[[#This Row],[Numero de Transportes]]</f>
        <v>40000</v>
      </c>
      <c r="H7" s="15">
        <f>_xlfn.XLOOKUP(Tabla8[[#This Row],[N° FACTURA]],Tabla3[N° FACTURA],Tabla3[VLR. TOTAL FACT.],"NA")</f>
        <v>410500</v>
      </c>
      <c r="I7" s="15">
        <f>Tabla8[[#This Row],[VLR. TOTAL FACT.]]-Tabla8[[#This Row],[VLR. TRANSPORTE]]</f>
        <v>370500</v>
      </c>
      <c r="J7" s="140">
        <f>Tabla8[[#This Row],[VLR. PRODUCTOS]]*0.2</f>
        <v>74100</v>
      </c>
      <c r="K7" s="15">
        <f>'ABC COSTEO'!B$11</f>
        <v>40740.427791666669</v>
      </c>
      <c r="L7" s="15">
        <f>Tabla8[[#This Row],[DISTANCIA (km)]]*2*'ABC COSTEO'!B$21</f>
        <v>6202.8326086435554</v>
      </c>
      <c r="M7" s="15">
        <f>Tabla8[[#This Row],[Costo Variable]]+Tabla8[[#This Row],[Costo fijo]]</f>
        <v>46943.260400310224</v>
      </c>
      <c r="N7" s="15">
        <f>Tabla8[[#This Row],[Costo Total]]*Tabla8[[#This Row],[Numero de Transportes]]</f>
        <v>46943.260400310224</v>
      </c>
      <c r="O7" s="15">
        <f>(Tabla8[[#This Row],[VLR. Transporte unitario]]-Tabla8[[#This Row],[Costo Total]])*Tabla8[[#This Row],[Numero de Transportes]]</f>
        <v>-6943.2604003102242</v>
      </c>
      <c r="P7" s="15">
        <f>Tabla8[[#This Row],[Margen de productos]]+Tabla8[[#This Row],[Ganancia/Perdida]]</f>
        <v>67156.739599689783</v>
      </c>
      <c r="Q7" s="144">
        <f>(Tabla8[[#This Row],[Margen ]]/Tabla8[[#This Row],[Margen de productos]])-1</f>
        <v>-9.3701219977195938E-2</v>
      </c>
    </row>
    <row r="8" spans="1:17" ht="15" thickBot="1" x14ac:dyDescent="0.35">
      <c r="A8" s="3">
        <v>58809</v>
      </c>
      <c r="B8" s="3" t="str">
        <f>_xlfn.XLOOKUP(Tabla8[[#This Row],[N° FACTURA]],Tabla3[N° FACTURA],Tabla3[Corregimiento],"NA")</f>
        <v>El Limonar</v>
      </c>
      <c r="C8" s="3" t="str">
        <f>_xlfn.XLOOKUP(Tabla8[[#This Row],[N° FACTURA]],Tabla3[N° FACTURA],Tabla3[LUGAR ENVÍO],"NA")</f>
        <v>palo alto</v>
      </c>
      <c r="D8" s="167">
        <f>_xlfn.XLOOKUP(Tabla8[[#This Row],[N° FACTURA]],Tabla3[N° FACTURA],Tabla3[DISTANCIA (km)],"NA")</f>
        <v>4.4759999999999982</v>
      </c>
      <c r="E8" s="3">
        <f>_xlfn.XLOOKUP(Tabla8[[#This Row],[N° FACTURA]],Tabla3[N° FACTURA],Tabla3[Numero de Transportes],"NA")</f>
        <v>3</v>
      </c>
      <c r="F8" s="15">
        <f>_xlfn.XLOOKUP(Tabla8[[#This Row],[N° FACTURA]],Tabla3[N° FACTURA],Tabla3[VLR. TRANSPORTE],"NA")</f>
        <v>90000</v>
      </c>
      <c r="G8" s="15">
        <f>Tabla8[[#This Row],[VLR. TRANSPORTE]]/Tabla8[[#This Row],[Numero de Transportes]]</f>
        <v>30000</v>
      </c>
      <c r="H8" s="15">
        <f>_xlfn.XLOOKUP(Tabla8[[#This Row],[N° FACTURA]],Tabla3[N° FACTURA],Tabla3[VLR. TOTAL FACT.],"NA")</f>
        <v>1382000</v>
      </c>
      <c r="I8" s="15">
        <f>Tabla8[[#This Row],[VLR. TOTAL FACT.]]-Tabla8[[#This Row],[VLR. TRANSPORTE]]</f>
        <v>1292000</v>
      </c>
      <c r="J8" s="140">
        <f>Tabla8[[#This Row],[VLR. PRODUCTOS]]*0.2</f>
        <v>258400</v>
      </c>
      <c r="K8" s="15">
        <f>'ABC COSTEO'!B$11</f>
        <v>40740.427791666669</v>
      </c>
      <c r="L8" s="15">
        <f>Tabla8[[#This Row],[DISTANCIA (km)]]*2*'ABC COSTEO'!B$21</f>
        <v>12178.411060579368</v>
      </c>
      <c r="M8" s="15">
        <f>Tabla8[[#This Row],[Costo Variable]]+Tabla8[[#This Row],[Costo fijo]]</f>
        <v>52918.838852246037</v>
      </c>
      <c r="N8" s="15">
        <f>Tabla8[[#This Row],[Costo Total]]*Tabla8[[#This Row],[Numero de Transportes]]</f>
        <v>158756.51655673812</v>
      </c>
      <c r="O8" s="15">
        <f>(Tabla8[[#This Row],[VLR. Transporte unitario]]-Tabla8[[#This Row],[Costo Total]])*Tabla8[[#This Row],[Numero de Transportes]]</f>
        <v>-68756.516556738119</v>
      </c>
      <c r="P8" s="15">
        <f>Tabla8[[#This Row],[Margen de productos]]+Tabla8[[#This Row],[Ganancia/Perdida]]</f>
        <v>189643.48344326188</v>
      </c>
      <c r="Q8" s="144">
        <f>(Tabla8[[#This Row],[Margen ]]/Tabla8[[#This Row],[Margen de productos]])-1</f>
        <v>-0.26608559038985335</v>
      </c>
    </row>
    <row r="9" spans="1:17" ht="15" thickBot="1" x14ac:dyDescent="0.35">
      <c r="A9" s="3">
        <v>0</v>
      </c>
      <c r="B9" s="3" t="str">
        <f>_xlfn.XLOOKUP(Tabla8[[#This Row],[N° FACTURA]],Tabla3[N° FACTURA],Tabla3[Corregimiento],"NA")</f>
        <v>Borrero Ayerbe</v>
      </c>
      <c r="C9" s="3" t="str">
        <f>_xlfn.XLOOKUP(Tabla8[[#This Row],[N° FACTURA]],Tabla3[N° FACTURA],Tabla3[LUGAR ENVÍO],"NA")</f>
        <v>San Miguel</v>
      </c>
      <c r="D9" s="167">
        <f>_xlfn.XLOOKUP(Tabla8[[#This Row],[N° FACTURA]],Tabla3[N° FACTURA],Tabla3[DISTANCIA (km)],"NA")</f>
        <v>2.2689999999999992</v>
      </c>
      <c r="E9" s="3">
        <f>_xlfn.XLOOKUP(Tabla8[[#This Row],[N° FACTURA]],Tabla3[N° FACTURA],Tabla3[Numero de Transportes],"NA")</f>
        <v>1</v>
      </c>
      <c r="F9" s="15">
        <f>_xlfn.XLOOKUP(Tabla8[[#This Row],[N° FACTURA]],Tabla3[N° FACTURA],Tabla3[VLR. TRANSPORTE],"NA")</f>
        <v>70000</v>
      </c>
      <c r="G9" s="15">
        <f>Tabla8[[#This Row],[VLR. TRANSPORTE]]/Tabla8[[#This Row],[Numero de Transportes]]</f>
        <v>70000</v>
      </c>
      <c r="H9" s="15">
        <f>_xlfn.XLOOKUP(Tabla8[[#This Row],[N° FACTURA]],Tabla3[N° FACTURA],Tabla3[VLR. TOTAL FACT.],"NA")</f>
        <v>541100</v>
      </c>
      <c r="I9" s="15">
        <f>Tabla8[[#This Row],[VLR. TOTAL FACT.]]-Tabla8[[#This Row],[VLR. TRANSPORTE]]</f>
        <v>471100</v>
      </c>
      <c r="J9" s="140">
        <f>Tabla8[[#This Row],[VLR. PRODUCTOS]]*0.2</f>
        <v>94220</v>
      </c>
      <c r="K9" s="15">
        <f>'ABC COSTEO'!B$11</f>
        <v>40740.427791666669</v>
      </c>
      <c r="L9" s="15">
        <f>Tabla8[[#This Row],[DISTANCIA (km)]]*2*'ABC COSTEO'!B$21</f>
        <v>6173.5510939353408</v>
      </c>
      <c r="M9" s="15">
        <f>Tabla8[[#This Row],[Costo Variable]]+Tabla8[[#This Row],[Costo fijo]]</f>
        <v>46913.97888560201</v>
      </c>
      <c r="N9" s="15">
        <f>Tabla8[[#This Row],[Costo Total]]*Tabla8[[#This Row],[Numero de Transportes]]</f>
        <v>46913.97888560201</v>
      </c>
      <c r="O9" s="15">
        <f>(Tabla8[[#This Row],[VLR. Transporte unitario]]-Tabla8[[#This Row],[Costo Total]])*Tabla8[[#This Row],[Numero de Transportes]]</f>
        <v>23086.02111439799</v>
      </c>
      <c r="P9" s="15">
        <f>Tabla8[[#This Row],[Margen de productos]]+Tabla8[[#This Row],[Ganancia/Perdida]]</f>
        <v>117306.021114398</v>
      </c>
      <c r="Q9" s="144">
        <f>(Tabla8[[#This Row],[Margen ]]/Tabla8[[#This Row],[Margen de productos]])-1</f>
        <v>0.24502251235828898</v>
      </c>
    </row>
    <row r="10" spans="1:17" ht="27.6" thickBot="1" x14ac:dyDescent="0.35">
      <c r="A10" s="3">
        <v>46700</v>
      </c>
      <c r="B10" s="3" t="str">
        <f>_xlfn.XLOOKUP(Tabla8[[#This Row],[N° FACTURA]],Tabla3[N° FACTURA],Tabla3[Corregimiento],"NA")</f>
        <v>El Carmen</v>
      </c>
      <c r="C10" s="3" t="str">
        <f>_xlfn.XLOOKUP(Tabla8[[#This Row],[N° FACTURA]],Tabla3[N° FACTURA],Tabla3[LUGAR ENVÍO],"NA")</f>
        <v>Parcelación Monterico</v>
      </c>
      <c r="D10" s="167">
        <f>_xlfn.XLOOKUP(Tabla8[[#This Row],[N° FACTURA]],Tabla3[N° FACTURA],Tabla3[DISTANCIA (km)],"NA")</f>
        <v>9.826848</v>
      </c>
      <c r="E10" s="3">
        <f>_xlfn.XLOOKUP(Tabla8[[#This Row],[N° FACTURA]],Tabla3[N° FACTURA],Tabla3[Numero de Transportes],"NA")</f>
        <v>1</v>
      </c>
      <c r="F10" s="15">
        <f>_xlfn.XLOOKUP(Tabla8[[#This Row],[N° FACTURA]],Tabla3[N° FACTURA],Tabla3[VLR. TRANSPORTE],"NA")</f>
        <v>50000</v>
      </c>
      <c r="G10" s="15">
        <f>Tabla8[[#This Row],[VLR. TRANSPORTE]]/Tabla8[[#This Row],[Numero de Transportes]]</f>
        <v>50000</v>
      </c>
      <c r="H10" s="15">
        <f>_xlfn.XLOOKUP(Tabla8[[#This Row],[N° FACTURA]],Tabla3[N° FACTURA],Tabla3[VLR. TOTAL FACT.],"NA")</f>
        <v>138500</v>
      </c>
      <c r="I10" s="15">
        <f>Tabla8[[#This Row],[VLR. TOTAL FACT.]]-Tabla8[[#This Row],[VLR. TRANSPORTE]]</f>
        <v>88500</v>
      </c>
      <c r="J10" s="140">
        <f>Tabla8[[#This Row],[VLR. PRODUCTOS]]*0.2</f>
        <v>17700</v>
      </c>
      <c r="K10" s="15">
        <f>'ABC COSTEO'!B$11</f>
        <v>40740.427791666669</v>
      </c>
      <c r="L10" s="15">
        <f>Tabla8[[#This Row],[DISTANCIA (km)]]*2*'ABC COSTEO'!B$21</f>
        <v>26737.13011032893</v>
      </c>
      <c r="M10" s="15">
        <f>Tabla8[[#This Row],[Costo Variable]]+Tabla8[[#This Row],[Costo fijo]]</f>
        <v>67477.557901995606</v>
      </c>
      <c r="N10" s="15">
        <f>Tabla8[[#This Row],[Costo Total]]*Tabla8[[#This Row],[Numero de Transportes]]</f>
        <v>67477.557901995606</v>
      </c>
      <c r="O10" s="15">
        <f>(Tabla8[[#This Row],[VLR. Transporte unitario]]-Tabla8[[#This Row],[Costo Total]])*Tabla8[[#This Row],[Numero de Transportes]]</f>
        <v>-17477.557901995606</v>
      </c>
      <c r="P10" s="15">
        <f>Tabla8[[#This Row],[Margen de productos]]+Tabla8[[#This Row],[Ganancia/Perdida]]</f>
        <v>222.44209800439421</v>
      </c>
      <c r="Q10" s="144">
        <f>(Tabla8[[#This Row],[Margen ]]/Tabla8[[#This Row],[Margen de productos]])-1</f>
        <v>-0.98743264983026025</v>
      </c>
    </row>
    <row r="11" spans="1:17" ht="15" thickBot="1" x14ac:dyDescent="0.35">
      <c r="A11" s="3">
        <v>48270</v>
      </c>
      <c r="B11" s="3" t="str">
        <f>_xlfn.XLOOKUP(Tabla8[[#This Row],[N° FACTURA]],Tabla3[N° FACTURA],Tabla3[Corregimiento],"NA")</f>
        <v>El Limonar</v>
      </c>
      <c r="C11" s="3" t="str">
        <f>_xlfn.XLOOKUP(Tabla8[[#This Row],[N° FACTURA]],Tabla3[N° FACTURA],Tabla3[LUGAR ENVÍO],"NA")</f>
        <v>KM 34</v>
      </c>
      <c r="D11" s="167">
        <f>_xlfn.XLOOKUP(Tabla8[[#This Row],[N° FACTURA]],Tabla3[N° FACTURA],Tabla3[DISTANCIA (km)],"NA")</f>
        <v>4.3159999999999989</v>
      </c>
      <c r="E11" s="3">
        <f>_xlfn.XLOOKUP(Tabla8[[#This Row],[N° FACTURA]],Tabla3[N° FACTURA],Tabla3[Numero de Transportes],"NA")</f>
        <v>1</v>
      </c>
      <c r="F11" s="15">
        <f>_xlfn.XLOOKUP(Tabla8[[#This Row],[N° FACTURA]],Tabla3[N° FACTURA],Tabla3[VLR. TRANSPORTE],"NA")</f>
        <v>40000</v>
      </c>
      <c r="G11" s="15">
        <f>Tabla8[[#This Row],[VLR. TRANSPORTE]]/Tabla8[[#This Row],[Numero de Transportes]]</f>
        <v>40000</v>
      </c>
      <c r="H11" s="15">
        <f>_xlfn.XLOOKUP(Tabla8[[#This Row],[N° FACTURA]],Tabla3[N° FACTURA],Tabla3[VLR. TOTAL FACT.],"NA")</f>
        <v>264500</v>
      </c>
      <c r="I11" s="15">
        <f>Tabla8[[#This Row],[VLR. TOTAL FACT.]]-Tabla8[[#This Row],[VLR. TRANSPORTE]]</f>
        <v>224500</v>
      </c>
      <c r="J11" s="140">
        <f>Tabla8[[#This Row],[VLR. PRODUCTOS]]*0.2</f>
        <v>44900</v>
      </c>
      <c r="K11" s="15">
        <f>'ABC COSTEO'!B$11</f>
        <v>40740.427791666669</v>
      </c>
      <c r="L11" s="15">
        <f>Tabla8[[#This Row],[DISTANCIA (km)]]*2*'ABC COSTEO'!B$21</f>
        <v>11743.07911918243</v>
      </c>
      <c r="M11" s="15">
        <f>Tabla8[[#This Row],[Costo Variable]]+Tabla8[[#This Row],[Costo fijo]]</f>
        <v>52483.506910849101</v>
      </c>
      <c r="N11" s="15">
        <f>Tabla8[[#This Row],[Costo Total]]*Tabla8[[#This Row],[Numero de Transportes]]</f>
        <v>52483.506910849101</v>
      </c>
      <c r="O11" s="15">
        <f>(Tabla8[[#This Row],[VLR. Transporte unitario]]-Tabla8[[#This Row],[Costo Total]])*Tabla8[[#This Row],[Numero de Transportes]]</f>
        <v>-12483.506910849101</v>
      </c>
      <c r="P11" s="15">
        <f>Tabla8[[#This Row],[Margen de productos]]+Tabla8[[#This Row],[Ganancia/Perdida]]</f>
        <v>32416.493089150899</v>
      </c>
      <c r="Q11" s="144">
        <f>(Tabla8[[#This Row],[Margen ]]/Tabla8[[#This Row],[Margen de productos]])-1</f>
        <v>-0.27802910714585971</v>
      </c>
    </row>
    <row r="12" spans="1:17" ht="15" thickBot="1" x14ac:dyDescent="0.35">
      <c r="A12" s="3">
        <v>58753</v>
      </c>
      <c r="B12" s="3" t="str">
        <f>_xlfn.XLOOKUP(Tabla8[[#This Row],[N° FACTURA]],Tabla3[N° FACTURA],Tabla3[Corregimiento],"NA")</f>
        <v>Borrero Ayerbe</v>
      </c>
      <c r="C12" s="3" t="str">
        <f>_xlfn.XLOOKUP(Tabla8[[#This Row],[N° FACTURA]],Tabla3[N° FACTURA],Tabla3[LUGAR ENVÍO],"NA")</f>
        <v>Cositas ricas</v>
      </c>
      <c r="D12" s="167">
        <f>_xlfn.XLOOKUP(Tabla8[[#This Row],[N° FACTURA]],Tabla3[N° FACTURA],Tabla3[DISTANCIA (km)],"NA")</f>
        <v>0.72299999999999998</v>
      </c>
      <c r="E12" s="3">
        <f>_xlfn.XLOOKUP(Tabla8[[#This Row],[N° FACTURA]],Tabla3[N° FACTURA],Tabla3[Numero de Transportes],"NA")</f>
        <v>2</v>
      </c>
      <c r="F12" s="15">
        <f>_xlfn.XLOOKUP(Tabla8[[#This Row],[N° FACTURA]],Tabla3[N° FACTURA],Tabla3[VLR. TRANSPORTE],"NA")</f>
        <v>50000</v>
      </c>
      <c r="G12" s="15">
        <f>Tabla8[[#This Row],[VLR. TRANSPORTE]]/Tabla8[[#This Row],[Numero de Transportes]]</f>
        <v>25000</v>
      </c>
      <c r="H12" s="15">
        <f>_xlfn.XLOOKUP(Tabla8[[#This Row],[N° FACTURA]],Tabla3[N° FACTURA],Tabla3[VLR. TOTAL FACT.],"NA")</f>
        <v>1622000</v>
      </c>
      <c r="I12" s="15">
        <f>Tabla8[[#This Row],[VLR. TOTAL FACT.]]-Tabla8[[#This Row],[VLR. TRANSPORTE]]</f>
        <v>1572000</v>
      </c>
      <c r="J12" s="140">
        <f>Tabla8[[#This Row],[VLR. PRODUCTOS]]*0.2</f>
        <v>314400</v>
      </c>
      <c r="K12" s="15">
        <f>'ABC COSTEO'!B$11</f>
        <v>40740.427791666669</v>
      </c>
      <c r="L12" s="15">
        <f>Tabla8[[#This Row],[DISTANCIA (km)]]*2*'ABC COSTEO'!B$21</f>
        <v>1967.1562101874188</v>
      </c>
      <c r="M12" s="15">
        <f>Tabla8[[#This Row],[Costo Variable]]+Tabla8[[#This Row],[Costo fijo]]</f>
        <v>42707.584001854091</v>
      </c>
      <c r="N12" s="15">
        <f>Tabla8[[#This Row],[Costo Total]]*Tabla8[[#This Row],[Numero de Transportes]]</f>
        <v>85415.168003708182</v>
      </c>
      <c r="O12" s="15">
        <f>(Tabla8[[#This Row],[VLR. Transporte unitario]]-Tabla8[[#This Row],[Costo Total]])*Tabla8[[#This Row],[Numero de Transportes]]</f>
        <v>-35415.168003708182</v>
      </c>
      <c r="P12" s="15">
        <f>Tabla8[[#This Row],[Margen de productos]]+Tabla8[[#This Row],[Ganancia/Perdida]]</f>
        <v>278984.83199629182</v>
      </c>
      <c r="Q12" s="144">
        <f>(Tabla8[[#This Row],[Margen ]]/Tabla8[[#This Row],[Margen de productos]])-1</f>
        <v>-0.1126436641339319</v>
      </c>
    </row>
    <row r="13" spans="1:17" ht="15" thickBot="1" x14ac:dyDescent="0.35">
      <c r="A13" s="93">
        <v>48443</v>
      </c>
      <c r="B13" s="3" t="str">
        <f>_xlfn.XLOOKUP(Tabla8[[#This Row],[N° FACTURA]],Tabla3[N° FACTURA],Tabla3[Corregimiento],"NA")</f>
        <v>El Limonar</v>
      </c>
      <c r="C13" s="3" t="str">
        <f>_xlfn.XLOOKUP(Tabla8[[#This Row],[N° FACTURA]],Tabla3[N° FACTURA],Tabla3[LUGAR ENVÍO],"NA")</f>
        <v>El chilcal</v>
      </c>
      <c r="D13" s="167">
        <f>_xlfn.XLOOKUP(Tabla8[[#This Row],[N° FACTURA]],Tabla3[N° FACTURA],Tabla3[DISTANCIA (km)],"NA")</f>
        <v>14.314000000000002</v>
      </c>
      <c r="E13" s="3">
        <f>_xlfn.XLOOKUP(Tabla8[[#This Row],[N° FACTURA]],Tabla3[N° FACTURA],Tabla3[Numero de Transportes],"NA")</f>
        <v>1</v>
      </c>
      <c r="F13" s="15">
        <f>_xlfn.XLOOKUP(Tabla8[[#This Row],[N° FACTURA]],Tabla3[N° FACTURA],Tabla3[VLR. TRANSPORTE],"NA")</f>
        <v>70000</v>
      </c>
      <c r="G13" s="15">
        <f>Tabla8[[#This Row],[VLR. TRANSPORTE]]/Tabla8[[#This Row],[Numero de Transportes]]</f>
        <v>70000</v>
      </c>
      <c r="H13" s="15">
        <f>_xlfn.XLOOKUP(Tabla8[[#This Row],[N° FACTURA]],Tabla3[N° FACTURA],Tabla3[VLR. TOTAL FACT.],"NA")</f>
        <v>300000</v>
      </c>
      <c r="I13" s="15">
        <f>Tabla8[[#This Row],[VLR. TOTAL FACT.]]-Tabla8[[#This Row],[VLR. TRANSPORTE]]</f>
        <v>230000</v>
      </c>
      <c r="J13" s="140">
        <f>Tabla8[[#This Row],[VLR. PRODUCTOS]]*0.2</f>
        <v>46000</v>
      </c>
      <c r="K13" s="15">
        <f>'ABC COSTEO'!B$11</f>
        <v>40740.427791666669</v>
      </c>
      <c r="L13" s="15">
        <f>Tabla8[[#This Row],[DISTANCIA (km)]]*2*'ABC COSTEO'!B$21</f>
        <v>38945.883807223676</v>
      </c>
      <c r="M13" s="15">
        <f>Tabla8[[#This Row],[Costo Variable]]+Tabla8[[#This Row],[Costo fijo]]</f>
        <v>79686.311598890345</v>
      </c>
      <c r="N13" s="15">
        <f>Tabla8[[#This Row],[Costo Total]]*Tabla8[[#This Row],[Numero de Transportes]]</f>
        <v>79686.311598890345</v>
      </c>
      <c r="O13" s="15">
        <f>(Tabla8[[#This Row],[VLR. Transporte unitario]]-Tabla8[[#This Row],[Costo Total]])*Tabla8[[#This Row],[Numero de Transportes]]</f>
        <v>-9686.3115988903446</v>
      </c>
      <c r="P13" s="15">
        <f>Tabla8[[#This Row],[Margen de productos]]+Tabla8[[#This Row],[Ganancia/Perdida]]</f>
        <v>36313.688401109655</v>
      </c>
      <c r="Q13" s="144">
        <f>(Tabla8[[#This Row],[Margen ]]/Tabla8[[#This Row],[Margen de productos]])-1</f>
        <v>-0.21057199128022486</v>
      </c>
    </row>
    <row r="14" spans="1:17" ht="15" thickBot="1" x14ac:dyDescent="0.35">
      <c r="A14" s="3">
        <v>58539</v>
      </c>
      <c r="B14" s="3" t="str">
        <f>_xlfn.XLOOKUP(Tabla8[[#This Row],[N° FACTURA]],Tabla3[N° FACTURA],Tabla3[Corregimiento],"NA")</f>
        <v>Borrero Ayerbe</v>
      </c>
      <c r="C14" s="3" t="str">
        <f>_xlfn.XLOOKUP(Tabla8[[#This Row],[N° FACTURA]],Tabla3[N° FACTURA],Tabla3[LUGAR ENVÍO],"NA")</f>
        <v>La Zulia 1</v>
      </c>
      <c r="D14" s="167">
        <f>_xlfn.XLOOKUP(Tabla8[[#This Row],[N° FACTURA]],Tabla3[N° FACTURA],Tabla3[DISTANCIA (km)],"NA")</f>
        <v>0.94400000000000039</v>
      </c>
      <c r="E14" s="3">
        <f>_xlfn.XLOOKUP(Tabla8[[#This Row],[N° FACTURA]],Tabla3[N° FACTURA],Tabla3[Numero de Transportes],"NA")</f>
        <v>1</v>
      </c>
      <c r="F14" s="15">
        <f>_xlfn.XLOOKUP(Tabla8[[#This Row],[N° FACTURA]],Tabla3[N° FACTURA],Tabla3[VLR. TRANSPORTE],"NA")</f>
        <v>40000</v>
      </c>
      <c r="G14" s="15">
        <f>Tabla8[[#This Row],[VLR. TRANSPORTE]]/Tabla8[[#This Row],[Numero de Transportes]]</f>
        <v>40000</v>
      </c>
      <c r="H14" s="15">
        <f>_xlfn.XLOOKUP(Tabla8[[#This Row],[N° FACTURA]],Tabla3[N° FACTURA],Tabla3[VLR. TOTAL FACT.],"NA")</f>
        <v>162000</v>
      </c>
      <c r="I14" s="15">
        <f>Tabla8[[#This Row],[VLR. TOTAL FACT.]]-Tabla8[[#This Row],[VLR. TRANSPORTE]]</f>
        <v>122000</v>
      </c>
      <c r="J14" s="140">
        <f>Tabla8[[#This Row],[VLR. PRODUCTOS]]*0.2</f>
        <v>24400</v>
      </c>
      <c r="K14" s="15">
        <f>'ABC COSTEO'!B$11</f>
        <v>40740.427791666669</v>
      </c>
      <c r="L14" s="15">
        <f>Tabla8[[#This Row],[DISTANCIA (km)]]*2*'ABC COSTEO'!B$21</f>
        <v>2568.458454241942</v>
      </c>
      <c r="M14" s="15">
        <f>Tabla8[[#This Row],[Costo Variable]]+Tabla8[[#This Row],[Costo fijo]]</f>
        <v>43308.886245908609</v>
      </c>
      <c r="N14" s="15">
        <f>Tabla8[[#This Row],[Costo Total]]*Tabla8[[#This Row],[Numero de Transportes]]</f>
        <v>43308.886245908609</v>
      </c>
      <c r="O14" s="15">
        <f>(Tabla8[[#This Row],[VLR. Transporte unitario]]-Tabla8[[#This Row],[Costo Total]])*Tabla8[[#This Row],[Numero de Transportes]]</f>
        <v>-3308.8862459086085</v>
      </c>
      <c r="P14" s="15">
        <f>Tabla8[[#This Row],[Margen de productos]]+Tabla8[[#This Row],[Ganancia/Perdida]]</f>
        <v>21091.113754091391</v>
      </c>
      <c r="Q14" s="144">
        <f>(Tabla8[[#This Row],[Margen ]]/Tabla8[[#This Row],[Margen de productos]])-1</f>
        <v>-0.13561009204543473</v>
      </c>
    </row>
    <row r="15" spans="1:17" ht="15" thickBot="1" x14ac:dyDescent="0.35">
      <c r="A15" s="3">
        <v>47578</v>
      </c>
      <c r="B15" s="3" t="str">
        <f>_xlfn.XLOOKUP(Tabla8[[#This Row],[N° FACTURA]],Tabla3[N° FACTURA],Tabla3[Corregimiento],"NA")</f>
        <v>Borrero Ayerbe</v>
      </c>
      <c r="C15" s="3" t="str">
        <f>_xlfn.XLOOKUP(Tabla8[[#This Row],[N° FACTURA]],Tabla3[N° FACTURA],Tabla3[LUGAR ENVÍO],"NA")</f>
        <v>Chipre</v>
      </c>
      <c r="D15" s="167">
        <f>_xlfn.XLOOKUP(Tabla8[[#This Row],[N° FACTURA]],Tabla3[N° FACTURA],Tabla3[DISTANCIA (km)],"NA")</f>
        <v>4.7809999999999988</v>
      </c>
      <c r="E15" s="3">
        <f>_xlfn.XLOOKUP(Tabla8[[#This Row],[N° FACTURA]],Tabla3[N° FACTURA],Tabla3[Numero de Transportes],"NA")</f>
        <v>1</v>
      </c>
      <c r="F15" s="15">
        <f>_xlfn.XLOOKUP(Tabla8[[#This Row],[N° FACTURA]],Tabla3[N° FACTURA],Tabla3[VLR. TRANSPORTE],"NA")</f>
        <v>25000</v>
      </c>
      <c r="G15" s="15">
        <f>Tabla8[[#This Row],[VLR. TRANSPORTE]]/Tabla8[[#This Row],[Numero de Transportes]]</f>
        <v>25000</v>
      </c>
      <c r="H15" s="15">
        <f>_xlfn.XLOOKUP(Tabla8[[#This Row],[N° FACTURA]],Tabla3[N° FACTURA],Tabla3[VLR. TOTAL FACT.],"NA")</f>
        <v>510000</v>
      </c>
      <c r="I15" s="15">
        <f>Tabla8[[#This Row],[VLR. TOTAL FACT.]]-Tabla8[[#This Row],[VLR. TRANSPORTE]]</f>
        <v>485000</v>
      </c>
      <c r="J15" s="140">
        <f>Tabla8[[#This Row],[VLR. PRODUCTOS]]*0.2</f>
        <v>97000</v>
      </c>
      <c r="K15" s="15">
        <f>'ABC COSTEO'!B$11</f>
        <v>40740.427791666669</v>
      </c>
      <c r="L15" s="15">
        <f>Tabla8[[#This Row],[DISTANCIA (km)]]*2*'ABC COSTEO'!B$21</f>
        <v>13008.262573867285</v>
      </c>
      <c r="M15" s="15">
        <f>Tabla8[[#This Row],[Costo Variable]]+Tabla8[[#This Row],[Costo fijo]]</f>
        <v>53748.690365533956</v>
      </c>
      <c r="N15" s="15">
        <f>Tabla8[[#This Row],[Costo Total]]*Tabla8[[#This Row],[Numero de Transportes]]</f>
        <v>53748.690365533956</v>
      </c>
      <c r="O15" s="15">
        <f>(Tabla8[[#This Row],[VLR. Transporte unitario]]-Tabla8[[#This Row],[Costo Total]])*Tabla8[[#This Row],[Numero de Transportes]]</f>
        <v>-28748.690365533956</v>
      </c>
      <c r="P15" s="15">
        <f>Tabla8[[#This Row],[Margen de productos]]+Tabla8[[#This Row],[Ganancia/Perdida]]</f>
        <v>68251.309634466044</v>
      </c>
      <c r="Q15" s="144">
        <f>(Tabla8[[#This Row],[Margen ]]/Tabla8[[#This Row],[Margen de productos]])-1</f>
        <v>-0.29637825119107175</v>
      </c>
    </row>
    <row r="16" spans="1:17" ht="15" thickBot="1" x14ac:dyDescent="0.35">
      <c r="A16" s="147">
        <v>49737</v>
      </c>
      <c r="B16" s="3" t="str">
        <f>_xlfn.XLOOKUP(Tabla8[[#This Row],[N° FACTURA]],Tabla3[N° FACTURA],Tabla3[Corregimiento],"NA")</f>
        <v>El Carmen</v>
      </c>
      <c r="C16" s="3" t="str">
        <f>_xlfn.XLOOKUP(Tabla8[[#This Row],[N° FACTURA]],Tabla3[N° FACTURA],Tabla3[LUGAR ENVÍO],"NA")</f>
        <v>villa del toro</v>
      </c>
      <c r="D16" s="167">
        <f>_xlfn.XLOOKUP(Tabla8[[#This Row],[N° FACTURA]],Tabla3[N° FACTURA],Tabla3[DISTANCIA (km)],"NA")</f>
        <v>2.2797620000000003</v>
      </c>
      <c r="E16" s="3">
        <f>_xlfn.XLOOKUP(Tabla8[[#This Row],[N° FACTURA]],Tabla3[N° FACTURA],Tabla3[Numero de Transportes],"NA")</f>
        <v>1</v>
      </c>
      <c r="F16" s="15">
        <f>_xlfn.XLOOKUP(Tabla8[[#This Row],[N° FACTURA]],Tabla3[N° FACTURA],Tabla3[VLR. TRANSPORTE],"NA")</f>
        <v>45000</v>
      </c>
      <c r="G16" s="15">
        <f>Tabla8[[#This Row],[VLR. TRANSPORTE]]/Tabla8[[#This Row],[Numero de Transportes]]</f>
        <v>45000</v>
      </c>
      <c r="H16" s="15">
        <f>_xlfn.XLOOKUP(Tabla8[[#This Row],[N° FACTURA]],Tabla3[N° FACTURA],Tabla3[VLR. TOTAL FACT.],"NA")</f>
        <v>443600</v>
      </c>
      <c r="I16" s="15">
        <f>Tabla8[[#This Row],[VLR. TOTAL FACT.]]-Tabla8[[#This Row],[VLR. TRANSPORTE]]</f>
        <v>398600</v>
      </c>
      <c r="J16" s="140">
        <f>Tabla8[[#This Row],[VLR. PRODUCTOS]]*0.2</f>
        <v>79720</v>
      </c>
      <c r="K16" s="15">
        <f>'ABC COSTEO'!B$11</f>
        <v>40740.427791666669</v>
      </c>
      <c r="L16" s="15">
        <f>Tabla8[[#This Row],[DISTANCIA (km)]]*2*'ABC COSTEO'!B$21</f>
        <v>6202.8326086435554</v>
      </c>
      <c r="M16" s="15">
        <f>Tabla8[[#This Row],[Costo Variable]]+Tabla8[[#This Row],[Costo fijo]]</f>
        <v>46943.260400310224</v>
      </c>
      <c r="N16" s="15">
        <f>Tabla8[[#This Row],[Costo Total]]*Tabla8[[#This Row],[Numero de Transportes]]</f>
        <v>46943.260400310224</v>
      </c>
      <c r="O16" s="15">
        <f>(Tabla8[[#This Row],[VLR. Transporte unitario]]-Tabla8[[#This Row],[Costo Total]])*Tabla8[[#This Row],[Numero de Transportes]]</f>
        <v>-1943.2604003102242</v>
      </c>
      <c r="P16" s="15">
        <f>Tabla8[[#This Row],[Margen de productos]]+Tabla8[[#This Row],[Ganancia/Perdida]]</f>
        <v>77776.739599689783</v>
      </c>
      <c r="Q16" s="144">
        <f>(Tabla8[[#This Row],[Margen ]]/Tabla8[[#This Row],[Margen de productos]])-1</f>
        <v>-2.4376071253264131E-2</v>
      </c>
    </row>
    <row r="17" spans="1:17" ht="15" thickBot="1" x14ac:dyDescent="0.35">
      <c r="A17" s="93">
        <v>47019</v>
      </c>
      <c r="B17" s="3" t="str">
        <f>_xlfn.XLOOKUP(Tabla8[[#This Row],[N° FACTURA]],Tabla3[N° FACTURA],Tabla3[Corregimiento],"NA")</f>
        <v>Borrero Ayerbe</v>
      </c>
      <c r="C17" s="3" t="str">
        <f>_xlfn.XLOOKUP(Tabla8[[#This Row],[N° FACTURA]],Tabla3[N° FACTURA],Tabla3[LUGAR ENVÍO],"NA")</f>
        <v>El parque</v>
      </c>
      <c r="D17" s="167">
        <f>_xlfn.XLOOKUP(Tabla8[[#This Row],[N° FACTURA]],Tabla3[N° FACTURA],Tabla3[DISTANCIA (km)],"NA")</f>
        <v>0.83599999999999997</v>
      </c>
      <c r="E17" s="3">
        <f>_xlfn.XLOOKUP(Tabla8[[#This Row],[N° FACTURA]],Tabla3[N° FACTURA],Tabla3[Numero de Transportes],"NA")</f>
        <v>1</v>
      </c>
      <c r="F17" s="15">
        <f>_xlfn.XLOOKUP(Tabla8[[#This Row],[N° FACTURA]],Tabla3[N° FACTURA],Tabla3[VLR. TRANSPORTE],"NA")</f>
        <v>10000</v>
      </c>
      <c r="G17" s="15">
        <f>Tabla8[[#This Row],[VLR. TRANSPORTE]]/Tabla8[[#This Row],[Numero de Transportes]]</f>
        <v>10000</v>
      </c>
      <c r="H17" s="15">
        <f>_xlfn.XLOOKUP(Tabla8[[#This Row],[N° FACTURA]],Tabla3[N° FACTURA],Tabla3[VLR. TOTAL FACT.],"NA")</f>
        <v>134800</v>
      </c>
      <c r="I17" s="15">
        <f>Tabla8[[#This Row],[VLR. TOTAL FACT.]]-Tabla8[[#This Row],[VLR. TRANSPORTE]]</f>
        <v>124800</v>
      </c>
      <c r="J17" s="140">
        <f>Tabla8[[#This Row],[VLR. PRODUCTOS]]*0.2</f>
        <v>24960</v>
      </c>
      <c r="K17" s="15">
        <f>'ABC COSTEO'!B$11</f>
        <v>40740.427791666669</v>
      </c>
      <c r="L17" s="15">
        <f>Tabla8[[#This Row],[DISTANCIA (km)]]*2*'ABC COSTEO'!B$21</f>
        <v>2274.6093937990067</v>
      </c>
      <c r="M17" s="15">
        <f>Tabla8[[#This Row],[Costo Variable]]+Tabla8[[#This Row],[Costo fijo]]</f>
        <v>43015.037185465677</v>
      </c>
      <c r="N17" s="15">
        <f>Tabla8[[#This Row],[Costo Total]]*Tabla8[[#This Row],[Numero de Transportes]]</f>
        <v>43015.037185465677</v>
      </c>
      <c r="O17" s="15">
        <f>(Tabla8[[#This Row],[VLR. Transporte unitario]]-Tabla8[[#This Row],[Costo Total]])*Tabla8[[#This Row],[Numero de Transportes]]</f>
        <v>-33015.037185465677</v>
      </c>
      <c r="P17" s="15">
        <f>Tabla8[[#This Row],[Margen de productos]]+Tabla8[[#This Row],[Ganancia/Perdida]]</f>
        <v>-8055.0371854656769</v>
      </c>
      <c r="Q17" s="144">
        <f>(Tabla8[[#This Row],[Margen ]]/Tabla8[[#This Row],[Margen de productos]])-1</f>
        <v>-1.3227178359561569</v>
      </c>
    </row>
    <row r="18" spans="1:17" ht="15" thickBot="1" x14ac:dyDescent="0.35">
      <c r="A18" s="3">
        <v>58466</v>
      </c>
      <c r="B18" s="3" t="str">
        <f>_xlfn.XLOOKUP(Tabla8[[#This Row],[N° FACTURA]],Tabla3[N° FACTURA],Tabla3[Corregimiento],"NA")</f>
        <v>Borrero Ayerbe</v>
      </c>
      <c r="C18" s="3" t="str">
        <f>_xlfn.XLOOKUP(Tabla8[[#This Row],[N° FACTURA]],Tabla3[N° FACTURA],Tabla3[LUGAR ENVÍO],"NA")</f>
        <v>Monteredondo</v>
      </c>
      <c r="D18" s="167">
        <f>_xlfn.XLOOKUP(Tabla8[[#This Row],[N° FACTURA]],Tabla3[N° FACTURA],Tabla3[DISTANCIA (km)],"NA")</f>
        <v>0.42800000000000005</v>
      </c>
      <c r="E18" s="3">
        <f>_xlfn.XLOOKUP(Tabla8[[#This Row],[N° FACTURA]],Tabla3[N° FACTURA],Tabla3[Numero de Transportes],"NA")</f>
        <v>1</v>
      </c>
      <c r="F18" s="15">
        <f>_xlfn.XLOOKUP(Tabla8[[#This Row],[N° FACTURA]],Tabla3[N° FACTURA],Tabla3[VLR. TRANSPORTE],"NA")</f>
        <v>15000</v>
      </c>
      <c r="G18" s="15">
        <f>Tabla8[[#This Row],[VLR. TRANSPORTE]]/Tabla8[[#This Row],[Numero de Transportes]]</f>
        <v>15000</v>
      </c>
      <c r="H18" s="15">
        <f>_xlfn.XLOOKUP(Tabla8[[#This Row],[N° FACTURA]],Tabla3[N° FACTURA],Tabla3[VLR. TOTAL FACT.],"NA")</f>
        <v>246000</v>
      </c>
      <c r="I18" s="15">
        <f>Tabla8[[#This Row],[VLR. TOTAL FACT.]]-Tabla8[[#This Row],[VLR. TRANSPORTE]]</f>
        <v>231000</v>
      </c>
      <c r="J18" s="140">
        <f>Tabla8[[#This Row],[VLR. PRODUCTOS]]*0.2</f>
        <v>46200</v>
      </c>
      <c r="K18" s="15">
        <f>'ABC COSTEO'!B$11</f>
        <v>40740.427791666669</v>
      </c>
      <c r="L18" s="15">
        <f>Tabla8[[#This Row],[DISTANCIA (km)]]*2*'ABC COSTEO'!B$21</f>
        <v>1164.5129432368124</v>
      </c>
      <c r="M18" s="15">
        <f>Tabla8[[#This Row],[Costo Variable]]+Tabla8[[#This Row],[Costo fijo]]</f>
        <v>41904.940734903481</v>
      </c>
      <c r="N18" s="15">
        <f>Tabla8[[#This Row],[Costo Total]]*Tabla8[[#This Row],[Numero de Transportes]]</f>
        <v>41904.940734903481</v>
      </c>
      <c r="O18" s="15">
        <f>(Tabla8[[#This Row],[VLR. Transporte unitario]]-Tabla8[[#This Row],[Costo Total]])*Tabla8[[#This Row],[Numero de Transportes]]</f>
        <v>-26904.940734903481</v>
      </c>
      <c r="P18" s="15">
        <f>Tabla8[[#This Row],[Margen de productos]]+Tabla8[[#This Row],[Ganancia/Perdida]]</f>
        <v>19295.059265096519</v>
      </c>
      <c r="Q18" s="144">
        <f>(Tabla8[[#This Row],[Margen ]]/Tabla8[[#This Row],[Margen de productos]])-1</f>
        <v>-0.5823580245650104</v>
      </c>
    </row>
    <row r="19" spans="1:17" ht="15" thickBot="1" x14ac:dyDescent="0.35">
      <c r="A19" s="147">
        <v>50115</v>
      </c>
      <c r="B19" s="3" t="str">
        <f>_xlfn.XLOOKUP(Tabla8[[#This Row],[N° FACTURA]],Tabla3[N° FACTURA],Tabla3[Corregimiento],"NA")</f>
        <v>El Limonar</v>
      </c>
      <c r="C19" s="3" t="str">
        <f>_xlfn.XLOOKUP(Tabla8[[#This Row],[N° FACTURA]],Tabla3[N° FACTURA],Tabla3[LUGAR ENVÍO],"NA")</f>
        <v>palo alto</v>
      </c>
      <c r="D19" s="167">
        <f>_xlfn.XLOOKUP(Tabla8[[#This Row],[N° FACTURA]],Tabla3[N° FACTURA],Tabla3[DISTANCIA (km)],"NA")</f>
        <v>4.4759999999999982</v>
      </c>
      <c r="E19" s="3">
        <f>_xlfn.XLOOKUP(Tabla8[[#This Row],[N° FACTURA]],Tabla3[N° FACTURA],Tabla3[Numero de Transportes],"NA")</f>
        <v>1</v>
      </c>
      <c r="F19" s="15">
        <f>_xlfn.XLOOKUP(Tabla8[[#This Row],[N° FACTURA]],Tabla3[N° FACTURA],Tabla3[VLR. TRANSPORTE],"NA")</f>
        <v>70000</v>
      </c>
      <c r="G19" s="15">
        <f>Tabla8[[#This Row],[VLR. TRANSPORTE]]/Tabla8[[#This Row],[Numero de Transportes]]</f>
        <v>70000</v>
      </c>
      <c r="H19" s="15">
        <f>_xlfn.XLOOKUP(Tabla8[[#This Row],[N° FACTURA]],Tabla3[N° FACTURA],Tabla3[VLR. TOTAL FACT.],"NA")</f>
        <v>557500</v>
      </c>
      <c r="I19" s="15">
        <f>Tabla8[[#This Row],[VLR. TOTAL FACT.]]-Tabla8[[#This Row],[VLR. TRANSPORTE]]</f>
        <v>487500</v>
      </c>
      <c r="J19" s="140">
        <f>Tabla8[[#This Row],[VLR. PRODUCTOS]]*0.2</f>
        <v>97500</v>
      </c>
      <c r="K19" s="15">
        <f>'ABC COSTEO'!B$11</f>
        <v>40740.427791666669</v>
      </c>
      <c r="L19" s="15">
        <f>Tabla8[[#This Row],[DISTANCIA (km)]]*2*'ABC COSTEO'!B$21</f>
        <v>12178.411060579368</v>
      </c>
      <c r="M19" s="15">
        <f>Tabla8[[#This Row],[Costo Variable]]+Tabla8[[#This Row],[Costo fijo]]</f>
        <v>52918.838852246037</v>
      </c>
      <c r="N19" s="15">
        <f>Tabla8[[#This Row],[Costo Total]]*Tabla8[[#This Row],[Numero de Transportes]]</f>
        <v>52918.838852246037</v>
      </c>
      <c r="O19" s="15">
        <f>(Tabla8[[#This Row],[VLR. Transporte unitario]]-Tabla8[[#This Row],[Costo Total]])*Tabla8[[#This Row],[Numero de Transportes]]</f>
        <v>17081.161147753963</v>
      </c>
      <c r="P19" s="15">
        <f>Tabla8[[#This Row],[Margen de productos]]+Tabla8[[#This Row],[Ganancia/Perdida]]</f>
        <v>114581.16114775397</v>
      </c>
      <c r="Q19" s="144">
        <f>(Tabla8[[#This Row],[Margen ]]/Tabla8[[#This Row],[Margen de productos]])-1</f>
        <v>0.17519139638722026</v>
      </c>
    </row>
    <row r="20" spans="1:17" ht="15" thickBot="1" x14ac:dyDescent="0.35">
      <c r="A20" s="146">
        <v>57498</v>
      </c>
      <c r="B20" s="3" t="str">
        <f>_xlfn.XLOOKUP(Tabla8[[#This Row],[N° FACTURA]],Tabla3[N° FACTURA],Tabla3[Corregimiento],"NA")</f>
        <v>Borrero Ayerbe</v>
      </c>
      <c r="C20" s="3" t="str">
        <f>_xlfn.XLOOKUP(Tabla8[[#This Row],[N° FACTURA]],Tabla3[N° FACTURA],Tabla3[LUGAR ENVÍO],"NA")</f>
        <v>San miguel</v>
      </c>
      <c r="D20" s="167">
        <f>_xlfn.XLOOKUP(Tabla8[[#This Row],[N° FACTURA]],Tabla3[N° FACTURA],Tabla3[DISTANCIA (km)],"NA")</f>
        <v>2.2689999999999992</v>
      </c>
      <c r="E20" s="3">
        <f>_xlfn.XLOOKUP(Tabla8[[#This Row],[N° FACTURA]],Tabla3[N° FACTURA],Tabla3[Numero de Transportes],"NA")</f>
        <v>1</v>
      </c>
      <c r="F20" s="15">
        <f>_xlfn.XLOOKUP(Tabla8[[#This Row],[N° FACTURA]],Tabla3[N° FACTURA],Tabla3[VLR. TRANSPORTE],"NA")</f>
        <v>70000</v>
      </c>
      <c r="G20" s="15">
        <f>Tabla8[[#This Row],[VLR. TRANSPORTE]]/Tabla8[[#This Row],[Numero de Transportes]]</f>
        <v>70000</v>
      </c>
      <c r="H20" s="15">
        <f>_xlfn.XLOOKUP(Tabla8[[#This Row],[N° FACTURA]],Tabla3[N° FACTURA],Tabla3[VLR. TOTAL FACT.],"NA")</f>
        <v>558600</v>
      </c>
      <c r="I20" s="15">
        <f>Tabla8[[#This Row],[VLR. TOTAL FACT.]]-Tabla8[[#This Row],[VLR. TRANSPORTE]]</f>
        <v>488600</v>
      </c>
      <c r="J20" s="140">
        <f>Tabla8[[#This Row],[VLR. PRODUCTOS]]*0.2</f>
        <v>97720</v>
      </c>
      <c r="K20" s="15">
        <f>'ABC COSTEO'!B$11</f>
        <v>40740.427791666669</v>
      </c>
      <c r="L20" s="15">
        <f>Tabla8[[#This Row],[DISTANCIA (km)]]*2*'ABC COSTEO'!B$21</f>
        <v>6173.5510939353408</v>
      </c>
      <c r="M20" s="15">
        <f>Tabla8[[#This Row],[Costo Variable]]+Tabla8[[#This Row],[Costo fijo]]</f>
        <v>46913.97888560201</v>
      </c>
      <c r="N20" s="15">
        <f>Tabla8[[#This Row],[Costo Total]]*Tabla8[[#This Row],[Numero de Transportes]]</f>
        <v>46913.97888560201</v>
      </c>
      <c r="O20" s="15">
        <f>(Tabla8[[#This Row],[VLR. Transporte unitario]]-Tabla8[[#This Row],[Costo Total]])*Tabla8[[#This Row],[Numero de Transportes]]</f>
        <v>23086.02111439799</v>
      </c>
      <c r="P20" s="15">
        <f>Tabla8[[#This Row],[Margen de productos]]+Tabla8[[#This Row],[Ganancia/Perdida]]</f>
        <v>120806.021114398</v>
      </c>
      <c r="Q20" s="144">
        <f>(Tabla8[[#This Row],[Margen ]]/Tabla8[[#This Row],[Margen de productos]])-1</f>
        <v>0.23624663440849369</v>
      </c>
    </row>
    <row r="21" spans="1:17" ht="27.6" thickBot="1" x14ac:dyDescent="0.35">
      <c r="A21" s="3">
        <v>58352</v>
      </c>
      <c r="B21" s="3" t="str">
        <f>_xlfn.XLOOKUP(Tabla8[[#This Row],[N° FACTURA]],Tabla3[N° FACTURA],Tabla3[Corregimiento],"NA")</f>
        <v>El Palmar</v>
      </c>
      <c r="C21" s="3" t="str">
        <f>_xlfn.XLOOKUP(Tabla8[[#This Row],[N° FACTURA]],Tabla3[N° FACTURA],Tabla3[LUGAR ENVÍO],"NA")</f>
        <v xml:space="preserve">Parcelaón las palmas </v>
      </c>
      <c r="D21" s="167">
        <f>_xlfn.XLOOKUP(Tabla8[[#This Row],[N° FACTURA]],Tabla3[N° FACTURA],Tabla3[DISTANCIA (km)],"NA")</f>
        <v>2.6410000000000009</v>
      </c>
      <c r="E21" s="3">
        <f>_xlfn.XLOOKUP(Tabla8[[#This Row],[N° FACTURA]],Tabla3[N° FACTURA],Tabla3[Numero de Transportes],"NA")</f>
        <v>1</v>
      </c>
      <c r="F21" s="15">
        <f>_xlfn.XLOOKUP(Tabla8[[#This Row],[N° FACTURA]],Tabla3[N° FACTURA],Tabla3[VLR. TRANSPORTE],"NA")</f>
        <v>40000</v>
      </c>
      <c r="G21" s="15">
        <f>Tabla8[[#This Row],[VLR. TRANSPORTE]]/Tabla8[[#This Row],[Numero de Transportes]]</f>
        <v>40000</v>
      </c>
      <c r="H21" s="15">
        <f>_xlfn.XLOOKUP(Tabla8[[#This Row],[N° FACTURA]],Tabla3[N° FACTURA],Tabla3[VLR. TOTAL FACT.],"NA")</f>
        <v>533000</v>
      </c>
      <c r="I21" s="15">
        <f>Tabla8[[#This Row],[VLR. TOTAL FACT.]]-Tabla8[[#This Row],[VLR. TRANSPORTE]]</f>
        <v>493000</v>
      </c>
      <c r="J21" s="140">
        <f>Tabla8[[#This Row],[VLR. PRODUCTOS]]*0.2</f>
        <v>98600</v>
      </c>
      <c r="K21" s="15">
        <f>'ABC COSTEO'!B$11</f>
        <v>40740.427791666669</v>
      </c>
      <c r="L21" s="15">
        <f>Tabla8[[#This Row],[DISTANCIA (km)]]*2*'ABC COSTEO'!B$21</f>
        <v>7185.6978576832289</v>
      </c>
      <c r="M21" s="15">
        <f>Tabla8[[#This Row],[Costo Variable]]+Tabla8[[#This Row],[Costo fijo]]</f>
        <v>47926.125649349895</v>
      </c>
      <c r="N21" s="15">
        <f>Tabla8[[#This Row],[Costo Total]]*Tabla8[[#This Row],[Numero de Transportes]]</f>
        <v>47926.125649349895</v>
      </c>
      <c r="O21" s="15">
        <f>(Tabla8[[#This Row],[VLR. Transporte unitario]]-Tabla8[[#This Row],[Costo Total]])*Tabla8[[#This Row],[Numero de Transportes]]</f>
        <v>-7926.125649349895</v>
      </c>
      <c r="P21" s="15">
        <f>Tabla8[[#This Row],[Margen de productos]]+Tabla8[[#This Row],[Ganancia/Perdida]]</f>
        <v>90673.874350650105</v>
      </c>
      <c r="Q21" s="144">
        <f>(Tabla8[[#This Row],[Margen ]]/Tabla8[[#This Row],[Margen de productos]])-1</f>
        <v>-8.0386669871702843E-2</v>
      </c>
    </row>
    <row r="22" spans="1:17" ht="27.6" thickBot="1" x14ac:dyDescent="0.35">
      <c r="A22" s="146">
        <v>58712</v>
      </c>
      <c r="B22" s="3" t="str">
        <f>_xlfn.XLOOKUP(Tabla8[[#This Row],[N° FACTURA]],Tabla3[N° FACTURA],Tabla3[Corregimiento],"NA")</f>
        <v>El Carmen</v>
      </c>
      <c r="C22" s="3" t="str">
        <f>_xlfn.XLOOKUP(Tabla8[[#This Row],[N° FACTURA]],Tabla3[N° FACTURA],Tabla3[LUGAR ENVÍO],"NA")</f>
        <v>Altos de las Tortolas</v>
      </c>
      <c r="D22" s="167">
        <f>_xlfn.XLOOKUP(Tabla8[[#This Row],[N° FACTURA]],Tabla3[N° FACTURA],Tabla3[DISTANCIA (km)],"NA")</f>
        <v>6.7240000000000002</v>
      </c>
      <c r="E22" s="3">
        <f>_xlfn.XLOOKUP(Tabla8[[#This Row],[N° FACTURA]],Tabla3[N° FACTURA],Tabla3[Numero de Transportes],"NA")</f>
        <v>1</v>
      </c>
      <c r="F22" s="15">
        <f>_xlfn.XLOOKUP(Tabla8[[#This Row],[N° FACTURA]],Tabla3[N° FACTURA],Tabla3[VLR. TRANSPORTE],"NA")</f>
        <v>60000</v>
      </c>
      <c r="G22" s="15">
        <f>Tabla8[[#This Row],[VLR. TRANSPORTE]]/Tabla8[[#This Row],[Numero de Transportes]]</f>
        <v>60000</v>
      </c>
      <c r="H22" s="15">
        <f>_xlfn.XLOOKUP(Tabla8[[#This Row],[N° FACTURA]],Tabla3[N° FACTURA],Tabla3[VLR. TOTAL FACT.],"NA")</f>
        <v>294900</v>
      </c>
      <c r="I22" s="15">
        <f>Tabla8[[#This Row],[VLR. TOTAL FACT.]]-Tabla8[[#This Row],[VLR. TRANSPORTE]]</f>
        <v>234900</v>
      </c>
      <c r="J22" s="140">
        <f>Tabla8[[#This Row],[VLR. PRODUCTOS]]*0.2</f>
        <v>46980</v>
      </c>
      <c r="K22" s="15">
        <f>'ABC COSTEO'!B$11</f>
        <v>40740.427791666669</v>
      </c>
      <c r="L22" s="15">
        <f>Tabla8[[#This Row],[DISTANCIA (km)]]*2*'ABC COSTEO'!B$21</f>
        <v>18294.824837206368</v>
      </c>
      <c r="M22" s="15">
        <f>Tabla8[[#This Row],[Costo Variable]]+Tabla8[[#This Row],[Costo fijo]]</f>
        <v>59035.252628873037</v>
      </c>
      <c r="N22" s="15">
        <f>Tabla8[[#This Row],[Costo Total]]*Tabla8[[#This Row],[Numero de Transportes]]</f>
        <v>59035.252628873037</v>
      </c>
      <c r="O22" s="15">
        <f>(Tabla8[[#This Row],[VLR. Transporte unitario]]-Tabla8[[#This Row],[Costo Total]])*Tabla8[[#This Row],[Numero de Transportes]]</f>
        <v>964.74737112696312</v>
      </c>
      <c r="P22" s="15">
        <f>Tabla8[[#This Row],[Margen de productos]]+Tabla8[[#This Row],[Ganancia/Perdida]]</f>
        <v>47944.747371126963</v>
      </c>
      <c r="Q22" s="144">
        <f>(Tabla8[[#This Row],[Margen ]]/Tabla8[[#This Row],[Margen de productos]])-1</f>
        <v>2.0535278227479026E-2</v>
      </c>
    </row>
    <row r="23" spans="1:17" ht="15" thickBot="1" x14ac:dyDescent="0.35">
      <c r="A23" s="3">
        <v>30623</v>
      </c>
      <c r="B23" s="3" t="str">
        <f>_xlfn.XLOOKUP(Tabla8[[#This Row],[N° FACTURA]],Tabla3[N° FACTURA],Tabla3[Corregimiento],"NA")</f>
        <v>El Palmar</v>
      </c>
      <c r="C23" s="3" t="str">
        <f>_xlfn.XLOOKUP(Tabla8[[#This Row],[N° FACTURA]],Tabla3[N° FACTURA],Tabla3[LUGAR ENVÍO],"NA")</f>
        <v>El palmar</v>
      </c>
      <c r="D23" s="167">
        <f>_xlfn.XLOOKUP(Tabla8[[#This Row],[N° FACTURA]],Tabla3[N° FACTURA],Tabla3[DISTANCIA (km)],"NA")</f>
        <v>4.9299999999999988</v>
      </c>
      <c r="E23" s="3">
        <f>_xlfn.XLOOKUP(Tabla8[[#This Row],[N° FACTURA]],Tabla3[N° FACTURA],Tabla3[Numero de Transportes],"NA")</f>
        <v>1</v>
      </c>
      <c r="F23" s="15">
        <f>_xlfn.XLOOKUP(Tabla8[[#This Row],[N° FACTURA]],Tabla3[N° FACTURA],Tabla3[VLR. TRANSPORTE],"NA")</f>
        <v>25000</v>
      </c>
      <c r="G23" s="15">
        <f>Tabla8[[#This Row],[VLR. TRANSPORTE]]/Tabla8[[#This Row],[Numero de Transportes]]</f>
        <v>25000</v>
      </c>
      <c r="H23" s="15">
        <f>_xlfn.XLOOKUP(Tabla8[[#This Row],[N° FACTURA]],Tabla3[N° FACTURA],Tabla3[VLR. TOTAL FACT.],"NA")</f>
        <v>152200</v>
      </c>
      <c r="I23" s="15">
        <f>Tabla8[[#This Row],[VLR. TOTAL FACT.]]-Tabla8[[#This Row],[VLR. TRANSPORTE]]</f>
        <v>127200</v>
      </c>
      <c r="J23" s="140">
        <f>Tabla8[[#This Row],[VLR. PRODUCTOS]]*0.2</f>
        <v>25440</v>
      </c>
      <c r="K23" s="15">
        <f>'ABC COSTEO'!B$11</f>
        <v>40740.427791666669</v>
      </c>
      <c r="L23" s="15">
        <f>Tabla8[[#This Row],[DISTANCIA (km)]]*2*'ABC COSTEO'!B$21</f>
        <v>13413.665444293185</v>
      </c>
      <c r="M23" s="15">
        <f>Tabla8[[#This Row],[Costo Variable]]+Tabla8[[#This Row],[Costo fijo]]</f>
        <v>54154.093235959852</v>
      </c>
      <c r="N23" s="15">
        <f>Tabla8[[#This Row],[Costo Total]]*Tabla8[[#This Row],[Numero de Transportes]]</f>
        <v>54154.093235959852</v>
      </c>
      <c r="O23" s="15">
        <f>(Tabla8[[#This Row],[VLR. Transporte unitario]]-Tabla8[[#This Row],[Costo Total]])*Tabla8[[#This Row],[Numero de Transportes]]</f>
        <v>-29154.093235959852</v>
      </c>
      <c r="P23" s="15">
        <f>Tabla8[[#This Row],[Margen de productos]]+Tabla8[[#This Row],[Ganancia/Perdida]]</f>
        <v>-3714.0932359598519</v>
      </c>
      <c r="Q23" s="144">
        <f>(Tabla8[[#This Row],[Margen ]]/Tabla8[[#This Row],[Margen de productos]])-1</f>
        <v>-1.1459942309732647</v>
      </c>
    </row>
    <row r="24" spans="1:17" ht="15" thickBot="1" x14ac:dyDescent="0.35">
      <c r="A24" s="3">
        <v>30358</v>
      </c>
      <c r="B24" s="3" t="str">
        <f>_xlfn.XLOOKUP(Tabla8[[#This Row],[N° FACTURA]],Tabla3[N° FACTURA],Tabla3[Corregimiento],"NA")</f>
        <v>El Limonar</v>
      </c>
      <c r="C24" s="3" t="str">
        <f>_xlfn.XLOOKUP(Tabla8[[#This Row],[N° FACTURA]],Tabla3[N° FACTURA],Tabla3[LUGAR ENVÍO],"NA")</f>
        <v>KM 37</v>
      </c>
      <c r="D24" s="167">
        <f>_xlfn.XLOOKUP(Tabla8[[#This Row],[N° FACTURA]],Tabla3[N° FACTURA],Tabla3[DISTANCIA (km)],"NA")</f>
        <v>6.6069689999999994</v>
      </c>
      <c r="E24" s="3">
        <f>_xlfn.XLOOKUP(Tabla8[[#This Row],[N° FACTURA]],Tabla3[N° FACTURA],Tabla3[Numero de Transportes],"NA")</f>
        <v>2</v>
      </c>
      <c r="F24" s="15">
        <f>_xlfn.XLOOKUP(Tabla8[[#This Row],[N° FACTURA]],Tabla3[N° FACTURA],Tabla3[VLR. TRANSPORTE],"NA")</f>
        <v>140000</v>
      </c>
      <c r="G24" s="15">
        <f>Tabla8[[#This Row],[VLR. TRANSPORTE]]/Tabla8[[#This Row],[Numero de Transportes]]</f>
        <v>70000</v>
      </c>
      <c r="H24" s="15">
        <f>_xlfn.XLOOKUP(Tabla8[[#This Row],[N° FACTURA]],Tabla3[N° FACTURA],Tabla3[VLR. TOTAL FACT.],"NA")</f>
        <v>1784000</v>
      </c>
      <c r="I24" s="15">
        <f>Tabla8[[#This Row],[VLR. TOTAL FACT.]]-Tabla8[[#This Row],[VLR. TRANSPORTE]]</f>
        <v>1644000</v>
      </c>
      <c r="J24" s="140">
        <f>Tabla8[[#This Row],[VLR. PRODUCTOS]]*0.2</f>
        <v>328800</v>
      </c>
      <c r="K24" s="15">
        <f>'ABC COSTEO'!B$11</f>
        <v>40740.427791666669</v>
      </c>
      <c r="L24" s="15">
        <f>Tabla8[[#This Row],[DISTANCIA (km)]]*2*'ABC COSTEO'!B$21</f>
        <v>17976.404009496207</v>
      </c>
      <c r="M24" s="15">
        <f>Tabla8[[#This Row],[Costo Variable]]+Tabla8[[#This Row],[Costo fijo]]</f>
        <v>58716.831801162873</v>
      </c>
      <c r="N24" s="15">
        <f>Tabla8[[#This Row],[Costo Total]]*Tabla8[[#This Row],[Numero de Transportes]]</f>
        <v>117433.66360232575</v>
      </c>
      <c r="O24" s="15">
        <f>(Tabla8[[#This Row],[VLR. Transporte unitario]]-Tabla8[[#This Row],[Costo Total]])*Tabla8[[#This Row],[Numero de Transportes]]</f>
        <v>22566.336397674255</v>
      </c>
      <c r="P24" s="15">
        <f>Tabla8[[#This Row],[Margen de productos]]+Tabla8[[#This Row],[Ganancia/Perdida]]</f>
        <v>351366.33639767428</v>
      </c>
      <c r="Q24" s="144">
        <f>(Tabla8[[#This Row],[Margen ]]/Tabla8[[#This Row],[Margen de productos]])-1</f>
        <v>6.8632409968595764E-2</v>
      </c>
    </row>
    <row r="25" spans="1:17" ht="15" thickBot="1" x14ac:dyDescent="0.35">
      <c r="A25" s="3">
        <v>59175</v>
      </c>
      <c r="B25" s="3" t="str">
        <f>_xlfn.XLOOKUP(Tabla8[[#This Row],[N° FACTURA]],Tabla3[N° FACTURA],Tabla3[Corregimiento],"NA")</f>
        <v>El Carmen</v>
      </c>
      <c r="C25" s="3" t="str">
        <f>_xlfn.XLOOKUP(Tabla8[[#This Row],[N° FACTURA]],Tabla3[N° FACTURA],Tabla3[LUGAR ENVÍO],"NA")</f>
        <v>Los bomberos</v>
      </c>
      <c r="D25" s="167">
        <f>_xlfn.XLOOKUP(Tabla8[[#This Row],[N° FACTURA]],Tabla3[N° FACTURA],Tabla3[DISTANCIA (km)],"NA")</f>
        <v>2.0919999999999992</v>
      </c>
      <c r="E25" s="3">
        <f>_xlfn.XLOOKUP(Tabla8[[#This Row],[N° FACTURA]],Tabla3[N° FACTURA],Tabla3[Numero de Transportes],"NA")</f>
        <v>1</v>
      </c>
      <c r="F25" s="15">
        <f>_xlfn.XLOOKUP(Tabla8[[#This Row],[N° FACTURA]],Tabla3[N° FACTURA],Tabla3[VLR. TRANSPORTE],"NA")</f>
        <v>40000</v>
      </c>
      <c r="G25" s="15">
        <f>Tabla8[[#This Row],[VLR. TRANSPORTE]]/Tabla8[[#This Row],[Numero de Transportes]]</f>
        <v>40000</v>
      </c>
      <c r="H25" s="15">
        <f>_xlfn.XLOOKUP(Tabla8[[#This Row],[N° FACTURA]],Tabla3[N° FACTURA],Tabla3[VLR. TOTAL FACT.],"NA")</f>
        <v>280000</v>
      </c>
      <c r="I25" s="15">
        <f>Tabla8[[#This Row],[VLR. TOTAL FACT.]]-Tabla8[[#This Row],[VLR. TRANSPORTE]]</f>
        <v>240000</v>
      </c>
      <c r="J25" s="140">
        <f>Tabla8[[#This Row],[VLR. PRODUCTOS]]*0.2</f>
        <v>48000</v>
      </c>
      <c r="K25" s="15">
        <f>'ABC COSTEO'!B$11</f>
        <v>40740.427791666669</v>
      </c>
      <c r="L25" s="15">
        <f>Tabla8[[#This Row],[DISTANCIA (km)]]*2*'ABC COSTEO'!B$21</f>
        <v>5691.9651337649775</v>
      </c>
      <c r="M25" s="15">
        <f>Tabla8[[#This Row],[Costo Variable]]+Tabla8[[#This Row],[Costo fijo]]</f>
        <v>46432.392925431646</v>
      </c>
      <c r="N25" s="15">
        <f>Tabla8[[#This Row],[Costo Total]]*Tabla8[[#This Row],[Numero de Transportes]]</f>
        <v>46432.392925431646</v>
      </c>
      <c r="O25" s="15">
        <f>(Tabla8[[#This Row],[VLR. Transporte unitario]]-Tabla8[[#This Row],[Costo Total]])*Tabla8[[#This Row],[Numero de Transportes]]</f>
        <v>-6432.3929254316463</v>
      </c>
      <c r="P25" s="15">
        <f>Tabla8[[#This Row],[Margen de productos]]+Tabla8[[#This Row],[Ganancia/Perdida]]</f>
        <v>41567.607074568354</v>
      </c>
      <c r="Q25" s="144">
        <f>(Tabla8[[#This Row],[Margen ]]/Tabla8[[#This Row],[Margen de productos]])-1</f>
        <v>-0.13400818594649266</v>
      </c>
    </row>
    <row r="26" spans="1:17" ht="15" thickBot="1" x14ac:dyDescent="0.35">
      <c r="A26" s="147">
        <v>40704</v>
      </c>
      <c r="B26" s="3" t="str">
        <f>_xlfn.XLOOKUP(Tabla8[[#This Row],[N° FACTURA]],Tabla3[N° FACTURA],Tabla3[Corregimiento],"NA")</f>
        <v>Borrero Ayerbe</v>
      </c>
      <c r="C26" s="3" t="str">
        <f>_xlfn.XLOOKUP(Tabla8[[#This Row],[N° FACTURA]],Tabla3[N° FACTURA],Tabla3[LUGAR ENVÍO],"NA")</f>
        <v>KM 28</v>
      </c>
      <c r="D26" s="167">
        <f>_xlfn.XLOOKUP(Tabla8[[#This Row],[N° FACTURA]],Tabla3[N° FACTURA],Tabla3[DISTANCIA (km)],"NA")</f>
        <v>3.9430140000000011</v>
      </c>
      <c r="E26" s="3">
        <f>_xlfn.XLOOKUP(Tabla8[[#This Row],[N° FACTURA]],Tabla3[N° FACTURA],Tabla3[Numero de Transportes],"NA")</f>
        <v>1</v>
      </c>
      <c r="F26" s="15">
        <f>_xlfn.XLOOKUP(Tabla8[[#This Row],[N° FACTURA]],Tabla3[N° FACTURA],Tabla3[VLR. TRANSPORTE],"NA")</f>
        <v>40000</v>
      </c>
      <c r="G26" s="15">
        <f>Tabla8[[#This Row],[VLR. TRANSPORTE]]/Tabla8[[#This Row],[Numero de Transportes]]</f>
        <v>40000</v>
      </c>
      <c r="H26" s="15">
        <f>_xlfn.XLOOKUP(Tabla8[[#This Row],[N° FACTURA]],Tabla3[N° FACTURA],Tabla3[VLR. TOTAL FACT.],"NA")</f>
        <v>440700</v>
      </c>
      <c r="I26" s="15">
        <f>Tabla8[[#This Row],[VLR. TOTAL FACT.]]-Tabla8[[#This Row],[VLR. TRANSPORTE]]</f>
        <v>400700</v>
      </c>
      <c r="J26" s="140">
        <f>Tabla8[[#This Row],[VLR. PRODUCTOS]]*0.2</f>
        <v>80140</v>
      </c>
      <c r="K26" s="15">
        <f>'ABC COSTEO'!B$11</f>
        <v>40740.427791666669</v>
      </c>
      <c r="L26" s="15">
        <f>Tabla8[[#This Row],[DISTANCIA (km)]]*2*'ABC COSTEO'!B$21</f>
        <v>10728.249622345695</v>
      </c>
      <c r="M26" s="15">
        <f>Tabla8[[#This Row],[Costo Variable]]+Tabla8[[#This Row],[Costo fijo]]</f>
        <v>51468.67741401236</v>
      </c>
      <c r="N26" s="15">
        <f>Tabla8[[#This Row],[Costo Total]]*Tabla8[[#This Row],[Numero de Transportes]]</f>
        <v>51468.67741401236</v>
      </c>
      <c r="O26" s="15">
        <f>(Tabla8[[#This Row],[VLR. Transporte unitario]]-Tabla8[[#This Row],[Costo Total]])*Tabla8[[#This Row],[Numero de Transportes]]</f>
        <v>-11468.67741401236</v>
      </c>
      <c r="P26" s="15">
        <f>Tabla8[[#This Row],[Margen de productos]]+Tabla8[[#This Row],[Ganancia/Perdida]]</f>
        <v>68671.32258598764</v>
      </c>
      <c r="Q26" s="144">
        <f>(Tabla8[[#This Row],[Margen ]]/Tabla8[[#This Row],[Margen de productos]])-1</f>
        <v>-0.14310802862506067</v>
      </c>
    </row>
    <row r="27" spans="1:17" ht="15" thickBot="1" x14ac:dyDescent="0.35">
      <c r="A27" s="3">
        <v>58024</v>
      </c>
      <c r="B27" s="3" t="str">
        <f>_xlfn.XLOOKUP(Tabla8[[#This Row],[N° FACTURA]],Tabla3[N° FACTURA],Tabla3[Corregimiento],"NA")</f>
        <v>El Carmen</v>
      </c>
      <c r="C27" s="3" t="str">
        <f>_xlfn.XLOOKUP(Tabla8[[#This Row],[N° FACTURA]],Tabla3[N° FACTURA],Tabla3[LUGAR ENVÍO],"NA")</f>
        <v>El Carmelo</v>
      </c>
      <c r="D27" s="167">
        <f>_xlfn.XLOOKUP(Tabla8[[#This Row],[N° FACTURA]],Tabla3[N° FACTURA],Tabla3[DISTANCIA (km)],"NA")</f>
        <v>6.1239999999999988</v>
      </c>
      <c r="E27" s="3">
        <f>_xlfn.XLOOKUP(Tabla8[[#This Row],[N° FACTURA]],Tabla3[N° FACTURA],Tabla3[Numero de Transportes],"NA")</f>
        <v>1</v>
      </c>
      <c r="F27" s="15">
        <f>_xlfn.XLOOKUP(Tabla8[[#This Row],[N° FACTURA]],Tabla3[N° FACTURA],Tabla3[VLR. TRANSPORTE],"NA")</f>
        <v>60000</v>
      </c>
      <c r="G27" s="15">
        <f>Tabla8[[#This Row],[VLR. TRANSPORTE]]/Tabla8[[#This Row],[Numero de Transportes]]</f>
        <v>60000</v>
      </c>
      <c r="H27" s="15">
        <f>_xlfn.XLOOKUP(Tabla8[[#This Row],[N° FACTURA]],Tabla3[N° FACTURA],Tabla3[VLR. TOTAL FACT.],"NA")</f>
        <v>301500</v>
      </c>
      <c r="I27" s="15">
        <f>Tabla8[[#This Row],[VLR. TOTAL FACT.]]-Tabla8[[#This Row],[VLR. TRANSPORTE]]</f>
        <v>241500</v>
      </c>
      <c r="J27" s="140">
        <f>Tabla8[[#This Row],[VLR. PRODUCTOS]]*0.2</f>
        <v>48300</v>
      </c>
      <c r="K27" s="15">
        <f>'ABC COSTEO'!B$11</f>
        <v>40740.427791666669</v>
      </c>
      <c r="L27" s="15">
        <f>Tabla8[[#This Row],[DISTANCIA (km)]]*2*'ABC COSTEO'!B$21</f>
        <v>16662.330056967843</v>
      </c>
      <c r="M27" s="15">
        <f>Tabla8[[#This Row],[Costo Variable]]+Tabla8[[#This Row],[Costo fijo]]</f>
        <v>57402.757848634516</v>
      </c>
      <c r="N27" s="15">
        <f>Tabla8[[#This Row],[Costo Total]]*Tabla8[[#This Row],[Numero de Transportes]]</f>
        <v>57402.757848634516</v>
      </c>
      <c r="O27" s="15">
        <f>(Tabla8[[#This Row],[VLR. Transporte unitario]]-Tabla8[[#This Row],[Costo Total]])*Tabla8[[#This Row],[Numero de Transportes]]</f>
        <v>2597.2421513654845</v>
      </c>
      <c r="P27" s="15">
        <f>Tabla8[[#This Row],[Margen de productos]]+Tabla8[[#This Row],[Ganancia/Perdida]]</f>
        <v>50897.242151365484</v>
      </c>
      <c r="Q27" s="144">
        <f>(Tabla8[[#This Row],[Margen ]]/Tabla8[[#This Row],[Margen de productos]])-1</f>
        <v>5.3773129427856725E-2</v>
      </c>
    </row>
    <row r="28" spans="1:17" ht="15" thickBot="1" x14ac:dyDescent="0.35">
      <c r="A28" s="3">
        <v>57636</v>
      </c>
      <c r="B28" s="3" t="str">
        <f>_xlfn.XLOOKUP(Tabla8[[#This Row],[N° FACTURA]],Tabla3[N° FACTURA],Tabla3[Corregimiento],"NA")</f>
        <v>Borrero Ayerbe</v>
      </c>
      <c r="C28" s="3" t="str">
        <f>_xlfn.XLOOKUP(Tabla8[[#This Row],[N° FACTURA]],Tabla3[N° FACTURA],Tabla3[LUGAR ENVÍO],"NA")</f>
        <v>Pa la chingada</v>
      </c>
      <c r="D28" s="167">
        <f>_xlfn.XLOOKUP(Tabla8[[#This Row],[N° FACTURA]],Tabla3[N° FACTURA],Tabla3[DISTANCIA (km)],"NA")</f>
        <v>1.3099999999999998</v>
      </c>
      <c r="E28" s="3">
        <f>_xlfn.XLOOKUP(Tabla8[[#This Row],[N° FACTURA]],Tabla3[N° FACTURA],Tabla3[Numero de Transportes],"NA")</f>
        <v>1</v>
      </c>
      <c r="F28" s="15">
        <f>_xlfn.XLOOKUP(Tabla8[[#This Row],[N° FACTURA]],Tabla3[N° FACTURA],Tabla3[VLR. TRANSPORTE],"NA")</f>
        <v>15000</v>
      </c>
      <c r="G28" s="15">
        <f>Tabla8[[#This Row],[VLR. TRANSPORTE]]/Tabla8[[#This Row],[Numero de Transportes]]</f>
        <v>15000</v>
      </c>
      <c r="H28" s="15">
        <f>_xlfn.XLOOKUP(Tabla8[[#This Row],[N° FACTURA]],Tabla3[N° FACTURA],Tabla3[VLR. TOTAL FACT.],"NA")</f>
        <v>526000</v>
      </c>
      <c r="I28" s="96">
        <f>Tabla8[[#This Row],[VLR. TOTAL FACT.]]-Tabla8[[#This Row],[VLR. TRANSPORTE]]</f>
        <v>511000</v>
      </c>
      <c r="J28" s="140">
        <f>Tabla8[[#This Row],[VLR. PRODUCTOS]]*0.2</f>
        <v>102200</v>
      </c>
      <c r="K28" s="15">
        <f>'ABC COSTEO'!B$11</f>
        <v>40740.427791666669</v>
      </c>
      <c r="L28" s="15">
        <f>Tabla8[[#This Row],[DISTANCIA (km)]]*2*'ABC COSTEO'!B$21</f>
        <v>3564.2802701874389</v>
      </c>
      <c r="M28" s="15">
        <f>Tabla8[[#This Row],[Costo Variable]]+Tabla8[[#This Row],[Costo fijo]]</f>
        <v>44304.708061854108</v>
      </c>
      <c r="N28" s="15">
        <f>Tabla8[[#This Row],[Costo Total]]*Tabla8[[#This Row],[Numero de Transportes]]</f>
        <v>44304.708061854108</v>
      </c>
      <c r="O28" s="15">
        <f>(Tabla8[[#This Row],[VLR. Transporte unitario]]-Tabla8[[#This Row],[Costo Total]])*Tabla8[[#This Row],[Numero de Transportes]]</f>
        <v>-29304.708061854108</v>
      </c>
      <c r="P28" s="15">
        <f>Tabla8[[#This Row],[Margen de productos]]+Tabla8[[#This Row],[Ganancia/Perdida]]</f>
        <v>72895.291938145892</v>
      </c>
      <c r="Q28" s="144">
        <f>(Tabla8[[#This Row],[Margen ]]/Tabla8[[#This Row],[Margen de productos]])-1</f>
        <v>-0.28673882643692861</v>
      </c>
    </row>
    <row r="29" spans="1:17" ht="27.6" thickBot="1" x14ac:dyDescent="0.35">
      <c r="A29" s="3">
        <v>48298</v>
      </c>
      <c r="B29" s="3" t="str">
        <f>_xlfn.XLOOKUP(Tabla8[[#This Row],[N° FACTURA]],Tabla3[N° FACTURA],Tabla3[Corregimiento],"NA")</f>
        <v>El Salado</v>
      </c>
      <c r="C29" s="3" t="str">
        <f>_xlfn.XLOOKUP(Tabla8[[#This Row],[N° FACTURA]],Tabla3[N° FACTURA],Tabla3[LUGAR ENVÍO],"NA")</f>
        <v>San Jose del Salado</v>
      </c>
      <c r="D29" s="167">
        <f>_xlfn.XLOOKUP(Tabla8[[#This Row],[N° FACTURA]],Tabla3[N° FACTURA],Tabla3[DISTANCIA (km)],"NA")</f>
        <v>13.07</v>
      </c>
      <c r="E29" s="3">
        <f>_xlfn.XLOOKUP(Tabla8[[#This Row],[N° FACTURA]],Tabla3[N° FACTURA],Tabla3[Numero de Transportes],"NA")</f>
        <v>1</v>
      </c>
      <c r="F29" s="15">
        <f>_xlfn.XLOOKUP(Tabla8[[#This Row],[N° FACTURA]],Tabla3[N° FACTURA],Tabla3[VLR. TRANSPORTE],"NA")</f>
        <v>70000</v>
      </c>
      <c r="G29" s="15">
        <f>Tabla8[[#This Row],[VLR. TRANSPORTE]]/Tabla8[[#This Row],[Numero de Transportes]]</f>
        <v>70000</v>
      </c>
      <c r="H29" s="15">
        <f>_xlfn.XLOOKUP(Tabla8[[#This Row],[N° FACTURA]],Tabla3[N° FACTURA],Tabla3[VLR. TOTAL FACT.],"NA")</f>
        <v>542500</v>
      </c>
      <c r="I29" s="15">
        <f>Tabla8[[#This Row],[VLR. TOTAL FACT.]]-Tabla8[[#This Row],[VLR. TRANSPORTE]]</f>
        <v>472500</v>
      </c>
      <c r="J29" s="140">
        <f>Tabla8[[#This Row],[VLR. PRODUCTOS]]*0.2</f>
        <v>94500</v>
      </c>
      <c r="K29" s="15">
        <f>'ABC COSTEO'!B$11</f>
        <v>40740.427791666669</v>
      </c>
      <c r="L29" s="15">
        <f>Tabla8[[#This Row],[DISTANCIA (km)]]*2*'ABC COSTEO'!B$21</f>
        <v>35561.177962862464</v>
      </c>
      <c r="M29" s="15">
        <f>Tabla8[[#This Row],[Costo Variable]]+Tabla8[[#This Row],[Costo fijo]]</f>
        <v>76301.605754529126</v>
      </c>
      <c r="N29" s="15">
        <f>Tabla8[[#This Row],[Costo Total]]*Tabla8[[#This Row],[Numero de Transportes]]</f>
        <v>76301.605754529126</v>
      </c>
      <c r="O29" s="15">
        <f>(Tabla8[[#This Row],[VLR. Transporte unitario]]-Tabla8[[#This Row],[Costo Total]])*Tabla8[[#This Row],[Numero de Transportes]]</f>
        <v>-6301.605754529126</v>
      </c>
      <c r="P29" s="15">
        <f>Tabla8[[#This Row],[Margen de productos]]+Tabla8[[#This Row],[Ganancia/Perdida]]</f>
        <v>88198.394245470874</v>
      </c>
      <c r="Q29" s="144">
        <f>(Tabla8[[#This Row],[Margen ]]/Tabla8[[#This Row],[Margen de productos]])-1</f>
        <v>-6.6683658778086019E-2</v>
      </c>
    </row>
    <row r="30" spans="1:17" ht="15" thickBot="1" x14ac:dyDescent="0.35">
      <c r="A30" s="3">
        <v>47704</v>
      </c>
      <c r="B30" s="3" t="str">
        <f>_xlfn.XLOOKUP(Tabla8[[#This Row],[N° FACTURA]],Tabla3[N° FACTURA],Tabla3[Corregimiento],"NA")</f>
        <v>San Bernardo</v>
      </c>
      <c r="C30" s="3" t="str">
        <f>_xlfn.XLOOKUP(Tabla8[[#This Row],[N° FACTURA]],Tabla3[N° FACTURA],Tabla3[LUGAR ENVÍO],"NA")</f>
        <v>El diviso</v>
      </c>
      <c r="D30" s="167">
        <f>_xlfn.XLOOKUP(Tabla8[[#This Row],[N° FACTURA]],Tabla3[N° FACTURA],Tabla3[DISTANCIA (km)],"NA")</f>
        <v>8.4710000000000001</v>
      </c>
      <c r="E30" s="3">
        <f>_xlfn.XLOOKUP(Tabla8[[#This Row],[N° FACTURA]],Tabla3[N° FACTURA],Tabla3[Numero de Transportes],"NA")</f>
        <v>1</v>
      </c>
      <c r="F30" s="15">
        <f>_xlfn.XLOOKUP(Tabla8[[#This Row],[N° FACTURA]],Tabla3[N° FACTURA],Tabla3[VLR. TRANSPORTE],"NA")</f>
        <v>35000</v>
      </c>
      <c r="G30" s="15">
        <f>Tabla8[[#This Row],[VLR. TRANSPORTE]]/Tabla8[[#This Row],[Numero de Transportes]]</f>
        <v>35000</v>
      </c>
      <c r="H30" s="15">
        <f>_xlfn.XLOOKUP(Tabla8[[#This Row],[N° FACTURA]],Tabla3[N° FACTURA],Tabla3[VLR. TOTAL FACT.],"NA")</f>
        <v>440900</v>
      </c>
      <c r="I30" s="96">
        <f>Tabla8[[#This Row],[VLR. TOTAL FACT.]]-Tabla8[[#This Row],[VLR. TRANSPORTE]]</f>
        <v>405900</v>
      </c>
      <c r="J30" s="140">
        <f>Tabla8[[#This Row],[VLR. PRODUCTOS]]*0.2</f>
        <v>81180</v>
      </c>
      <c r="K30" s="15">
        <f>'ABC COSTEO'!B$11</f>
        <v>40740.427791666669</v>
      </c>
      <c r="L30" s="15">
        <f>Tabla8[[#This Row],[DISTANCIA (km)]]*2*'ABC COSTEO'!B$21</f>
        <v>23048.105472334199</v>
      </c>
      <c r="M30" s="15">
        <f>Tabla8[[#This Row],[Costo Variable]]+Tabla8[[#This Row],[Costo fijo]]</f>
        <v>63788.533264000871</v>
      </c>
      <c r="N30" s="15">
        <f>Tabla8[[#This Row],[Costo Total]]*Tabla8[[#This Row],[Numero de Transportes]]</f>
        <v>63788.533264000871</v>
      </c>
      <c r="O30" s="15">
        <f>(Tabla8[[#This Row],[VLR. Transporte unitario]]-Tabla8[[#This Row],[Costo Total]])*Tabla8[[#This Row],[Numero de Transportes]]</f>
        <v>-28788.533264000871</v>
      </c>
      <c r="P30" s="15">
        <f>Tabla8[[#This Row],[Margen de productos]]+Tabla8[[#This Row],[Ganancia/Perdida]]</f>
        <v>52391.466735999129</v>
      </c>
      <c r="Q30" s="144">
        <f>(Tabla8[[#This Row],[Margen ]]/Tabla8[[#This Row],[Margen de productos]])-1</f>
        <v>-0.35462593328407088</v>
      </c>
    </row>
    <row r="31" spans="1:17" ht="15" thickBot="1" x14ac:dyDescent="0.35">
      <c r="A31" s="3">
        <v>58864</v>
      </c>
      <c r="B31" s="3" t="str">
        <f>_xlfn.XLOOKUP(Tabla8[[#This Row],[N° FACTURA]],Tabla3[N° FACTURA],Tabla3[Corregimiento],"NA")</f>
        <v>Borrero Ayerbe</v>
      </c>
      <c r="C31" s="3" t="str">
        <f>_xlfn.XLOOKUP(Tabla8[[#This Row],[N° FACTURA]],Tabla3[N° FACTURA],Tabla3[LUGAR ENVÍO],"NA")</f>
        <v>casa verde</v>
      </c>
      <c r="D31" s="167">
        <f>_xlfn.XLOOKUP(Tabla8[[#This Row],[N° FACTURA]],Tabla3[N° FACTURA],Tabla3[DISTANCIA (km)],"NA")</f>
        <v>4.6260000000000003</v>
      </c>
      <c r="E31" s="3">
        <f>_xlfn.XLOOKUP(Tabla8[[#This Row],[N° FACTURA]],Tabla3[N° FACTURA],Tabla3[Numero de Transportes],"NA")</f>
        <v>1</v>
      </c>
      <c r="F31" s="15">
        <f>_xlfn.XLOOKUP(Tabla8[[#This Row],[N° FACTURA]],Tabla3[N° FACTURA],Tabla3[VLR. TRANSPORTE],"NA")</f>
        <v>40000</v>
      </c>
      <c r="G31" s="15">
        <f>Tabla8[[#This Row],[VLR. TRANSPORTE]]/Tabla8[[#This Row],[Numero de Transportes]]</f>
        <v>40000</v>
      </c>
      <c r="H31" s="15">
        <f>_xlfn.XLOOKUP(Tabla8[[#This Row],[N° FACTURA]],Tabla3[N° FACTURA],Tabla3[VLR. TOTAL FACT.],"NA")</f>
        <v>1524000</v>
      </c>
      <c r="I31" s="15">
        <f>Tabla8[[#This Row],[VLR. TOTAL FACT.]]-Tabla8[[#This Row],[VLR. TRANSPORTE]]</f>
        <v>1484000</v>
      </c>
      <c r="J31" s="140">
        <f>Tabla8[[#This Row],[VLR. PRODUCTOS]]*0.2</f>
        <v>296800</v>
      </c>
      <c r="K31" s="15">
        <f>'ABC COSTEO'!B$11</f>
        <v>40740.427791666669</v>
      </c>
      <c r="L31" s="15">
        <f>Tabla8[[#This Row],[DISTANCIA (km)]]*2*'ABC COSTEO'!B$21</f>
        <v>12586.534755639004</v>
      </c>
      <c r="M31" s="15">
        <f>Tabla8[[#This Row],[Costo Variable]]+Tabla8[[#This Row],[Costo fijo]]</f>
        <v>53326.962547305673</v>
      </c>
      <c r="N31" s="15">
        <f>Tabla8[[#This Row],[Costo Total]]*Tabla8[[#This Row],[Numero de Transportes]]</f>
        <v>53326.962547305673</v>
      </c>
      <c r="O31" s="15">
        <f>(Tabla8[[#This Row],[VLR. Transporte unitario]]-Tabla8[[#This Row],[Costo Total]])*Tabla8[[#This Row],[Numero de Transportes]]</f>
        <v>-13326.962547305673</v>
      </c>
      <c r="P31" s="15">
        <f>Tabla8[[#This Row],[Margen de productos]]+Tabla8[[#This Row],[Ganancia/Perdida]]</f>
        <v>283473.03745269432</v>
      </c>
      <c r="Q31" s="144">
        <f>(Tabla8[[#This Row],[Margen ]]/Tabla8[[#This Row],[Margen de productos]])-1</f>
        <v>-4.4902164916798104E-2</v>
      </c>
    </row>
    <row r="32" spans="1:17" ht="15" thickBot="1" x14ac:dyDescent="0.35">
      <c r="A32" s="147">
        <v>55154</v>
      </c>
      <c r="B32" s="3" t="str">
        <f>_xlfn.XLOOKUP(Tabla8[[#This Row],[N° FACTURA]],Tabla3[N° FACTURA],Tabla3[Corregimiento],"NA")</f>
        <v>El Limonar</v>
      </c>
      <c r="C32" s="3" t="str">
        <f>_xlfn.XLOOKUP(Tabla8[[#This Row],[N° FACTURA]],Tabla3[N° FACTURA],Tabla3[LUGAR ENVÍO],"NA")</f>
        <v>El limonar</v>
      </c>
      <c r="D32" s="167">
        <f>_xlfn.XLOOKUP(Tabla8[[#This Row],[N° FACTURA]],Tabla3[N° FACTURA],Tabla3[DISTANCIA (km)],"NA")</f>
        <v>4.7129999999999992</v>
      </c>
      <c r="E32" s="3">
        <f>_xlfn.XLOOKUP(Tabla8[[#This Row],[N° FACTURA]],Tabla3[N° FACTURA],Tabla3[Numero de Transportes],"NA")</f>
        <v>1</v>
      </c>
      <c r="F32" s="15">
        <f>_xlfn.XLOOKUP(Tabla8[[#This Row],[N° FACTURA]],Tabla3[N° FACTURA],Tabla3[VLR. TRANSPORTE],"NA")</f>
        <v>40000</v>
      </c>
      <c r="G32" s="15">
        <f>Tabla8[[#This Row],[VLR. TRANSPORTE]]/Tabla8[[#This Row],[Numero de Transportes]]</f>
        <v>40000</v>
      </c>
      <c r="H32" s="15">
        <f>_xlfn.XLOOKUP(Tabla8[[#This Row],[N° FACTURA]],Tabla3[N° FACTURA],Tabla3[VLR. TOTAL FACT.],"NA")</f>
        <v>734600</v>
      </c>
      <c r="I32" s="15">
        <f>Tabla8[[#This Row],[VLR. TOTAL FACT.]]-Tabla8[[#This Row],[VLR. TRANSPORTE]]</f>
        <v>694600</v>
      </c>
      <c r="J32" s="140">
        <f>Tabla8[[#This Row],[VLR. PRODUCTOS]]*0.2</f>
        <v>138920</v>
      </c>
      <c r="K32" s="15">
        <f>'ABC COSTEO'!B$11</f>
        <v>40740.427791666669</v>
      </c>
      <c r="L32" s="15">
        <f>Tabla8[[#This Row],[DISTANCIA (km)]]*2*'ABC COSTEO'!B$21</f>
        <v>12823.246498773586</v>
      </c>
      <c r="M32" s="15">
        <f>Tabla8[[#This Row],[Costo Variable]]+Tabla8[[#This Row],[Costo fijo]]</f>
        <v>53563.674290440256</v>
      </c>
      <c r="N32" s="15">
        <f>Tabla8[[#This Row],[Costo Total]]*Tabla8[[#This Row],[Numero de Transportes]]</f>
        <v>53563.674290440256</v>
      </c>
      <c r="O32" s="15">
        <f>(Tabla8[[#This Row],[VLR. Transporte unitario]]-Tabla8[[#This Row],[Costo Total]])*Tabla8[[#This Row],[Numero de Transportes]]</f>
        <v>-13563.674290440256</v>
      </c>
      <c r="P32" s="15">
        <f>Tabla8[[#This Row],[Margen de productos]]+Tabla8[[#This Row],[Ganancia/Perdida]]</f>
        <v>125356.32570955975</v>
      </c>
      <c r="Q32" s="144">
        <f>(Tabla8[[#This Row],[Margen ]]/Tabla8[[#This Row],[Margen de productos]])-1</f>
        <v>-9.763658429628741E-2</v>
      </c>
    </row>
    <row r="33" spans="1:17" ht="15" thickBot="1" x14ac:dyDescent="0.35">
      <c r="A33" s="3">
        <v>58313</v>
      </c>
      <c r="B33" s="3" t="str">
        <f>_xlfn.XLOOKUP(Tabla8[[#This Row],[N° FACTURA]],Tabla3[N° FACTURA],Tabla3[Corregimiento],"NA")</f>
        <v>El Carmen</v>
      </c>
      <c r="C33" s="3" t="str">
        <f>_xlfn.XLOOKUP(Tabla8[[#This Row],[N° FACTURA]],Tabla3[N° FACTURA],Tabla3[LUGAR ENVÍO],"NA")</f>
        <v>Pirineos</v>
      </c>
      <c r="D33" s="167">
        <f>_xlfn.XLOOKUP(Tabla8[[#This Row],[N° FACTURA]],Tabla3[N° FACTURA],Tabla3[DISTANCIA (km)],"NA")</f>
        <v>2.6666500000000002</v>
      </c>
      <c r="E33" s="3">
        <f>_xlfn.XLOOKUP(Tabla8[[#This Row],[N° FACTURA]],Tabla3[N° FACTURA],Tabla3[Numero de Transportes],"NA")</f>
        <v>1</v>
      </c>
      <c r="F33" s="15">
        <f>_xlfn.XLOOKUP(Tabla8[[#This Row],[N° FACTURA]],Tabla3[N° FACTURA],Tabla3[VLR. TRANSPORTE],"NA")</f>
        <v>60000</v>
      </c>
      <c r="G33" s="15">
        <f>Tabla8[[#This Row],[VLR. TRANSPORTE]]/Tabla8[[#This Row],[Numero de Transportes]]</f>
        <v>60000</v>
      </c>
      <c r="H33" s="15">
        <f>_xlfn.XLOOKUP(Tabla8[[#This Row],[N° FACTURA]],Tabla3[N° FACTURA],Tabla3[VLR. TOTAL FACT.],"NA")</f>
        <v>1630800</v>
      </c>
      <c r="I33" s="15">
        <f>Tabla8[[#This Row],[VLR. TOTAL FACT.]]-Tabla8[[#This Row],[VLR. TRANSPORTE]]</f>
        <v>1570800</v>
      </c>
      <c r="J33" s="140">
        <f>Tabla8[[#This Row],[VLR. PRODUCTOS]]*0.2</f>
        <v>314160</v>
      </c>
      <c r="K33" s="15">
        <f>'ABC COSTEO'!B$11</f>
        <v>40740.427791666669</v>
      </c>
      <c r="L33" s="15">
        <f>Tabla8[[#This Row],[DISTANCIA (km)]]*2*'ABC COSTEO'!B$21</f>
        <v>7255.487009538424</v>
      </c>
      <c r="M33" s="15">
        <f>Tabla8[[#This Row],[Costo Variable]]+Tabla8[[#This Row],[Costo fijo]]</f>
        <v>47995.914801205094</v>
      </c>
      <c r="N33" s="15">
        <f>Tabla8[[#This Row],[Costo Total]]*Tabla8[[#This Row],[Numero de Transportes]]</f>
        <v>47995.914801205094</v>
      </c>
      <c r="O33" s="15">
        <f>(Tabla8[[#This Row],[VLR. Transporte unitario]]-Tabla8[[#This Row],[Costo Total]])*Tabla8[[#This Row],[Numero de Transportes]]</f>
        <v>12004.085198794906</v>
      </c>
      <c r="P33" s="15">
        <f>Tabla8[[#This Row],[Margen de productos]]+Tabla8[[#This Row],[Ganancia/Perdida]]</f>
        <v>326164.0851987949</v>
      </c>
      <c r="Q33" s="144">
        <f>(Tabla8[[#This Row],[Margen ]]/Tabla8[[#This Row],[Margen de productos]])-1</f>
        <v>3.8210100581852924E-2</v>
      </c>
    </row>
    <row r="34" spans="1:17" ht="15" thickBot="1" x14ac:dyDescent="0.35">
      <c r="A34" s="146">
        <v>38790</v>
      </c>
      <c r="B34" s="3" t="str">
        <f>_xlfn.XLOOKUP(Tabla8[[#This Row],[N° FACTURA]],Tabla3[N° FACTURA],Tabla3[Corregimiento],"NA")</f>
        <v>Borrero Ayerbe</v>
      </c>
      <c r="C34" s="3" t="str">
        <f>_xlfn.XLOOKUP(Tabla8[[#This Row],[N° FACTURA]],Tabla3[N° FACTURA],Tabla3[LUGAR ENVÍO],"NA")</f>
        <v>Monteredondo</v>
      </c>
      <c r="D34" s="167">
        <f>_xlfn.XLOOKUP(Tabla8[[#This Row],[N° FACTURA]],Tabla3[N° FACTURA],Tabla3[DISTANCIA (km)],"NA")</f>
        <v>0.42800000000000005</v>
      </c>
      <c r="E34" s="3">
        <f>_xlfn.XLOOKUP(Tabla8[[#This Row],[N° FACTURA]],Tabla3[N° FACTURA],Tabla3[Numero de Transportes],"NA")</f>
        <v>2</v>
      </c>
      <c r="F34" s="15">
        <f>_xlfn.XLOOKUP(Tabla8[[#This Row],[N° FACTURA]],Tabla3[N° FACTURA],Tabla3[VLR. TRANSPORTE],"NA")</f>
        <v>60000</v>
      </c>
      <c r="G34" s="15">
        <f>Tabla8[[#This Row],[VLR. TRANSPORTE]]/Tabla8[[#This Row],[Numero de Transportes]]</f>
        <v>30000</v>
      </c>
      <c r="H34" s="15">
        <f>_xlfn.XLOOKUP(Tabla8[[#This Row],[N° FACTURA]],Tabla3[N° FACTURA],Tabla3[VLR. TOTAL FACT.],"NA")</f>
        <v>307800</v>
      </c>
      <c r="I34" s="15">
        <f>Tabla8[[#This Row],[VLR. TOTAL FACT.]]-Tabla8[[#This Row],[VLR. TRANSPORTE]]</f>
        <v>247800</v>
      </c>
      <c r="J34" s="140">
        <f>Tabla8[[#This Row],[VLR. PRODUCTOS]]*0.2</f>
        <v>49560</v>
      </c>
      <c r="K34" s="15">
        <f>'ABC COSTEO'!B$11</f>
        <v>40740.427791666669</v>
      </c>
      <c r="L34" s="15">
        <f>Tabla8[[#This Row],[DISTANCIA (km)]]*2*'ABC COSTEO'!B$21</f>
        <v>1164.5129432368124</v>
      </c>
      <c r="M34" s="15">
        <f>Tabla8[[#This Row],[Costo Variable]]+Tabla8[[#This Row],[Costo fijo]]</f>
        <v>41904.940734903481</v>
      </c>
      <c r="N34" s="15">
        <f>Tabla8[[#This Row],[Costo Total]]*Tabla8[[#This Row],[Numero de Transportes]]</f>
        <v>83809.881469806962</v>
      </c>
      <c r="O34" s="15">
        <f>(Tabla8[[#This Row],[VLR. Transporte unitario]]-Tabla8[[#This Row],[Costo Total]])*Tabla8[[#This Row],[Numero de Transportes]]</f>
        <v>-23809.881469806962</v>
      </c>
      <c r="P34" s="15">
        <f>Tabla8[[#This Row],[Margen de productos]]+Tabla8[[#This Row],[Ganancia/Perdida]]</f>
        <v>25750.118530193038</v>
      </c>
      <c r="Q34" s="144">
        <f>(Tabla8[[#This Row],[Margen ]]/Tabla8[[#This Row],[Margen de productos]])-1</f>
        <v>-0.4804253726756853</v>
      </c>
    </row>
    <row r="35" spans="1:17" ht="15" thickBot="1" x14ac:dyDescent="0.35">
      <c r="A35" s="3">
        <v>48488</v>
      </c>
      <c r="B35" s="3" t="str">
        <f>_xlfn.XLOOKUP(Tabla8[[#This Row],[N° FACTURA]],Tabla3[N° FACTURA],Tabla3[Corregimiento],"NA")</f>
        <v>El Carmen</v>
      </c>
      <c r="C35" s="3" t="str">
        <f>_xlfn.XLOOKUP(Tabla8[[#This Row],[N° FACTURA]],Tabla3[N° FACTURA],Tabla3[LUGAR ENVÍO],"NA")</f>
        <v>Altos del Carmen</v>
      </c>
      <c r="D35" s="167">
        <f>_xlfn.XLOOKUP(Tabla8[[#This Row],[N° FACTURA]],Tabla3[N° FACTURA],Tabla3[DISTANCIA (km)],"NA")</f>
        <v>5.4639999999999986</v>
      </c>
      <c r="E35" s="3">
        <f>_xlfn.XLOOKUP(Tabla8[[#This Row],[N° FACTURA]],Tabla3[N° FACTURA],Tabla3[Numero de Transportes],"NA")</f>
        <v>1</v>
      </c>
      <c r="F35" s="15">
        <f>_xlfn.XLOOKUP(Tabla8[[#This Row],[N° FACTURA]],Tabla3[N° FACTURA],Tabla3[VLR. TRANSPORTE],"NA")</f>
        <v>60000</v>
      </c>
      <c r="G35" s="15">
        <f>Tabla8[[#This Row],[VLR. TRANSPORTE]]/Tabla8[[#This Row],[Numero de Transportes]]</f>
        <v>60000</v>
      </c>
      <c r="H35" s="15">
        <f>_xlfn.XLOOKUP(Tabla8[[#This Row],[N° FACTURA]],Tabla3[N° FACTURA],Tabla3[VLR. TOTAL FACT.],"NA")</f>
        <v>575400</v>
      </c>
      <c r="I35" s="15">
        <f>Tabla8[[#This Row],[VLR. TOTAL FACT.]]-Tabla8[[#This Row],[VLR. TRANSPORTE]]</f>
        <v>515400</v>
      </c>
      <c r="J35" s="140">
        <f>Tabla8[[#This Row],[VLR. PRODUCTOS]]*0.2</f>
        <v>103080</v>
      </c>
      <c r="K35" s="15">
        <f>'ABC COSTEO'!B$11</f>
        <v>40740.427791666669</v>
      </c>
      <c r="L35" s="15">
        <f>Tabla8[[#This Row],[DISTANCIA (km)]]*2*'ABC COSTEO'!B$21</f>
        <v>14866.585798705468</v>
      </c>
      <c r="M35" s="15">
        <f>Tabla8[[#This Row],[Costo Variable]]+Tabla8[[#This Row],[Costo fijo]]</f>
        <v>55607.013590372138</v>
      </c>
      <c r="N35" s="15">
        <f>Tabla8[[#This Row],[Costo Total]]*Tabla8[[#This Row],[Numero de Transportes]]</f>
        <v>55607.013590372138</v>
      </c>
      <c r="O35" s="15">
        <f>(Tabla8[[#This Row],[VLR. Transporte unitario]]-Tabla8[[#This Row],[Costo Total]])*Tabla8[[#This Row],[Numero de Transportes]]</f>
        <v>4392.9864096278616</v>
      </c>
      <c r="P35" s="15">
        <f>Tabla8[[#This Row],[Margen de productos]]+Tabla8[[#This Row],[Ganancia/Perdida]]</f>
        <v>107472.98640962786</v>
      </c>
      <c r="Q35" s="144">
        <f>(Tabla8[[#This Row],[Margen ]]/Tabla8[[#This Row],[Margen de productos]])-1</f>
        <v>4.261725271272665E-2</v>
      </c>
    </row>
    <row r="36" spans="1:17" ht="27.6" thickBot="1" x14ac:dyDescent="0.35">
      <c r="A36" s="3">
        <v>58524</v>
      </c>
      <c r="B36" s="3" t="str">
        <f>_xlfn.XLOOKUP(Tabla8[[#This Row],[N° FACTURA]],Tabla3[N° FACTURA],Tabla3[Corregimiento],"NA")</f>
        <v>El Carmen</v>
      </c>
      <c r="C36" s="3" t="str">
        <f>_xlfn.XLOOKUP(Tabla8[[#This Row],[N° FACTURA]],Tabla3[N° FACTURA],Tabla3[LUGAR ENVÍO],"NA")</f>
        <v xml:space="preserve">Saliendo del carmen </v>
      </c>
      <c r="D36" s="167">
        <f>_xlfn.XLOOKUP(Tabla8[[#This Row],[N° FACTURA]],Tabla3[N° FACTURA],Tabla3[DISTANCIA (km)],"NA")</f>
        <v>4.7339999999999982</v>
      </c>
      <c r="E36" s="3">
        <f>_xlfn.XLOOKUP(Tabla8[[#This Row],[N° FACTURA]],Tabla3[N° FACTURA],Tabla3[Numero de Transportes],"NA")</f>
        <v>1</v>
      </c>
      <c r="F36" s="15">
        <f>_xlfn.XLOOKUP(Tabla8[[#This Row],[N° FACTURA]],Tabla3[N° FACTURA],Tabla3[VLR. TRANSPORTE],"NA")</f>
        <v>40000</v>
      </c>
      <c r="G36" s="15">
        <f>Tabla8[[#This Row],[VLR. TRANSPORTE]]/Tabla8[[#This Row],[Numero de Transportes]]</f>
        <v>40000</v>
      </c>
      <c r="H36" s="15">
        <f>_xlfn.XLOOKUP(Tabla8[[#This Row],[N° FACTURA]],Tabla3[N° FACTURA],Tabla3[VLR. TOTAL FACT.],"NA")</f>
        <v>288000</v>
      </c>
      <c r="I36" s="15">
        <f>Tabla8[[#This Row],[VLR. TOTAL FACT.]]-Tabla8[[#This Row],[VLR. TRANSPORTE]]</f>
        <v>248000</v>
      </c>
      <c r="J36" s="140">
        <f>Tabla8[[#This Row],[VLR. PRODUCTOS]]*0.2</f>
        <v>49600</v>
      </c>
      <c r="K36" s="15">
        <f>'ABC COSTEO'!B$11</f>
        <v>40740.427791666669</v>
      </c>
      <c r="L36" s="15">
        <f>Tabla8[[#This Row],[DISTANCIA (km)]]*2*'ABC COSTEO'!B$21</f>
        <v>12880.383816081932</v>
      </c>
      <c r="M36" s="15">
        <f>Tabla8[[#This Row],[Costo Variable]]+Tabla8[[#This Row],[Costo fijo]]</f>
        <v>53620.811607748605</v>
      </c>
      <c r="N36" s="15">
        <f>Tabla8[[#This Row],[Costo Total]]*Tabla8[[#This Row],[Numero de Transportes]]</f>
        <v>53620.811607748605</v>
      </c>
      <c r="O36" s="15">
        <f>(Tabla8[[#This Row],[VLR. Transporte unitario]]-Tabla8[[#This Row],[Costo Total]])*Tabla8[[#This Row],[Numero de Transportes]]</f>
        <v>-13620.811607748605</v>
      </c>
      <c r="P36" s="15">
        <f>Tabla8[[#This Row],[Margen de productos]]+Tabla8[[#This Row],[Ganancia/Perdida]]</f>
        <v>35979.188392251395</v>
      </c>
      <c r="Q36" s="144">
        <f>(Tabla8[[#This Row],[Margen ]]/Tabla8[[#This Row],[Margen de productos]])-1</f>
        <v>-0.27461313725299608</v>
      </c>
    </row>
    <row r="37" spans="1:17" ht="15" thickBot="1" x14ac:dyDescent="0.35">
      <c r="A37" s="3">
        <v>58886</v>
      </c>
      <c r="B37" s="3" t="str">
        <f>_xlfn.XLOOKUP(Tabla8[[#This Row],[N° FACTURA]],Tabla3[N° FACTURA],Tabla3[Corregimiento],"NA")</f>
        <v>Borrero Ayerbe</v>
      </c>
      <c r="C37" s="3" t="str">
        <f>_xlfn.XLOOKUP(Tabla8[[#This Row],[N° FACTURA]],Tabla3[N° FACTURA],Tabla3[LUGAR ENVÍO],"NA")</f>
        <v>La Zulia 3</v>
      </c>
      <c r="D37" s="167">
        <f>_xlfn.XLOOKUP(Tabla8[[#This Row],[N° FACTURA]],Tabla3[N° FACTURA],Tabla3[DISTANCIA (km)],"NA")</f>
        <v>1.087</v>
      </c>
      <c r="E37" s="3">
        <f>_xlfn.XLOOKUP(Tabla8[[#This Row],[N° FACTURA]],Tabla3[N° FACTURA],Tabla3[Numero de Transportes],"NA")</f>
        <v>1</v>
      </c>
      <c r="F37" s="15">
        <f>_xlfn.XLOOKUP(Tabla8[[#This Row],[N° FACTURA]],Tabla3[N° FACTURA],Tabla3[VLR. TRANSPORTE],"NA")</f>
        <v>50000</v>
      </c>
      <c r="G37" s="15">
        <f>Tabla8[[#This Row],[VLR. TRANSPORTE]]/Tabla8[[#This Row],[Numero de Transportes]]</f>
        <v>50000</v>
      </c>
      <c r="H37" s="15">
        <f>_xlfn.XLOOKUP(Tabla8[[#This Row],[N° FACTURA]],Tabla3[N° FACTURA],Tabla3[VLR. TOTAL FACT.],"NA")</f>
        <v>728000</v>
      </c>
      <c r="I37" s="15">
        <f>Tabla8[[#This Row],[VLR. TOTAL FACT.]]-Tabla8[[#This Row],[VLR. TRANSPORTE]]</f>
        <v>678000</v>
      </c>
      <c r="J37" s="140">
        <f>Tabla8[[#This Row],[VLR. PRODUCTOS]]*0.2</f>
        <v>135600</v>
      </c>
      <c r="K37" s="15">
        <f>'ABC COSTEO'!B$11</f>
        <v>40740.427791666669</v>
      </c>
      <c r="L37" s="15">
        <f>Tabla8[[#This Row],[DISTANCIA (km)]]*2*'ABC COSTEO'!B$21</f>
        <v>2957.5363768654552</v>
      </c>
      <c r="M37" s="15">
        <f>Tabla8[[#This Row],[Costo Variable]]+Tabla8[[#This Row],[Costo fijo]]</f>
        <v>43697.964168532126</v>
      </c>
      <c r="N37" s="15">
        <f>Tabla8[[#This Row],[Costo Total]]*Tabla8[[#This Row],[Numero de Transportes]]</f>
        <v>43697.964168532126</v>
      </c>
      <c r="O37" s="15">
        <f>(Tabla8[[#This Row],[VLR. Transporte unitario]]-Tabla8[[#This Row],[Costo Total]])*Tabla8[[#This Row],[Numero de Transportes]]</f>
        <v>6302.0358314678742</v>
      </c>
      <c r="P37" s="15">
        <f>Tabla8[[#This Row],[Margen de productos]]+Tabla8[[#This Row],[Ganancia/Perdida]]</f>
        <v>141902.03583146789</v>
      </c>
      <c r="Q37" s="144">
        <f>(Tabla8[[#This Row],[Margen ]]/Tabla8[[#This Row],[Margen de productos]])-1</f>
        <v>4.6475190497550889E-2</v>
      </c>
    </row>
    <row r="38" spans="1:17" ht="15" thickBot="1" x14ac:dyDescent="0.35">
      <c r="A38" s="3">
        <v>58703</v>
      </c>
      <c r="B38" s="3" t="str">
        <f>_xlfn.XLOOKUP(Tabla8[[#This Row],[N° FACTURA]],Tabla3[N° FACTURA],Tabla3[Corregimiento],"NA")</f>
        <v>Borrero Ayerbe</v>
      </c>
      <c r="C38" s="3" t="str">
        <f>_xlfn.XLOOKUP(Tabla8[[#This Row],[N° FACTURA]],Tabla3[N° FACTURA],Tabla3[LUGAR ENVÍO],"NA")</f>
        <v>la bomba</v>
      </c>
      <c r="D38" s="167">
        <f>_xlfn.XLOOKUP(Tabla8[[#This Row],[N° FACTURA]],Tabla3[N° FACTURA],Tabla3[DISTANCIA (km)],"NA")</f>
        <v>1.3212069999999998</v>
      </c>
      <c r="E38" s="3">
        <f>_xlfn.XLOOKUP(Tabla8[[#This Row],[N° FACTURA]],Tabla3[N° FACTURA],Tabla3[Numero de Transportes],"NA")</f>
        <v>1</v>
      </c>
      <c r="F38" s="15">
        <f>_xlfn.XLOOKUP(Tabla8[[#This Row],[N° FACTURA]],Tabla3[N° FACTURA],Tabla3[VLR. TRANSPORTE],"NA")</f>
        <v>20000</v>
      </c>
      <c r="G38" s="15">
        <f>Tabla8[[#This Row],[VLR. TRANSPORTE]]/Tabla8[[#This Row],[Numero de Transportes]]</f>
        <v>20000</v>
      </c>
      <c r="H38" s="15">
        <f>_xlfn.XLOOKUP(Tabla8[[#This Row],[N° FACTURA]],Tabla3[N° FACTURA],Tabla3[VLR. TOTAL FACT.],"NA")</f>
        <v>3724000</v>
      </c>
      <c r="I38" s="15">
        <f>Tabla8[[#This Row],[VLR. TOTAL FACT.]]-Tabla8[[#This Row],[VLR. TRANSPORTE]]</f>
        <v>3704000</v>
      </c>
      <c r="J38" s="140">
        <f>Tabla8[[#This Row],[VLR. PRODUCTOS]]*0.2</f>
        <v>740800</v>
      </c>
      <c r="K38" s="15">
        <f>'ABC COSTEO'!B$11</f>
        <v>40740.427791666669</v>
      </c>
      <c r="L38" s="15">
        <f>Tabla8[[#This Row],[DISTANCIA (km)]]*2*'ABC COSTEO'!B$21</f>
        <v>3594.7725518576603</v>
      </c>
      <c r="M38" s="15">
        <f>Tabla8[[#This Row],[Costo Variable]]+Tabla8[[#This Row],[Costo fijo]]</f>
        <v>44335.200343524331</v>
      </c>
      <c r="N38" s="15">
        <f>Tabla8[[#This Row],[Costo Total]]*Tabla8[[#This Row],[Numero de Transportes]]</f>
        <v>44335.200343524331</v>
      </c>
      <c r="O38" s="15">
        <f>(Tabla8[[#This Row],[VLR. Transporte unitario]]-Tabla8[[#This Row],[Costo Total]])*Tabla8[[#This Row],[Numero de Transportes]]</f>
        <v>-24335.200343524331</v>
      </c>
      <c r="P38" s="15">
        <f>Tabla8[[#This Row],[Margen de productos]]+Tabla8[[#This Row],[Ganancia/Perdida]]</f>
        <v>716464.79965647566</v>
      </c>
      <c r="Q38" s="144">
        <f>(Tabla8[[#This Row],[Margen ]]/Tabla8[[#This Row],[Margen de productos]])-1</f>
        <v>-3.2849892472360032E-2</v>
      </c>
    </row>
    <row r="39" spans="1:17" ht="15" thickBot="1" x14ac:dyDescent="0.35">
      <c r="A39" s="146">
        <v>54994</v>
      </c>
      <c r="B39" s="3" t="str">
        <f>_xlfn.XLOOKUP(Tabla8[[#This Row],[N° FACTURA]],Tabla3[N° FACTURA],Tabla3[Corregimiento],"NA")</f>
        <v>El Carmen</v>
      </c>
      <c r="C39" s="3" t="str">
        <f>_xlfn.XLOOKUP(Tabla8[[#This Row],[N° FACTURA]],Tabla3[N° FACTURA],Tabla3[LUGAR ENVÍO],"NA")</f>
        <v>El Coscorron</v>
      </c>
      <c r="D39" s="167">
        <f>_xlfn.XLOOKUP(Tabla8[[#This Row],[N° FACTURA]],Tabla3[N° FACTURA],Tabla3[DISTANCIA (km)],"NA")</f>
        <v>2.649999999999999</v>
      </c>
      <c r="E39" s="3">
        <f>_xlfn.XLOOKUP(Tabla8[[#This Row],[N° FACTURA]],Tabla3[N° FACTURA],Tabla3[Numero de Transportes],"NA")</f>
        <v>3</v>
      </c>
      <c r="F39" s="15">
        <f>_xlfn.XLOOKUP(Tabla8[[#This Row],[N° FACTURA]],Tabla3[N° FACTURA],Tabla3[VLR. TRANSPORTE],"NA")</f>
        <v>270000</v>
      </c>
      <c r="G39" s="15">
        <f>Tabla8[[#This Row],[VLR. TRANSPORTE]]/Tabla8[[#This Row],[Numero de Transportes]]</f>
        <v>90000</v>
      </c>
      <c r="H39" s="15">
        <f>_xlfn.XLOOKUP(Tabla8[[#This Row],[N° FACTURA]],Tabla3[N° FACTURA],Tabla3[VLR. TOTAL FACT.],"NA")</f>
        <v>1338600</v>
      </c>
      <c r="I39" s="15">
        <f>Tabla8[[#This Row],[VLR. TOTAL FACT.]]-Tabla8[[#This Row],[VLR. TRANSPORTE]]</f>
        <v>1068600</v>
      </c>
      <c r="J39" s="140">
        <f>Tabla8[[#This Row],[VLR. PRODUCTOS]]*0.2</f>
        <v>213720</v>
      </c>
      <c r="K39" s="15">
        <f>'ABC COSTEO'!B$11</f>
        <v>40740.427791666669</v>
      </c>
      <c r="L39" s="15">
        <f>Tabla8[[#This Row],[DISTANCIA (km)]]*2*'ABC COSTEO'!B$21</f>
        <v>7210.185279386802</v>
      </c>
      <c r="M39" s="15">
        <f>Tabla8[[#This Row],[Costo Variable]]+Tabla8[[#This Row],[Costo fijo]]</f>
        <v>47950.613071053471</v>
      </c>
      <c r="N39" s="15">
        <f>Tabla8[[#This Row],[Costo Total]]*Tabla8[[#This Row],[Numero de Transportes]]</f>
        <v>143851.83921316042</v>
      </c>
      <c r="O39" s="15">
        <f>(Tabla8[[#This Row],[VLR. Transporte unitario]]-Tabla8[[#This Row],[Costo Total]])*Tabla8[[#This Row],[Numero de Transportes]]</f>
        <v>126148.16078683958</v>
      </c>
      <c r="P39" s="15">
        <f>Tabla8[[#This Row],[Margen de productos]]+Tabla8[[#This Row],[Ganancia/Perdida]]</f>
        <v>339868.16078683955</v>
      </c>
      <c r="Q39" s="144">
        <f>(Tabla8[[#This Row],[Margen ]]/Tabla8[[#This Row],[Margen de productos]])-1</f>
        <v>0.59024967615028801</v>
      </c>
    </row>
    <row r="40" spans="1:17" ht="15" thickBot="1" x14ac:dyDescent="0.35">
      <c r="A40" s="3">
        <v>46982</v>
      </c>
      <c r="B40" s="3" t="str">
        <f>_xlfn.XLOOKUP(Tabla8[[#This Row],[N° FACTURA]],Tabla3[N° FACTURA],Tabla3[Corregimiento],"NA")</f>
        <v>Borrero Ayerbe</v>
      </c>
      <c r="C40" s="3" t="str">
        <f>_xlfn.XLOOKUP(Tabla8[[#This Row],[N° FACTURA]],Tabla3[N° FACTURA],Tabla3[LUGAR ENVÍO],"NA")</f>
        <v>La Zulia 2</v>
      </c>
      <c r="D40" s="167">
        <f>_xlfn.XLOOKUP(Tabla8[[#This Row],[N° FACTURA]],Tabla3[N° FACTURA],Tabla3[DISTANCIA (km)],"NA")</f>
        <v>1.2480000000000002</v>
      </c>
      <c r="E40" s="3">
        <f>_xlfn.XLOOKUP(Tabla8[[#This Row],[N° FACTURA]],Tabla3[N° FACTURA],Tabla3[Numero de Transportes],"NA")</f>
        <v>1</v>
      </c>
      <c r="F40" s="15">
        <f>_xlfn.XLOOKUP(Tabla8[[#This Row],[N° FACTURA]],Tabla3[N° FACTURA],Tabla3[VLR. TRANSPORTE],"NA")</f>
        <v>30000</v>
      </c>
      <c r="G40" s="15">
        <f>Tabla8[[#This Row],[VLR. TRANSPORTE]]/Tabla8[[#This Row],[Numero de Transportes]]</f>
        <v>30000</v>
      </c>
      <c r="H40" s="15">
        <f>_xlfn.XLOOKUP(Tabla8[[#This Row],[N° FACTURA]],Tabla3[N° FACTURA],Tabla3[VLR. TOTAL FACT.],"NA")</f>
        <v>282500</v>
      </c>
      <c r="I40" s="15">
        <f>Tabla8[[#This Row],[VLR. TOTAL FACT.]]-Tabla8[[#This Row],[VLR. TRANSPORTE]]</f>
        <v>252500</v>
      </c>
      <c r="J40" s="140">
        <f>Tabla8[[#This Row],[VLR. PRODUCTOS]]*0.2</f>
        <v>50500</v>
      </c>
      <c r="K40" s="15">
        <f>'ABC COSTEO'!B$11</f>
        <v>40740.427791666669</v>
      </c>
      <c r="L40" s="15">
        <f>Tabla8[[#This Row],[DISTANCIA (km)]]*2*'ABC COSTEO'!B$21</f>
        <v>3395.5891428961258</v>
      </c>
      <c r="M40" s="15">
        <f>Tabla8[[#This Row],[Costo Variable]]+Tabla8[[#This Row],[Costo fijo]]</f>
        <v>44136.016934562795</v>
      </c>
      <c r="N40" s="15">
        <f>Tabla8[[#This Row],[Costo Total]]*Tabla8[[#This Row],[Numero de Transportes]]</f>
        <v>44136.016934562795</v>
      </c>
      <c r="O40" s="15">
        <f>(Tabla8[[#This Row],[VLR. Transporte unitario]]-Tabla8[[#This Row],[Costo Total]])*Tabla8[[#This Row],[Numero de Transportes]]</f>
        <v>-14136.016934562795</v>
      </c>
      <c r="P40" s="15">
        <f>Tabla8[[#This Row],[Margen de productos]]+Tabla8[[#This Row],[Ganancia/Perdida]]</f>
        <v>36363.983065437205</v>
      </c>
      <c r="Q40" s="144">
        <f>(Tabla8[[#This Row],[Margen ]]/Tabla8[[#This Row],[Margen de productos]])-1</f>
        <v>-0.27992112741708508</v>
      </c>
    </row>
    <row r="41" spans="1:17" ht="15" thickBot="1" x14ac:dyDescent="0.35">
      <c r="A41" s="3">
        <v>57925</v>
      </c>
      <c r="B41" s="3" t="str">
        <f>_xlfn.XLOOKUP(Tabla8[[#This Row],[N° FACTURA]],Tabla3[N° FACTURA],Tabla3[Corregimiento],"NA")</f>
        <v>El Carmen</v>
      </c>
      <c r="C41" s="3" t="str">
        <f>_xlfn.XLOOKUP(Tabla8[[#This Row],[N° FACTURA]],Tabla3[N° FACTURA],Tabla3[LUGAR ENVÍO],"NA")</f>
        <v>La clorinda</v>
      </c>
      <c r="D41" s="167">
        <f>_xlfn.XLOOKUP(Tabla8[[#This Row],[N° FACTURA]],Tabla3[N° FACTURA],Tabla3[DISTANCIA (km)],"NA")</f>
        <v>5.2639999999999967</v>
      </c>
      <c r="E41" s="3">
        <f>_xlfn.XLOOKUP(Tabla8[[#This Row],[N° FACTURA]],Tabla3[N° FACTURA],Tabla3[Numero de Transportes],"NA")</f>
        <v>1</v>
      </c>
      <c r="F41" s="15">
        <f>_xlfn.XLOOKUP(Tabla8[[#This Row],[N° FACTURA]],Tabla3[N° FACTURA],Tabla3[VLR. TRANSPORTE],"NA")</f>
        <v>40000</v>
      </c>
      <c r="G41" s="15">
        <f>Tabla8[[#This Row],[VLR. TRANSPORTE]]/Tabla8[[#This Row],[Numero de Transportes]]</f>
        <v>40000</v>
      </c>
      <c r="H41" s="15">
        <f>_xlfn.XLOOKUP(Tabla8[[#This Row],[N° FACTURA]],Tabla3[N° FACTURA],Tabla3[VLR. TOTAL FACT.],"NA")</f>
        <v>169000</v>
      </c>
      <c r="I41" s="15">
        <f>Tabla8[[#This Row],[VLR. TOTAL FACT.]]-Tabla8[[#This Row],[VLR. TRANSPORTE]]</f>
        <v>129000</v>
      </c>
      <c r="J41" s="140">
        <f>Tabla8[[#This Row],[VLR. PRODUCTOS]]*0.2</f>
        <v>25800</v>
      </c>
      <c r="K41" s="15">
        <f>'ABC COSTEO'!B$11</f>
        <v>40740.427791666669</v>
      </c>
      <c r="L41" s="15">
        <f>Tabla8[[#This Row],[DISTANCIA (km)]]*2*'ABC COSTEO'!B$21</f>
        <v>14322.420871959288</v>
      </c>
      <c r="M41" s="15">
        <f>Tabla8[[#This Row],[Costo Variable]]+Tabla8[[#This Row],[Costo fijo]]</f>
        <v>55062.848663625955</v>
      </c>
      <c r="N41" s="15">
        <f>Tabla8[[#This Row],[Costo Total]]*Tabla8[[#This Row],[Numero de Transportes]]</f>
        <v>55062.848663625955</v>
      </c>
      <c r="O41" s="15">
        <f>(Tabla8[[#This Row],[VLR. Transporte unitario]]-Tabla8[[#This Row],[Costo Total]])*Tabla8[[#This Row],[Numero de Transportes]]</f>
        <v>-15062.848663625955</v>
      </c>
      <c r="P41" s="15">
        <f>Tabla8[[#This Row],[Margen de productos]]+Tabla8[[#This Row],[Ganancia/Perdida]]</f>
        <v>10737.151336374045</v>
      </c>
      <c r="Q41" s="144">
        <f>(Tabla8[[#This Row],[Margen ]]/Tabla8[[#This Row],[Margen de productos]])-1</f>
        <v>-0.58383134355139354</v>
      </c>
    </row>
    <row r="42" spans="1:17" ht="15" thickBot="1" x14ac:dyDescent="0.35">
      <c r="A42" s="3">
        <v>58682</v>
      </c>
      <c r="B42" s="3" t="str">
        <f>_xlfn.XLOOKUP(Tabla8[[#This Row],[N° FACTURA]],Tabla3[N° FACTURA],Tabla3[Corregimiento],"NA")</f>
        <v>Borrero Ayerbe</v>
      </c>
      <c r="C42" s="3" t="str">
        <f>_xlfn.XLOOKUP(Tabla8[[#This Row],[N° FACTURA]],Tabla3[N° FACTURA],Tabla3[LUGAR ENVÍO],"NA")</f>
        <v>la florida</v>
      </c>
      <c r="D42" s="167">
        <f>_xlfn.XLOOKUP(Tabla8[[#This Row],[N° FACTURA]],Tabla3[N° FACTURA],Tabla3[DISTANCIA (km)],"NA")</f>
        <v>1.4669269999999999</v>
      </c>
      <c r="E42" s="3">
        <f>_xlfn.XLOOKUP(Tabla8[[#This Row],[N° FACTURA]],Tabla3[N° FACTURA],Tabla3[Numero de Transportes],"NA")</f>
        <v>2</v>
      </c>
      <c r="F42" s="15">
        <f>_xlfn.XLOOKUP(Tabla8[[#This Row],[N° FACTURA]],Tabla3[N° FACTURA],Tabla3[VLR. TRANSPORTE],"NA")</f>
        <v>100000</v>
      </c>
      <c r="G42" s="15">
        <f>Tabla8[[#This Row],[VLR. TRANSPORTE]]/Tabla8[[#This Row],[Numero de Transportes]]</f>
        <v>50000</v>
      </c>
      <c r="H42" s="15">
        <f>_xlfn.XLOOKUP(Tabla8[[#This Row],[N° FACTURA]],Tabla3[N° FACTURA],Tabla3[VLR. TOTAL FACT.],"NA")</f>
        <v>806000</v>
      </c>
      <c r="I42" s="15">
        <f>Tabla8[[#This Row],[VLR. TOTAL FACT.]]-Tabla8[[#This Row],[VLR. TRANSPORTE]]</f>
        <v>706000</v>
      </c>
      <c r="J42" s="140">
        <f>Tabla8[[#This Row],[VLR. PRODUCTOS]]*0.2</f>
        <v>141200</v>
      </c>
      <c r="K42" s="15">
        <f>'ABC COSTEO'!B$11</f>
        <v>40740.427791666669</v>
      </c>
      <c r="L42" s="15">
        <f>Tabla8[[#This Row],[DISTANCIA (km)]]*2*'ABC COSTEO'!B$21</f>
        <v>3991.2511174849233</v>
      </c>
      <c r="M42" s="15">
        <f>Tabla8[[#This Row],[Costo Variable]]+Tabla8[[#This Row],[Costo fijo]]</f>
        <v>44731.678909151589</v>
      </c>
      <c r="N42" s="15">
        <f>Tabla8[[#This Row],[Costo Total]]*Tabla8[[#This Row],[Numero de Transportes]]</f>
        <v>89463.357818303179</v>
      </c>
      <c r="O42" s="15">
        <f>(Tabla8[[#This Row],[VLR. Transporte unitario]]-Tabla8[[#This Row],[Costo Total]])*Tabla8[[#This Row],[Numero de Transportes]]</f>
        <v>10536.642181696821</v>
      </c>
      <c r="P42" s="15">
        <f>Tabla8[[#This Row],[Margen de productos]]+Tabla8[[#This Row],[Ganancia/Perdida]]</f>
        <v>151736.64218169684</v>
      </c>
      <c r="Q42" s="144">
        <f>(Tabla8[[#This Row],[Margen ]]/Tabla8[[#This Row],[Margen de productos]])-1</f>
        <v>7.4622111768391175E-2</v>
      </c>
    </row>
    <row r="43" spans="1:17" ht="15" thickBot="1" x14ac:dyDescent="0.35">
      <c r="A43" s="147">
        <v>55570</v>
      </c>
      <c r="B43" s="3" t="str">
        <f>_xlfn.XLOOKUP(Tabla8[[#This Row],[N° FACTURA]],Tabla3[N° FACTURA],Tabla3[Corregimiento],"NA")</f>
        <v>El Carmen</v>
      </c>
      <c r="C43" s="3" t="str">
        <f>_xlfn.XLOOKUP(Tabla8[[#This Row],[N° FACTURA]],Tabla3[N° FACTURA],Tabla3[LUGAR ENVÍO],"NA")</f>
        <v>Altos del Carmen</v>
      </c>
      <c r="D43" s="167">
        <f>_xlfn.XLOOKUP(Tabla8[[#This Row],[N° FACTURA]],Tabla3[N° FACTURA],Tabla3[DISTANCIA (km)],"NA")</f>
        <v>5.4639999999999986</v>
      </c>
      <c r="E43" s="3">
        <f>_xlfn.XLOOKUP(Tabla8[[#This Row],[N° FACTURA]],Tabla3[N° FACTURA],Tabla3[Numero de Transportes],"NA")</f>
        <v>1</v>
      </c>
      <c r="F43" s="15">
        <f>_xlfn.XLOOKUP(Tabla8[[#This Row],[N° FACTURA]],Tabla3[N° FACTURA],Tabla3[VLR. TRANSPORTE],"NA")</f>
        <v>60000</v>
      </c>
      <c r="G43" s="15">
        <f>Tabla8[[#This Row],[VLR. TRANSPORTE]]/Tabla8[[#This Row],[Numero de Transportes]]</f>
        <v>60000</v>
      </c>
      <c r="H43" s="15">
        <f>_xlfn.XLOOKUP(Tabla8[[#This Row],[N° FACTURA]],Tabla3[N° FACTURA],Tabla3[VLR. TOTAL FACT.],"NA")</f>
        <v>534100</v>
      </c>
      <c r="I43" s="96">
        <f>Tabla8[[#This Row],[VLR. TOTAL FACT.]]-Tabla8[[#This Row],[VLR. TRANSPORTE]]</f>
        <v>474100</v>
      </c>
      <c r="J43" s="140">
        <f>Tabla8[[#This Row],[VLR. PRODUCTOS]]*0.2</f>
        <v>94820</v>
      </c>
      <c r="K43" s="15">
        <f>'ABC COSTEO'!B$11</f>
        <v>40740.427791666669</v>
      </c>
      <c r="L43" s="15">
        <f>Tabla8[[#This Row],[DISTANCIA (km)]]*2*'ABC COSTEO'!B$21</f>
        <v>14866.585798705468</v>
      </c>
      <c r="M43" s="15">
        <f>Tabla8[[#This Row],[Costo Variable]]+Tabla8[[#This Row],[Costo fijo]]</f>
        <v>55607.013590372138</v>
      </c>
      <c r="N43" s="15">
        <f>Tabla8[[#This Row],[Costo Total]]*Tabla8[[#This Row],[Numero de Transportes]]</f>
        <v>55607.013590372138</v>
      </c>
      <c r="O43" s="15">
        <f>(Tabla8[[#This Row],[VLR. Transporte unitario]]-Tabla8[[#This Row],[Costo Total]])*Tabla8[[#This Row],[Numero de Transportes]]</f>
        <v>4392.9864096278616</v>
      </c>
      <c r="P43" s="15">
        <f>Tabla8[[#This Row],[Margen de productos]]+Tabla8[[#This Row],[Ganancia/Perdida]]</f>
        <v>99212.986409627862</v>
      </c>
      <c r="Q43" s="144">
        <f>(Tabla8[[#This Row],[Margen ]]/Tabla8[[#This Row],[Margen de productos]])-1</f>
        <v>4.6329744881120627E-2</v>
      </c>
    </row>
    <row r="44" spans="1:17" ht="15" thickBot="1" x14ac:dyDescent="0.35">
      <c r="A44" s="3">
        <v>30586</v>
      </c>
      <c r="B44" s="3" t="str">
        <f>_xlfn.XLOOKUP(Tabla8[[#This Row],[N° FACTURA]],Tabla3[N° FACTURA],Tabla3[Corregimiento],"NA")</f>
        <v>El Carmen</v>
      </c>
      <c r="C44" s="3" t="str">
        <f>_xlfn.XLOOKUP(Tabla8[[#This Row],[N° FACTURA]],Tabla3[N° FACTURA],Tabla3[LUGAR ENVÍO],"NA")</f>
        <v>Pirineos</v>
      </c>
      <c r="D44" s="167">
        <f>_xlfn.XLOOKUP(Tabla8[[#This Row],[N° FACTURA]],Tabla3[N° FACTURA],Tabla3[DISTANCIA (km)],"NA")</f>
        <v>2.6666500000000002</v>
      </c>
      <c r="E44" s="3">
        <f>_xlfn.XLOOKUP(Tabla8[[#This Row],[N° FACTURA]],Tabla3[N° FACTURA],Tabla3[Numero de Transportes],"NA")</f>
        <v>1</v>
      </c>
      <c r="F44" s="15">
        <f>_xlfn.XLOOKUP(Tabla8[[#This Row],[N° FACTURA]],Tabla3[N° FACTURA],Tabla3[VLR. TRANSPORTE],"NA")</f>
        <v>50000</v>
      </c>
      <c r="G44" s="15">
        <f>Tabla8[[#This Row],[VLR. TRANSPORTE]]/Tabla8[[#This Row],[Numero de Transportes]]</f>
        <v>50000</v>
      </c>
      <c r="H44" s="15">
        <f>_xlfn.XLOOKUP(Tabla8[[#This Row],[N° FACTURA]],Tabla3[N° FACTURA],Tabla3[VLR. TOTAL FACT.],"NA")</f>
        <v>303000</v>
      </c>
      <c r="I44" s="15">
        <f>Tabla8[[#This Row],[VLR. TOTAL FACT.]]-Tabla8[[#This Row],[VLR. TRANSPORTE]]</f>
        <v>253000</v>
      </c>
      <c r="J44" s="140">
        <f>Tabla8[[#This Row],[VLR. PRODUCTOS]]*0.2</f>
        <v>50600</v>
      </c>
      <c r="K44" s="15">
        <f>'ABC COSTEO'!B$11</f>
        <v>40740.427791666669</v>
      </c>
      <c r="L44" s="15">
        <f>Tabla8[[#This Row],[DISTANCIA (km)]]*2*'ABC COSTEO'!B$21</f>
        <v>7255.487009538424</v>
      </c>
      <c r="M44" s="15">
        <f>Tabla8[[#This Row],[Costo Variable]]+Tabla8[[#This Row],[Costo fijo]]</f>
        <v>47995.914801205094</v>
      </c>
      <c r="N44" s="15">
        <f>Tabla8[[#This Row],[Costo Total]]*Tabla8[[#This Row],[Numero de Transportes]]</f>
        <v>47995.914801205094</v>
      </c>
      <c r="O44" s="15">
        <f>(Tabla8[[#This Row],[VLR. Transporte unitario]]-Tabla8[[#This Row],[Costo Total]])*Tabla8[[#This Row],[Numero de Transportes]]</f>
        <v>2004.0851987949063</v>
      </c>
      <c r="P44" s="15">
        <f>Tabla8[[#This Row],[Margen de productos]]+Tabla8[[#This Row],[Ganancia/Perdida]]</f>
        <v>52604.085198794906</v>
      </c>
      <c r="Q44" s="144">
        <f>(Tabla8[[#This Row],[Margen ]]/Tabla8[[#This Row],[Margen de productos]])-1</f>
        <v>3.9606426853654231E-2</v>
      </c>
    </row>
    <row r="45" spans="1:17" ht="15" thickBot="1" x14ac:dyDescent="0.35">
      <c r="A45" s="91">
        <v>47087</v>
      </c>
      <c r="B45" s="3" t="str">
        <f>_xlfn.XLOOKUP(Tabla8[[#This Row],[N° FACTURA]],Tabla3[N° FACTURA],Tabla3[Corregimiento],"NA")</f>
        <v>El Carmen</v>
      </c>
      <c r="C45" s="3" t="str">
        <f>_xlfn.XLOOKUP(Tabla8[[#This Row],[N° FACTURA]],Tabla3[N° FACTURA],Tabla3[LUGAR ENVÍO],"NA")</f>
        <v>villa del toro</v>
      </c>
      <c r="D45" s="167">
        <f>_xlfn.XLOOKUP(Tabla8[[#This Row],[N° FACTURA]],Tabla3[N° FACTURA],Tabla3[DISTANCIA (km)],"NA")</f>
        <v>2.2797620000000003</v>
      </c>
      <c r="E45" s="3">
        <f>_xlfn.XLOOKUP(Tabla8[[#This Row],[N° FACTURA]],Tabla3[N° FACTURA],Tabla3[Numero de Transportes],"NA")</f>
        <v>1</v>
      </c>
      <c r="F45" s="15">
        <f>_xlfn.XLOOKUP(Tabla8[[#This Row],[N° FACTURA]],Tabla3[N° FACTURA],Tabla3[VLR. TRANSPORTE],"NA")</f>
        <v>40000</v>
      </c>
      <c r="G45" s="15">
        <f>Tabla8[[#This Row],[VLR. TRANSPORTE]]/Tabla8[[#This Row],[Numero de Transportes]]</f>
        <v>40000</v>
      </c>
      <c r="H45" s="15">
        <f>_xlfn.XLOOKUP(Tabla8[[#This Row],[N° FACTURA]],Tabla3[N° FACTURA],Tabla3[VLR. TOTAL FACT.],"NA")</f>
        <v>450100</v>
      </c>
      <c r="I45" s="15">
        <f>Tabla8[[#This Row],[VLR. TOTAL FACT.]]-Tabla8[[#This Row],[VLR. TRANSPORTE]]</f>
        <v>410100</v>
      </c>
      <c r="J45" s="140">
        <f>Tabla8[[#This Row],[VLR. PRODUCTOS]]*0.2</f>
        <v>82020</v>
      </c>
      <c r="K45" s="15">
        <f>'ABC COSTEO'!B$11</f>
        <v>40740.427791666669</v>
      </c>
      <c r="L45" s="15">
        <f>Tabla8[[#This Row],[DISTANCIA (km)]]*2*'ABC COSTEO'!B$21</f>
        <v>6202.8326086435554</v>
      </c>
      <c r="M45" s="15">
        <f>Tabla8[[#This Row],[Costo Variable]]+Tabla8[[#This Row],[Costo fijo]]</f>
        <v>46943.260400310224</v>
      </c>
      <c r="N45" s="15">
        <f>Tabla8[[#This Row],[Costo Total]]*Tabla8[[#This Row],[Numero de Transportes]]</f>
        <v>46943.260400310224</v>
      </c>
      <c r="O45" s="15">
        <f>(Tabla8[[#This Row],[VLR. Transporte unitario]]-Tabla8[[#This Row],[Costo Total]])*Tabla8[[#This Row],[Numero de Transportes]]</f>
        <v>-6943.2604003102242</v>
      </c>
      <c r="P45" s="15">
        <f>Tabla8[[#This Row],[Margen de productos]]+Tabla8[[#This Row],[Ganancia/Perdida]]</f>
        <v>75076.739599689783</v>
      </c>
      <c r="Q45" s="144">
        <f>(Tabla8[[#This Row],[Margen ]]/Tabla8[[#This Row],[Margen de productos]])-1</f>
        <v>-8.4653260184226031E-2</v>
      </c>
    </row>
    <row r="46" spans="1:17" ht="27.6" thickBot="1" x14ac:dyDescent="0.35">
      <c r="A46" s="3">
        <v>57737</v>
      </c>
      <c r="B46" s="3" t="str">
        <f>_xlfn.XLOOKUP(Tabla8[[#This Row],[N° FACTURA]],Tabla3[N° FACTURA],Tabla3[Corregimiento],"NA")</f>
        <v>El Carmen</v>
      </c>
      <c r="C46" s="3" t="str">
        <f>_xlfn.XLOOKUP(Tabla8[[#This Row],[N° FACTURA]],Tabla3[N° FACTURA],Tabla3[LUGAR ENVÍO],"NA")</f>
        <v>Parcelación El bosque</v>
      </c>
      <c r="D46" s="167">
        <f>_xlfn.XLOOKUP(Tabla8[[#This Row],[N° FACTURA]],Tabla3[N° FACTURA],Tabla3[DISTANCIA (km)],"NA")</f>
        <v>4.8000390000000017</v>
      </c>
      <c r="E46" s="3">
        <f>_xlfn.XLOOKUP(Tabla8[[#This Row],[N° FACTURA]],Tabla3[N° FACTURA],Tabla3[Numero de Transportes],"NA")</f>
        <v>1</v>
      </c>
      <c r="F46" s="15">
        <f>_xlfn.XLOOKUP(Tabla8[[#This Row],[N° FACTURA]],Tabla3[N° FACTURA],Tabla3[VLR. TRANSPORTE],"NA")</f>
        <v>50000</v>
      </c>
      <c r="G46" s="15">
        <f>Tabla8[[#This Row],[VLR. TRANSPORTE]]/Tabla8[[#This Row],[Numero de Transportes]]</f>
        <v>50000</v>
      </c>
      <c r="H46" s="15">
        <f>_xlfn.XLOOKUP(Tabla8[[#This Row],[N° FACTURA]],Tabla3[N° FACTURA],Tabla3[VLR. TOTAL FACT.],"NA")</f>
        <v>304500</v>
      </c>
      <c r="I46" s="15">
        <f>Tabla8[[#This Row],[VLR. TOTAL FACT.]]-Tabla8[[#This Row],[VLR. TRANSPORTE]]</f>
        <v>254500</v>
      </c>
      <c r="J46" s="140">
        <f>Tabla8[[#This Row],[VLR. PRODUCTOS]]*0.2</f>
        <v>50900</v>
      </c>
      <c r="K46" s="15">
        <f>'ABC COSTEO'!B$11</f>
        <v>40740.427791666669</v>
      </c>
      <c r="L46" s="15">
        <f>Tabla8[[#This Row],[DISTANCIA (km)]]*2*'ABC COSTEO'!B$21</f>
        <v>13060.064354068894</v>
      </c>
      <c r="M46" s="15">
        <f>Tabla8[[#This Row],[Costo Variable]]+Tabla8[[#This Row],[Costo fijo]]</f>
        <v>53800.492145735567</v>
      </c>
      <c r="N46" s="15">
        <f>Tabla8[[#This Row],[Costo Total]]*Tabla8[[#This Row],[Numero de Transportes]]</f>
        <v>53800.492145735567</v>
      </c>
      <c r="O46" s="15">
        <f>(Tabla8[[#This Row],[VLR. Transporte unitario]]-Tabla8[[#This Row],[Costo Total]])*Tabla8[[#This Row],[Numero de Transportes]]</f>
        <v>-3800.4921457355667</v>
      </c>
      <c r="P46" s="15">
        <f>Tabla8[[#This Row],[Margen de productos]]+Tabla8[[#This Row],[Ganancia/Perdida]]</f>
        <v>47099.507854264433</v>
      </c>
      <c r="Q46" s="144">
        <f>(Tabla8[[#This Row],[Margen ]]/Tabla8[[#This Row],[Margen de productos]])-1</f>
        <v>-7.4665857480070041E-2</v>
      </c>
    </row>
    <row r="47" spans="1:17" ht="15" thickBot="1" x14ac:dyDescent="0.35">
      <c r="A47" s="12">
        <v>47609</v>
      </c>
      <c r="B47" s="3" t="str">
        <f>_xlfn.XLOOKUP(Tabla8[[#This Row],[N° FACTURA]],Tabla3[N° FACTURA],Tabla3[Corregimiento],"NA")</f>
        <v>Borrero Ayerbe</v>
      </c>
      <c r="C47" s="3" t="str">
        <f>_xlfn.XLOOKUP(Tabla8[[#This Row],[N° FACTURA]],Tabla3[N° FACTURA],Tabla3[LUGAR ENVÍO],"NA")</f>
        <v>La Zulia 3</v>
      </c>
      <c r="D47" s="167">
        <f>_xlfn.XLOOKUP(Tabla8[[#This Row],[N° FACTURA]],Tabla3[N° FACTURA],Tabla3[DISTANCIA (km)],"NA")</f>
        <v>1.087</v>
      </c>
      <c r="E47" s="3">
        <f>_xlfn.XLOOKUP(Tabla8[[#This Row],[N° FACTURA]],Tabla3[N° FACTURA],Tabla3[Numero de Transportes],"NA")</f>
        <v>1</v>
      </c>
      <c r="F47" s="15">
        <f>_xlfn.XLOOKUP(Tabla8[[#This Row],[N° FACTURA]],Tabla3[N° FACTURA],Tabla3[VLR. TRANSPORTE],"NA")</f>
        <v>15000</v>
      </c>
      <c r="G47" s="15">
        <f>Tabla8[[#This Row],[VLR. TRANSPORTE]]/Tabla8[[#This Row],[Numero de Transportes]]</f>
        <v>15000</v>
      </c>
      <c r="H47" s="15">
        <f>_xlfn.XLOOKUP(Tabla8[[#This Row],[N° FACTURA]],Tabla3[N° FACTURA],Tabla3[VLR. TOTAL FACT.],"NA")</f>
        <v>300000</v>
      </c>
      <c r="I47" s="15">
        <f>Tabla8[[#This Row],[VLR. TOTAL FACT.]]-Tabla8[[#This Row],[VLR. TRANSPORTE]]</f>
        <v>285000</v>
      </c>
      <c r="J47" s="140">
        <f>Tabla8[[#This Row],[VLR. PRODUCTOS]]*0.2</f>
        <v>57000</v>
      </c>
      <c r="K47" s="15">
        <f>'ABC COSTEO'!B$11</f>
        <v>40740.427791666669</v>
      </c>
      <c r="L47" s="15">
        <f>Tabla8[[#This Row],[DISTANCIA (km)]]*2*'ABC COSTEO'!B$21</f>
        <v>2957.5363768654552</v>
      </c>
      <c r="M47" s="15">
        <f>Tabla8[[#This Row],[Costo Variable]]+Tabla8[[#This Row],[Costo fijo]]</f>
        <v>43697.964168532126</v>
      </c>
      <c r="N47" s="15">
        <f>Tabla8[[#This Row],[Costo Total]]*Tabla8[[#This Row],[Numero de Transportes]]</f>
        <v>43697.964168532126</v>
      </c>
      <c r="O47" s="15">
        <f>(Tabla8[[#This Row],[VLR. Transporte unitario]]-Tabla8[[#This Row],[Costo Total]])*Tabla8[[#This Row],[Numero de Transportes]]</f>
        <v>-28697.964168532126</v>
      </c>
      <c r="P47" s="15">
        <f>Tabla8[[#This Row],[Margen de productos]]+Tabla8[[#This Row],[Ganancia/Perdida]]</f>
        <v>28302.035831467874</v>
      </c>
      <c r="Q47" s="144">
        <f>(Tabla8[[#This Row],[Margen ]]/Tabla8[[#This Row],[Margen de productos]])-1</f>
        <v>-0.50347305558828293</v>
      </c>
    </row>
    <row r="48" spans="1:17" ht="15" thickBot="1" x14ac:dyDescent="0.35">
      <c r="A48" s="3">
        <v>58947</v>
      </c>
      <c r="B48" s="3" t="str">
        <f>_xlfn.XLOOKUP(Tabla8[[#This Row],[N° FACTURA]],Tabla3[N° FACTURA],Tabla3[Corregimiento],"NA")</f>
        <v>El Carmen</v>
      </c>
      <c r="C48" s="3" t="str">
        <f>_xlfn.XLOOKUP(Tabla8[[#This Row],[N° FACTURA]],Tabla3[N° FACTURA],Tabla3[LUGAR ENVÍO],"NA")</f>
        <v>Altos del Carmen</v>
      </c>
      <c r="D48" s="167">
        <f>_xlfn.XLOOKUP(Tabla8[[#This Row],[N° FACTURA]],Tabla3[N° FACTURA],Tabla3[DISTANCIA (km)],"NA")</f>
        <v>5.4639999999999986</v>
      </c>
      <c r="E48" s="3">
        <f>_xlfn.XLOOKUP(Tabla8[[#This Row],[N° FACTURA]],Tabla3[N° FACTURA],Tabla3[Numero de Transportes],"NA")</f>
        <v>1</v>
      </c>
      <c r="F48" s="15">
        <f>_xlfn.XLOOKUP(Tabla8[[#This Row],[N° FACTURA]],Tabla3[N° FACTURA],Tabla3[VLR. TRANSPORTE],"NA")</f>
        <v>50000</v>
      </c>
      <c r="G48" s="15">
        <f>Tabla8[[#This Row],[VLR. TRANSPORTE]]/Tabla8[[#This Row],[Numero de Transportes]]</f>
        <v>50000</v>
      </c>
      <c r="H48" s="15">
        <f>_xlfn.XLOOKUP(Tabla8[[#This Row],[N° FACTURA]],Tabla3[N° FACTURA],Tabla3[VLR. TOTAL FACT.],"NA")</f>
        <v>1130700</v>
      </c>
      <c r="I48" s="15">
        <f>Tabla8[[#This Row],[VLR. TOTAL FACT.]]-Tabla8[[#This Row],[VLR. TRANSPORTE]]</f>
        <v>1080700</v>
      </c>
      <c r="J48" s="140">
        <f>Tabla8[[#This Row],[VLR. PRODUCTOS]]*0.2</f>
        <v>216140</v>
      </c>
      <c r="K48" s="15">
        <f>'ABC COSTEO'!B$11</f>
        <v>40740.427791666669</v>
      </c>
      <c r="L48" s="15">
        <f>Tabla8[[#This Row],[DISTANCIA (km)]]*2*'ABC COSTEO'!B$21</f>
        <v>14866.585798705468</v>
      </c>
      <c r="M48" s="15">
        <f>Tabla8[[#This Row],[Costo Variable]]+Tabla8[[#This Row],[Costo fijo]]</f>
        <v>55607.013590372138</v>
      </c>
      <c r="N48" s="15">
        <f>Tabla8[[#This Row],[Costo Total]]*Tabla8[[#This Row],[Numero de Transportes]]</f>
        <v>55607.013590372138</v>
      </c>
      <c r="O48" s="15">
        <f>(Tabla8[[#This Row],[VLR. Transporte unitario]]-Tabla8[[#This Row],[Costo Total]])*Tabla8[[#This Row],[Numero de Transportes]]</f>
        <v>-5607.0135903721384</v>
      </c>
      <c r="P48" s="15">
        <f>Tabla8[[#This Row],[Margen de productos]]+Tabla8[[#This Row],[Ganancia/Perdida]]</f>
        <v>210532.98640962786</v>
      </c>
      <c r="Q48" s="144">
        <f>(Tabla8[[#This Row],[Margen ]]/Tabla8[[#This Row],[Margen de productos]])-1</f>
        <v>-2.5941582263218965E-2</v>
      </c>
    </row>
    <row r="49" spans="1:17" ht="15" thickBot="1" x14ac:dyDescent="0.35">
      <c r="A49" s="186">
        <v>54793</v>
      </c>
      <c r="B49" s="3" t="str">
        <f>_xlfn.XLOOKUP(Tabla8[[#This Row],[N° FACTURA]],Tabla3[N° FACTURA],Tabla3[Corregimiento],"NA")</f>
        <v>El Carmen</v>
      </c>
      <c r="C49" s="3" t="str">
        <f>_xlfn.XLOOKUP(Tabla8[[#This Row],[N° FACTURA]],Tabla3[N° FACTURA],Tabla3[LUGAR ENVÍO],"NA")</f>
        <v>Altos del Carmen</v>
      </c>
      <c r="D49" s="167">
        <f>_xlfn.XLOOKUP(Tabla8[[#This Row],[N° FACTURA]],Tabla3[N° FACTURA],Tabla3[DISTANCIA (km)],"NA")</f>
        <v>5.4639999999999986</v>
      </c>
      <c r="E49" s="3">
        <f>_xlfn.XLOOKUP(Tabla8[[#This Row],[N° FACTURA]],Tabla3[N° FACTURA],Tabla3[Numero de Transportes],"NA")</f>
        <v>1</v>
      </c>
      <c r="F49" s="15">
        <f>_xlfn.XLOOKUP(Tabla8[[#This Row],[N° FACTURA]],Tabla3[N° FACTURA],Tabla3[VLR. TRANSPORTE],"NA")</f>
        <v>60000</v>
      </c>
      <c r="G49" s="15">
        <f>Tabla8[[#This Row],[VLR. TRANSPORTE]]/Tabla8[[#This Row],[Numero de Transportes]]</f>
        <v>60000</v>
      </c>
      <c r="H49" s="15">
        <f>_xlfn.XLOOKUP(Tabla8[[#This Row],[N° FACTURA]],Tabla3[N° FACTURA],Tabla3[VLR. TOTAL FACT.],"NA")</f>
        <v>899500</v>
      </c>
      <c r="I49" s="15">
        <f>Tabla8[[#This Row],[VLR. TOTAL FACT.]]-Tabla8[[#This Row],[VLR. TRANSPORTE]]</f>
        <v>839500</v>
      </c>
      <c r="J49" s="140">
        <f>Tabla8[[#This Row],[VLR. PRODUCTOS]]*0.2</f>
        <v>167900</v>
      </c>
      <c r="K49" s="15">
        <f>'ABC COSTEO'!B$11</f>
        <v>40740.427791666669</v>
      </c>
      <c r="L49" s="15">
        <f>Tabla8[[#This Row],[DISTANCIA (km)]]*2*'ABC COSTEO'!B$21</f>
        <v>14866.585798705468</v>
      </c>
      <c r="M49" s="15">
        <f>Tabla8[[#This Row],[Costo Variable]]+Tabla8[[#This Row],[Costo fijo]]</f>
        <v>55607.013590372138</v>
      </c>
      <c r="N49" s="15">
        <f>Tabla8[[#This Row],[Costo Total]]*Tabla8[[#This Row],[Numero de Transportes]]</f>
        <v>55607.013590372138</v>
      </c>
      <c r="O49" s="15">
        <f>(Tabla8[[#This Row],[VLR. Transporte unitario]]-Tabla8[[#This Row],[Costo Total]])*Tabla8[[#This Row],[Numero de Transportes]]</f>
        <v>4392.9864096278616</v>
      </c>
      <c r="P49" s="15">
        <f>Tabla8[[#This Row],[Margen de productos]]+Tabla8[[#This Row],[Ganancia/Perdida]]</f>
        <v>172292.98640962786</v>
      </c>
      <c r="Q49" s="144">
        <f>(Tabla8[[#This Row],[Margen ]]/Tabla8[[#This Row],[Margen de productos]])-1</f>
        <v>2.6164302618391089E-2</v>
      </c>
    </row>
    <row r="50" spans="1:17" ht="15" thickBot="1" x14ac:dyDescent="0.35">
      <c r="A50" s="3">
        <v>48280</v>
      </c>
      <c r="B50" s="3" t="str">
        <f>_xlfn.XLOOKUP(Tabla8[[#This Row],[N° FACTURA]],Tabla3[N° FACTURA],Tabla3[Corregimiento],"NA")</f>
        <v>El Carmen</v>
      </c>
      <c r="C50" s="3" t="str">
        <f>_xlfn.XLOOKUP(Tabla8[[#This Row],[N° FACTURA]],Tabla3[N° FACTURA],Tabla3[LUGAR ENVÍO],"NA")</f>
        <v>Tortolas</v>
      </c>
      <c r="D50" s="167">
        <f>_xlfn.XLOOKUP(Tabla8[[#This Row],[N° FACTURA]],Tabla3[N° FACTURA],Tabla3[DISTANCIA (km)],"NA")</f>
        <v>5.7570000000000006</v>
      </c>
      <c r="E50" s="3">
        <f>_xlfn.XLOOKUP(Tabla8[[#This Row],[N° FACTURA]],Tabla3[N° FACTURA],Tabla3[Numero de Transportes],"NA")</f>
        <v>1</v>
      </c>
      <c r="F50" s="15">
        <f>_xlfn.XLOOKUP(Tabla8[[#This Row],[N° FACTURA]],Tabla3[N° FACTURA],Tabla3[VLR. TRANSPORTE],"NA")</f>
        <v>30000</v>
      </c>
      <c r="G50" s="15">
        <f>Tabla8[[#This Row],[VLR. TRANSPORTE]]/Tabla8[[#This Row],[Numero de Transportes]]</f>
        <v>30000</v>
      </c>
      <c r="H50" s="15">
        <f>_xlfn.XLOOKUP(Tabla8[[#This Row],[N° FACTURA]],Tabla3[N° FACTURA],Tabla3[VLR. TOTAL FACT.],"NA")</f>
        <v>575700</v>
      </c>
      <c r="I50" s="15">
        <f>Tabla8[[#This Row],[VLR. TOTAL FACT.]]-Tabla8[[#This Row],[VLR. TRANSPORTE]]</f>
        <v>545700</v>
      </c>
      <c r="J50" s="140">
        <f>Tabla8[[#This Row],[VLR. PRODUCTOS]]*0.2</f>
        <v>109140</v>
      </c>
      <c r="K50" s="15">
        <f>'ABC COSTEO'!B$11</f>
        <v>40740.427791666669</v>
      </c>
      <c r="L50" s="15">
        <f>Tabla8[[#This Row],[DISTANCIA (km)]]*2*'ABC COSTEO'!B$21</f>
        <v>15663.787416388619</v>
      </c>
      <c r="M50" s="15">
        <f>Tabla8[[#This Row],[Costo Variable]]+Tabla8[[#This Row],[Costo fijo]]</f>
        <v>56404.215208055291</v>
      </c>
      <c r="N50" s="15">
        <f>Tabla8[[#This Row],[Costo Total]]*Tabla8[[#This Row],[Numero de Transportes]]</f>
        <v>56404.215208055291</v>
      </c>
      <c r="O50" s="15">
        <f>(Tabla8[[#This Row],[VLR. Transporte unitario]]-Tabla8[[#This Row],[Costo Total]])*Tabla8[[#This Row],[Numero de Transportes]]</f>
        <v>-26404.215208055291</v>
      </c>
      <c r="P50" s="15">
        <f>Tabla8[[#This Row],[Margen de productos]]+Tabla8[[#This Row],[Ganancia/Perdida]]</f>
        <v>82735.784791944709</v>
      </c>
      <c r="Q50" s="144">
        <f>(Tabla8[[#This Row],[Margen ]]/Tabla8[[#This Row],[Margen de productos]])-1</f>
        <v>-0.24192977101021895</v>
      </c>
    </row>
    <row r="51" spans="1:17" ht="15" thickBot="1" x14ac:dyDescent="0.35">
      <c r="A51" s="12">
        <v>57923</v>
      </c>
      <c r="B51" s="3" t="str">
        <f>_xlfn.XLOOKUP(Tabla8[[#This Row],[N° FACTURA]],Tabla3[N° FACTURA],Tabla3[Corregimiento],"NA")</f>
        <v>Borrero Ayerbe</v>
      </c>
      <c r="C51" s="3" t="str">
        <f>_xlfn.XLOOKUP(Tabla8[[#This Row],[N° FACTURA]],Tabla3[N° FACTURA],Tabla3[LUGAR ENVÍO],"NA")</f>
        <v>La Zulia 1</v>
      </c>
      <c r="D51" s="167">
        <f>_xlfn.XLOOKUP(Tabla8[[#This Row],[N° FACTURA]],Tabla3[N° FACTURA],Tabla3[DISTANCIA (km)],"NA")</f>
        <v>0.94400000000000039</v>
      </c>
      <c r="E51" s="3">
        <f>_xlfn.XLOOKUP(Tabla8[[#This Row],[N° FACTURA]],Tabla3[N° FACTURA],Tabla3[Numero de Transportes],"NA")</f>
        <v>1</v>
      </c>
      <c r="F51" s="15">
        <f>_xlfn.XLOOKUP(Tabla8[[#This Row],[N° FACTURA]],Tabla3[N° FACTURA],Tabla3[VLR. TRANSPORTE],"NA")</f>
        <v>40000</v>
      </c>
      <c r="G51" s="15">
        <f>Tabla8[[#This Row],[VLR. TRANSPORTE]]/Tabla8[[#This Row],[Numero de Transportes]]</f>
        <v>40000</v>
      </c>
      <c r="H51" s="15">
        <f>_xlfn.XLOOKUP(Tabla8[[#This Row],[N° FACTURA]],Tabla3[N° FACTURA],Tabla3[VLR. TOTAL FACT.],"NA")</f>
        <v>341000</v>
      </c>
      <c r="I51" s="15">
        <f>Tabla8[[#This Row],[VLR. TOTAL FACT.]]-Tabla8[[#This Row],[VLR. TRANSPORTE]]</f>
        <v>301000</v>
      </c>
      <c r="J51" s="140">
        <f>Tabla8[[#This Row],[VLR. PRODUCTOS]]*0.2</f>
        <v>60200</v>
      </c>
      <c r="K51" s="15">
        <f>'ABC COSTEO'!B$11</f>
        <v>40740.427791666669</v>
      </c>
      <c r="L51" s="15">
        <f>Tabla8[[#This Row],[DISTANCIA (km)]]*2*'ABC COSTEO'!B$21</f>
        <v>2568.458454241942</v>
      </c>
      <c r="M51" s="15">
        <f>Tabla8[[#This Row],[Costo Variable]]+Tabla8[[#This Row],[Costo fijo]]</f>
        <v>43308.886245908609</v>
      </c>
      <c r="N51" s="15">
        <f>Tabla8[[#This Row],[Costo Total]]*Tabla8[[#This Row],[Numero de Transportes]]</f>
        <v>43308.886245908609</v>
      </c>
      <c r="O51" s="15">
        <f>(Tabla8[[#This Row],[VLR. Transporte unitario]]-Tabla8[[#This Row],[Costo Total]])*Tabla8[[#This Row],[Numero de Transportes]]</f>
        <v>-3308.8862459086085</v>
      </c>
      <c r="P51" s="15">
        <f>Tabla8[[#This Row],[Margen de productos]]+Tabla8[[#This Row],[Ganancia/Perdida]]</f>
        <v>56891.113754091391</v>
      </c>
      <c r="Q51" s="144">
        <f>(Tabla8[[#This Row],[Margen ]]/Tabla8[[#This Row],[Margen de productos]])-1</f>
        <v>-5.4964887805790785E-2</v>
      </c>
    </row>
    <row r="52" spans="1:17" ht="15" thickBot="1" x14ac:dyDescent="0.35">
      <c r="A52" s="3">
        <v>48616</v>
      </c>
      <c r="B52" s="3" t="str">
        <f>_xlfn.XLOOKUP(Tabla8[[#This Row],[N° FACTURA]],Tabla3[N° FACTURA],Tabla3[Corregimiento],"NA")</f>
        <v>El Limonar</v>
      </c>
      <c r="C52" s="3" t="str">
        <f>_xlfn.XLOOKUP(Tabla8[[#This Row],[N° FACTURA]],Tabla3[N° FACTURA],Tabla3[LUGAR ENVÍO],"NA")</f>
        <v>palo alto</v>
      </c>
      <c r="D52" s="167">
        <f>_xlfn.XLOOKUP(Tabla8[[#This Row],[N° FACTURA]],Tabla3[N° FACTURA],Tabla3[DISTANCIA (km)],"NA")</f>
        <v>4.4759999999999982</v>
      </c>
      <c r="E52" s="3">
        <f>_xlfn.XLOOKUP(Tabla8[[#This Row],[N° FACTURA]],Tabla3[N° FACTURA],Tabla3[Numero de Transportes],"NA")</f>
        <v>1</v>
      </c>
      <c r="F52" s="15">
        <f>_xlfn.XLOOKUP(Tabla8[[#This Row],[N° FACTURA]],Tabla3[N° FACTURA],Tabla3[VLR. TRANSPORTE],"NA")</f>
        <v>70000</v>
      </c>
      <c r="G52" s="15">
        <f>Tabla8[[#This Row],[VLR. TRANSPORTE]]/Tabla8[[#This Row],[Numero de Transportes]]</f>
        <v>70000</v>
      </c>
      <c r="H52" s="15">
        <f>_xlfn.XLOOKUP(Tabla8[[#This Row],[N° FACTURA]],Tabla3[N° FACTURA],Tabla3[VLR. TOTAL FACT.],"NA")</f>
        <v>480300</v>
      </c>
      <c r="I52" s="96">
        <f>Tabla8[[#This Row],[VLR. TOTAL FACT.]]-Tabla8[[#This Row],[VLR. TRANSPORTE]]</f>
        <v>410300</v>
      </c>
      <c r="J52" s="140">
        <f>Tabla8[[#This Row],[VLR. PRODUCTOS]]*0.2</f>
        <v>82060</v>
      </c>
      <c r="K52" s="15">
        <f>'ABC COSTEO'!B$11</f>
        <v>40740.427791666669</v>
      </c>
      <c r="L52" s="15">
        <f>Tabla8[[#This Row],[DISTANCIA (km)]]*2*'ABC COSTEO'!B$21</f>
        <v>12178.411060579368</v>
      </c>
      <c r="M52" s="15">
        <f>Tabla8[[#This Row],[Costo Variable]]+Tabla8[[#This Row],[Costo fijo]]</f>
        <v>52918.838852246037</v>
      </c>
      <c r="N52" s="15">
        <f>Tabla8[[#This Row],[Costo Total]]*Tabla8[[#This Row],[Numero de Transportes]]</f>
        <v>52918.838852246037</v>
      </c>
      <c r="O52" s="15">
        <f>(Tabla8[[#This Row],[VLR. Transporte unitario]]-Tabla8[[#This Row],[Costo Total]])*Tabla8[[#This Row],[Numero de Transportes]]</f>
        <v>17081.161147753963</v>
      </c>
      <c r="P52" s="15">
        <f>Tabla8[[#This Row],[Margen de productos]]+Tabla8[[#This Row],[Ganancia/Perdida]]</f>
        <v>99141.16114775397</v>
      </c>
      <c r="Q52" s="144">
        <f>(Tabla8[[#This Row],[Margen ]]/Tabla8[[#This Row],[Margen de productos]])-1</f>
        <v>0.20815453506890047</v>
      </c>
    </row>
    <row r="53" spans="1:17" ht="15" thickBot="1" x14ac:dyDescent="0.35">
      <c r="A53" s="12">
        <v>47572</v>
      </c>
      <c r="B53" s="3" t="str">
        <f>_xlfn.XLOOKUP(Tabla8[[#This Row],[N° FACTURA]],Tabla3[N° FACTURA],Tabla3[Corregimiento],"NA")</f>
        <v>El Carmen</v>
      </c>
      <c r="C53" s="3" t="str">
        <f>_xlfn.XLOOKUP(Tabla8[[#This Row],[N° FACTURA]],Tabla3[N° FACTURA],Tabla3[LUGAR ENVÍO],"NA")</f>
        <v>Pirineos</v>
      </c>
      <c r="D53" s="167">
        <f>_xlfn.XLOOKUP(Tabla8[[#This Row],[N° FACTURA]],Tabla3[N° FACTURA],Tabla3[DISTANCIA (km)],"NA")</f>
        <v>2.6666500000000002</v>
      </c>
      <c r="E53" s="3">
        <f>_xlfn.XLOOKUP(Tabla8[[#This Row],[N° FACTURA]],Tabla3[N° FACTURA],Tabla3[Numero de Transportes],"NA")</f>
        <v>1</v>
      </c>
      <c r="F53" s="15">
        <f>_xlfn.XLOOKUP(Tabla8[[#This Row],[N° FACTURA]],Tabla3[N° FACTURA],Tabla3[VLR. TRANSPORTE],"NA")</f>
        <v>30000</v>
      </c>
      <c r="G53" s="15">
        <f>Tabla8[[#This Row],[VLR. TRANSPORTE]]/Tabla8[[#This Row],[Numero de Transportes]]</f>
        <v>30000</v>
      </c>
      <c r="H53" s="15">
        <f>_xlfn.XLOOKUP(Tabla8[[#This Row],[N° FACTURA]],Tabla3[N° FACTURA],Tabla3[VLR. TOTAL FACT.],"NA")</f>
        <v>164000</v>
      </c>
      <c r="I53" s="15">
        <f>Tabla8[[#This Row],[VLR. TOTAL FACT.]]-Tabla8[[#This Row],[VLR. TRANSPORTE]]</f>
        <v>134000</v>
      </c>
      <c r="J53" s="140">
        <f>Tabla8[[#This Row],[VLR. PRODUCTOS]]*0.2</f>
        <v>26800</v>
      </c>
      <c r="K53" s="15">
        <f>'ABC COSTEO'!B$11</f>
        <v>40740.427791666669</v>
      </c>
      <c r="L53" s="15">
        <f>Tabla8[[#This Row],[DISTANCIA (km)]]*2*'ABC COSTEO'!B$21</f>
        <v>7255.487009538424</v>
      </c>
      <c r="M53" s="15">
        <f>Tabla8[[#This Row],[Costo Variable]]+Tabla8[[#This Row],[Costo fijo]]</f>
        <v>47995.914801205094</v>
      </c>
      <c r="N53" s="15">
        <f>Tabla8[[#This Row],[Costo Total]]*Tabla8[[#This Row],[Numero de Transportes]]</f>
        <v>47995.914801205094</v>
      </c>
      <c r="O53" s="15">
        <f>(Tabla8[[#This Row],[VLR. Transporte unitario]]-Tabla8[[#This Row],[Costo Total]])*Tabla8[[#This Row],[Numero de Transportes]]</f>
        <v>-17995.914801205094</v>
      </c>
      <c r="P53" s="15">
        <f>Tabla8[[#This Row],[Margen de productos]]+Tabla8[[#This Row],[Ganancia/Perdida]]</f>
        <v>8804.0851987949063</v>
      </c>
      <c r="Q53" s="144">
        <f>(Tabla8[[#This Row],[Margen ]]/Tabla8[[#This Row],[Margen de productos]])-1</f>
        <v>-0.67148935825392142</v>
      </c>
    </row>
    <row r="54" spans="1:17" ht="15" thickBot="1" x14ac:dyDescent="0.35">
      <c r="A54" s="3">
        <v>46592</v>
      </c>
      <c r="B54" s="3" t="str">
        <f>_xlfn.XLOOKUP(Tabla8[[#This Row],[N° FACTURA]],Tabla3[N° FACTURA],Tabla3[Corregimiento],"NA")</f>
        <v>El Limonar</v>
      </c>
      <c r="C54" s="3" t="str">
        <f>_xlfn.XLOOKUP(Tabla8[[#This Row],[N° FACTURA]],Tabla3[N° FACTURA],Tabla3[LUGAR ENVÍO],"NA")</f>
        <v>San Fernando</v>
      </c>
      <c r="D54" s="167">
        <f>_xlfn.XLOOKUP(Tabla8[[#This Row],[N° FACTURA]],Tabla3[N° FACTURA],Tabla3[DISTANCIA (km)],"NA")</f>
        <v>7.6033179999999998</v>
      </c>
      <c r="E54" s="3">
        <f>_xlfn.XLOOKUP(Tabla8[[#This Row],[N° FACTURA]],Tabla3[N° FACTURA],Tabla3[Numero de Transportes],"NA")</f>
        <v>1</v>
      </c>
      <c r="F54" s="15">
        <f>_xlfn.XLOOKUP(Tabla8[[#This Row],[N° FACTURA]],Tabla3[N° FACTURA],Tabla3[VLR. TRANSPORTE],"NA")</f>
        <v>60000</v>
      </c>
      <c r="G54" s="15">
        <f>Tabla8[[#This Row],[VLR. TRANSPORTE]]/Tabla8[[#This Row],[Numero de Transportes]]</f>
        <v>60000</v>
      </c>
      <c r="H54" s="15">
        <f>_xlfn.XLOOKUP(Tabla8[[#This Row],[N° FACTURA]],Tabla3[N° FACTURA],Tabla3[VLR. TOTAL FACT.],"NA")</f>
        <v>846000</v>
      </c>
      <c r="I54" s="15">
        <f>Tabla8[[#This Row],[VLR. TOTAL FACT.]]-Tabla8[[#This Row],[VLR. TRANSPORTE]]</f>
        <v>786000</v>
      </c>
      <c r="J54" s="140">
        <f>Tabla8[[#This Row],[VLR. PRODUCTOS]]*0.2</f>
        <v>157200</v>
      </c>
      <c r="K54" s="15">
        <f>'ABC COSTEO'!B$11</f>
        <v>40740.427791666669</v>
      </c>
      <c r="L54" s="15">
        <f>Tabla8[[#This Row],[DISTANCIA (km)]]*2*'ABC COSTEO'!B$21</f>
        <v>20687.294912489328</v>
      </c>
      <c r="M54" s="15">
        <f>Tabla8[[#This Row],[Costo Variable]]+Tabla8[[#This Row],[Costo fijo]]</f>
        <v>61427.722704155996</v>
      </c>
      <c r="N54" s="15">
        <f>Tabla8[[#This Row],[Costo Total]]*Tabla8[[#This Row],[Numero de Transportes]]</f>
        <v>61427.722704155996</v>
      </c>
      <c r="O54" s="15">
        <f>(Tabla8[[#This Row],[VLR. Transporte unitario]]-Tabla8[[#This Row],[Costo Total]])*Tabla8[[#This Row],[Numero de Transportes]]</f>
        <v>-1427.7227041559963</v>
      </c>
      <c r="P54" s="15">
        <f>Tabla8[[#This Row],[Margen de productos]]+Tabla8[[#This Row],[Ganancia/Perdida]]</f>
        <v>155772.27729584399</v>
      </c>
      <c r="Q54" s="144">
        <f>(Tabla8[[#This Row],[Margen ]]/Tabla8[[#This Row],[Margen de productos]])-1</f>
        <v>-9.0822054971756438E-3</v>
      </c>
    </row>
    <row r="55" spans="1:17" ht="15" thickBot="1" x14ac:dyDescent="0.35">
      <c r="A55" s="169">
        <v>51992</v>
      </c>
      <c r="B55" s="3" t="str">
        <f>_xlfn.XLOOKUP(Tabla8[[#This Row],[N° FACTURA]],Tabla3[N° FACTURA],Tabla3[Corregimiento],"NA")</f>
        <v>Borrero Ayerbe</v>
      </c>
      <c r="C55" s="3" t="str">
        <f>_xlfn.XLOOKUP(Tabla8[[#This Row],[N° FACTURA]],Tabla3[N° FACTURA],Tabla3[LUGAR ENVÍO],"NA")</f>
        <v>San miguel</v>
      </c>
      <c r="D55" s="167">
        <f>_xlfn.XLOOKUP(Tabla8[[#This Row],[N° FACTURA]],Tabla3[N° FACTURA],Tabla3[DISTANCIA (km)],"NA")</f>
        <v>2.2689999999999992</v>
      </c>
      <c r="E55" s="3">
        <f>_xlfn.XLOOKUP(Tabla8[[#This Row],[N° FACTURA]],Tabla3[N° FACTURA],Tabla3[Numero de Transportes],"NA")</f>
        <v>1</v>
      </c>
      <c r="F55" s="15">
        <f>_xlfn.XLOOKUP(Tabla8[[#This Row],[N° FACTURA]],Tabla3[N° FACTURA],Tabla3[VLR. TRANSPORTE],"NA")</f>
        <v>80000</v>
      </c>
      <c r="G55" s="15">
        <f>Tabla8[[#This Row],[VLR. TRANSPORTE]]/Tabla8[[#This Row],[Numero de Transportes]]</f>
        <v>80000</v>
      </c>
      <c r="H55" s="15">
        <f>_xlfn.XLOOKUP(Tabla8[[#This Row],[N° FACTURA]],Tabla3[N° FACTURA],Tabla3[VLR. TOTAL FACT.],"NA")</f>
        <v>491200</v>
      </c>
      <c r="I55" s="15">
        <f>Tabla8[[#This Row],[VLR. TOTAL FACT.]]-Tabla8[[#This Row],[VLR. TRANSPORTE]]</f>
        <v>411200</v>
      </c>
      <c r="J55" s="140">
        <f>Tabla8[[#This Row],[VLR. PRODUCTOS]]*0.2</f>
        <v>82240</v>
      </c>
      <c r="K55" s="15">
        <f>'ABC COSTEO'!B$11</f>
        <v>40740.427791666669</v>
      </c>
      <c r="L55" s="15">
        <f>Tabla8[[#This Row],[DISTANCIA (km)]]*2*'ABC COSTEO'!B$21</f>
        <v>6173.5510939353408</v>
      </c>
      <c r="M55" s="15">
        <f>Tabla8[[#This Row],[Costo Variable]]+Tabla8[[#This Row],[Costo fijo]]</f>
        <v>46913.97888560201</v>
      </c>
      <c r="N55" s="15">
        <f>Tabla8[[#This Row],[Costo Total]]*Tabla8[[#This Row],[Numero de Transportes]]</f>
        <v>46913.97888560201</v>
      </c>
      <c r="O55" s="15">
        <f>(Tabla8[[#This Row],[VLR. Transporte unitario]]-Tabla8[[#This Row],[Costo Total]])*Tabla8[[#This Row],[Numero de Transportes]]</f>
        <v>33086.02111439799</v>
      </c>
      <c r="P55" s="15">
        <f>Tabla8[[#This Row],[Margen de productos]]+Tabla8[[#This Row],[Ganancia/Perdida]]</f>
        <v>115326.021114398</v>
      </c>
      <c r="Q55" s="144">
        <f>(Tabla8[[#This Row],[Margen ]]/Tabla8[[#This Row],[Margen de productos]])-1</f>
        <v>0.40231056802526743</v>
      </c>
    </row>
    <row r="56" spans="1:17" ht="27.6" thickBot="1" x14ac:dyDescent="0.35">
      <c r="A56" s="3">
        <v>46751</v>
      </c>
      <c r="B56" s="3" t="str">
        <f>_xlfn.XLOOKUP(Tabla8[[#This Row],[N° FACTURA]],Tabla3[N° FACTURA],Tabla3[Corregimiento],"NA")</f>
        <v>El Carmen</v>
      </c>
      <c r="C56" s="3" t="str">
        <f>_xlfn.XLOOKUP(Tabla8[[#This Row],[N° FACTURA]],Tabla3[N° FACTURA],Tabla3[LUGAR ENVÍO],"NA")</f>
        <v>Altos de las Tortolas</v>
      </c>
      <c r="D56" s="167">
        <f>_xlfn.XLOOKUP(Tabla8[[#This Row],[N° FACTURA]],Tabla3[N° FACTURA],Tabla3[DISTANCIA (km)],"NA")</f>
        <v>6.7240000000000002</v>
      </c>
      <c r="E56" s="3">
        <f>_xlfn.XLOOKUP(Tabla8[[#This Row],[N° FACTURA]],Tabla3[N° FACTURA],Tabla3[Numero de Transportes],"NA")</f>
        <v>1</v>
      </c>
      <c r="F56" s="15">
        <f>_xlfn.XLOOKUP(Tabla8[[#This Row],[N° FACTURA]],Tabla3[N° FACTURA],Tabla3[VLR. TRANSPORTE],"NA")</f>
        <v>60000</v>
      </c>
      <c r="G56" s="15">
        <f>Tabla8[[#This Row],[VLR. TRANSPORTE]]/Tabla8[[#This Row],[Numero de Transportes]]</f>
        <v>60000</v>
      </c>
      <c r="H56" s="15">
        <f>_xlfn.XLOOKUP(Tabla8[[#This Row],[N° FACTURA]],Tabla3[N° FACTURA],Tabla3[VLR. TOTAL FACT.],"NA")</f>
        <v>194200</v>
      </c>
      <c r="I56" s="15">
        <f>Tabla8[[#This Row],[VLR. TOTAL FACT.]]-Tabla8[[#This Row],[VLR. TRANSPORTE]]</f>
        <v>134200</v>
      </c>
      <c r="J56" s="140">
        <f>Tabla8[[#This Row],[VLR. PRODUCTOS]]*0.2</f>
        <v>26840</v>
      </c>
      <c r="K56" s="15">
        <f>'ABC COSTEO'!B$11</f>
        <v>40740.427791666669</v>
      </c>
      <c r="L56" s="15">
        <f>Tabla8[[#This Row],[DISTANCIA (km)]]*2*'ABC COSTEO'!B$21</f>
        <v>18294.824837206368</v>
      </c>
      <c r="M56" s="15">
        <f>Tabla8[[#This Row],[Costo Variable]]+Tabla8[[#This Row],[Costo fijo]]</f>
        <v>59035.252628873037</v>
      </c>
      <c r="N56" s="15">
        <f>Tabla8[[#This Row],[Costo Total]]*Tabla8[[#This Row],[Numero de Transportes]]</f>
        <v>59035.252628873037</v>
      </c>
      <c r="O56" s="15">
        <f>(Tabla8[[#This Row],[VLR. Transporte unitario]]-Tabla8[[#This Row],[Costo Total]])*Tabla8[[#This Row],[Numero de Transportes]]</f>
        <v>964.74737112696312</v>
      </c>
      <c r="P56" s="15">
        <f>Tabla8[[#This Row],[Margen de productos]]+Tabla8[[#This Row],[Ganancia/Perdida]]</f>
        <v>27804.747371126963</v>
      </c>
      <c r="Q56" s="144">
        <f>(Tabla8[[#This Row],[Margen ]]/Tabla8[[#This Row],[Margen de productos]])-1</f>
        <v>3.5944387895937568E-2</v>
      </c>
    </row>
    <row r="57" spans="1:17" ht="15" thickBot="1" x14ac:dyDescent="0.35">
      <c r="A57" s="12">
        <v>47035</v>
      </c>
      <c r="B57" s="3" t="str">
        <f>_xlfn.XLOOKUP(Tabla8[[#This Row],[N° FACTURA]],Tabla3[N° FACTURA],Tabla3[Corregimiento],"NA")</f>
        <v>El Carmen</v>
      </c>
      <c r="C57" s="3" t="str">
        <f>_xlfn.XLOOKUP(Tabla8[[#This Row],[N° FACTURA]],Tabla3[N° FACTURA],Tabla3[LUGAR ENVÍO],"NA")</f>
        <v>El Carmelo</v>
      </c>
      <c r="D57" s="167">
        <f>_xlfn.XLOOKUP(Tabla8[[#This Row],[N° FACTURA]],Tabla3[N° FACTURA],Tabla3[DISTANCIA (km)],"NA")</f>
        <v>6.1239999999999988</v>
      </c>
      <c r="E57" s="3">
        <f>_xlfn.XLOOKUP(Tabla8[[#This Row],[N° FACTURA]],Tabla3[N° FACTURA],Tabla3[Numero de Transportes],"NA")</f>
        <v>1</v>
      </c>
      <c r="F57" s="15">
        <f>_xlfn.XLOOKUP(Tabla8[[#This Row],[N° FACTURA]],Tabla3[N° FACTURA],Tabla3[VLR. TRANSPORTE],"NA")</f>
        <v>50000</v>
      </c>
      <c r="G57" s="15">
        <f>Tabla8[[#This Row],[VLR. TRANSPORTE]]/Tabla8[[#This Row],[Numero de Transportes]]</f>
        <v>50000</v>
      </c>
      <c r="H57" s="15">
        <f>_xlfn.XLOOKUP(Tabla8[[#This Row],[N° FACTURA]],Tabla3[N° FACTURA],Tabla3[VLR. TOTAL FACT.],"NA")</f>
        <v>467000</v>
      </c>
      <c r="I57" s="15">
        <f>Tabla8[[#This Row],[VLR. TOTAL FACT.]]-Tabla8[[#This Row],[VLR. TRANSPORTE]]</f>
        <v>417000</v>
      </c>
      <c r="J57" s="140">
        <f>Tabla8[[#This Row],[VLR. PRODUCTOS]]*0.2</f>
        <v>83400</v>
      </c>
      <c r="K57" s="15">
        <f>'ABC COSTEO'!B$11</f>
        <v>40740.427791666669</v>
      </c>
      <c r="L57" s="15">
        <f>Tabla8[[#This Row],[DISTANCIA (km)]]*2*'ABC COSTEO'!B$21</f>
        <v>16662.330056967843</v>
      </c>
      <c r="M57" s="15">
        <f>Tabla8[[#This Row],[Costo Variable]]+Tabla8[[#This Row],[Costo fijo]]</f>
        <v>57402.757848634516</v>
      </c>
      <c r="N57" s="15">
        <f>Tabla8[[#This Row],[Costo Total]]*Tabla8[[#This Row],[Numero de Transportes]]</f>
        <v>57402.757848634516</v>
      </c>
      <c r="O57" s="15">
        <f>(Tabla8[[#This Row],[VLR. Transporte unitario]]-Tabla8[[#This Row],[Costo Total]])*Tabla8[[#This Row],[Numero de Transportes]]</f>
        <v>-7402.7578486345155</v>
      </c>
      <c r="P57" s="15">
        <f>Tabla8[[#This Row],[Margen de productos]]+Tabla8[[#This Row],[Ganancia/Perdida]]</f>
        <v>75997.242151365484</v>
      </c>
      <c r="Q57" s="144">
        <f>(Tabla8[[#This Row],[Margen ]]/Tabla8[[#This Row],[Margen de productos]])-1</f>
        <v>-8.8762084516001427E-2</v>
      </c>
    </row>
    <row r="58" spans="1:17" ht="15" thickBot="1" x14ac:dyDescent="0.35">
      <c r="A58" s="147">
        <v>53676</v>
      </c>
      <c r="B58" s="3" t="str">
        <f>_xlfn.XLOOKUP(Tabla8[[#This Row],[N° FACTURA]],Tabla3[N° FACTURA],Tabla3[Corregimiento],"NA")</f>
        <v>Borrero Ayerbe</v>
      </c>
      <c r="C58" s="3" t="str">
        <f>_xlfn.XLOOKUP(Tabla8[[#This Row],[N° FACTURA]],Tabla3[N° FACTURA],Tabla3[LUGAR ENVÍO],"NA")</f>
        <v>KM 26</v>
      </c>
      <c r="D58" s="167">
        <f>_xlfn.XLOOKUP(Tabla8[[#This Row],[N° FACTURA]],Tabla3[N° FACTURA],Tabla3[DISTANCIA (km)],"NA")</f>
        <v>5.3780000000000001</v>
      </c>
      <c r="E58" s="3">
        <f>_xlfn.XLOOKUP(Tabla8[[#This Row],[N° FACTURA]],Tabla3[N° FACTURA],Tabla3[Numero de Transportes],"NA")</f>
        <v>1</v>
      </c>
      <c r="F58" s="15">
        <f>_xlfn.XLOOKUP(Tabla8[[#This Row],[N° FACTURA]],Tabla3[N° FACTURA],Tabla3[VLR. TRANSPORTE],"NA")</f>
        <v>30000</v>
      </c>
      <c r="G58" s="15">
        <f>Tabla8[[#This Row],[VLR. TRANSPORTE]]/Tabla8[[#This Row],[Numero de Transportes]]</f>
        <v>30000</v>
      </c>
      <c r="H58" s="15">
        <f>_xlfn.XLOOKUP(Tabla8[[#This Row],[N° FACTURA]],Tabla3[N° FACTURA],Tabla3[VLR. TOTAL FACT.],"NA")</f>
        <v>802500</v>
      </c>
      <c r="I58" s="15">
        <f>Tabla8[[#This Row],[VLR. TOTAL FACT.]]-Tabla8[[#This Row],[VLR. TRANSPORTE]]</f>
        <v>772500</v>
      </c>
      <c r="J58" s="140">
        <f>Tabla8[[#This Row],[VLR. PRODUCTOS]]*0.2</f>
        <v>154500</v>
      </c>
      <c r="K58" s="15">
        <f>'ABC COSTEO'!B$11</f>
        <v>40740.427791666669</v>
      </c>
      <c r="L58" s="15">
        <f>Tabla8[[#This Row],[DISTANCIA (km)]]*2*'ABC COSTEO'!B$21</f>
        <v>14632.594880204617</v>
      </c>
      <c r="M58" s="15">
        <f>Tabla8[[#This Row],[Costo Variable]]+Tabla8[[#This Row],[Costo fijo]]</f>
        <v>55373.022671871287</v>
      </c>
      <c r="N58" s="15">
        <f>Tabla8[[#This Row],[Costo Total]]*Tabla8[[#This Row],[Numero de Transportes]]</f>
        <v>55373.022671871287</v>
      </c>
      <c r="O58" s="15">
        <f>(Tabla8[[#This Row],[VLR. Transporte unitario]]-Tabla8[[#This Row],[Costo Total]])*Tabla8[[#This Row],[Numero de Transportes]]</f>
        <v>-25373.022671871287</v>
      </c>
      <c r="P58" s="15">
        <f>Tabla8[[#This Row],[Margen de productos]]+Tabla8[[#This Row],[Ganancia/Perdida]]</f>
        <v>129126.97732812871</v>
      </c>
      <c r="Q58" s="144">
        <f>(Tabla8[[#This Row],[Margen ]]/Tabla8[[#This Row],[Margen de productos]])-1</f>
        <v>-0.16422668396033202</v>
      </c>
    </row>
    <row r="59" spans="1:17" ht="15" thickBot="1" x14ac:dyDescent="0.35">
      <c r="A59" s="12">
        <v>47292</v>
      </c>
      <c r="B59" s="3" t="str">
        <f>_xlfn.XLOOKUP(Tabla8[[#This Row],[N° FACTURA]],Tabla3[N° FACTURA],Tabla3[Corregimiento],"NA")</f>
        <v>El Carmen</v>
      </c>
      <c r="C59" s="3" t="str">
        <f>_xlfn.XLOOKUP(Tabla8[[#This Row],[N° FACTURA]],Tabla3[N° FACTURA],Tabla3[LUGAR ENVÍO],"NA")</f>
        <v>Pirineos</v>
      </c>
      <c r="D59" s="167">
        <f>_xlfn.XLOOKUP(Tabla8[[#This Row],[N° FACTURA]],Tabla3[N° FACTURA],Tabla3[DISTANCIA (km)],"NA")</f>
        <v>2.6666500000000002</v>
      </c>
      <c r="E59" s="3">
        <f>_xlfn.XLOOKUP(Tabla8[[#This Row],[N° FACTURA]],Tabla3[N° FACTURA],Tabla3[Numero de Transportes],"NA")</f>
        <v>1</v>
      </c>
      <c r="F59" s="15">
        <f>_xlfn.XLOOKUP(Tabla8[[#This Row],[N° FACTURA]],Tabla3[N° FACTURA],Tabla3[VLR. TRANSPORTE],"NA")</f>
        <v>60000</v>
      </c>
      <c r="G59" s="15">
        <f>Tabla8[[#This Row],[VLR. TRANSPORTE]]/Tabla8[[#This Row],[Numero de Transportes]]</f>
        <v>60000</v>
      </c>
      <c r="H59" s="15">
        <f>_xlfn.XLOOKUP(Tabla8[[#This Row],[N° FACTURA]],Tabla3[N° FACTURA],Tabla3[VLR. TOTAL FACT.],"NA")</f>
        <v>736800</v>
      </c>
      <c r="I59" s="15">
        <f>Tabla8[[#This Row],[VLR. TOTAL FACT.]]-Tabla8[[#This Row],[VLR. TRANSPORTE]]</f>
        <v>676800</v>
      </c>
      <c r="J59" s="140">
        <f>Tabla8[[#This Row],[VLR. PRODUCTOS]]*0.2</f>
        <v>135360</v>
      </c>
      <c r="K59" s="15">
        <f>'ABC COSTEO'!B$11</f>
        <v>40740.427791666669</v>
      </c>
      <c r="L59" s="15">
        <f>Tabla8[[#This Row],[DISTANCIA (km)]]*2*'ABC COSTEO'!B$21</f>
        <v>7255.487009538424</v>
      </c>
      <c r="M59" s="15">
        <f>Tabla8[[#This Row],[Costo Variable]]+Tabla8[[#This Row],[Costo fijo]]</f>
        <v>47995.914801205094</v>
      </c>
      <c r="N59" s="15">
        <f>Tabla8[[#This Row],[Costo Total]]*Tabla8[[#This Row],[Numero de Transportes]]</f>
        <v>47995.914801205094</v>
      </c>
      <c r="O59" s="15">
        <f>(Tabla8[[#This Row],[VLR. Transporte unitario]]-Tabla8[[#This Row],[Costo Total]])*Tabla8[[#This Row],[Numero de Transportes]]</f>
        <v>12004.085198794906</v>
      </c>
      <c r="P59" s="15">
        <f>Tabla8[[#This Row],[Margen de productos]]+Tabla8[[#This Row],[Ganancia/Perdida]]</f>
        <v>147364.0851987949</v>
      </c>
      <c r="Q59" s="144">
        <f>(Tabla8[[#This Row],[Margen ]]/Tabla8[[#This Row],[Margen de productos]])-1</f>
        <v>8.8682662520647826E-2</v>
      </c>
    </row>
    <row r="60" spans="1:17" ht="15" thickBot="1" x14ac:dyDescent="0.35">
      <c r="A60" s="146">
        <v>48504</v>
      </c>
      <c r="B60" s="3" t="str">
        <f>_xlfn.XLOOKUP(Tabla8[[#This Row],[N° FACTURA]],Tabla3[N° FACTURA],Tabla3[Corregimiento],"NA")</f>
        <v>El Carmen</v>
      </c>
      <c r="C60" s="3" t="str">
        <f>_xlfn.XLOOKUP(Tabla8[[#This Row],[N° FACTURA]],Tabla3[N° FACTURA],Tabla3[LUGAR ENVÍO],"NA")</f>
        <v>El Carmelo</v>
      </c>
      <c r="D60" s="167">
        <f>_xlfn.XLOOKUP(Tabla8[[#This Row],[N° FACTURA]],Tabla3[N° FACTURA],Tabla3[DISTANCIA (km)],"NA")</f>
        <v>6.1239999999999988</v>
      </c>
      <c r="E60" s="3">
        <f>_xlfn.XLOOKUP(Tabla8[[#This Row],[N° FACTURA]],Tabla3[N° FACTURA],Tabla3[Numero de Transportes],"NA")</f>
        <v>1</v>
      </c>
      <c r="F60" s="15">
        <f>_xlfn.XLOOKUP(Tabla8[[#This Row],[N° FACTURA]],Tabla3[N° FACTURA],Tabla3[VLR. TRANSPORTE],"NA")</f>
        <v>50000</v>
      </c>
      <c r="G60" s="15">
        <f>Tabla8[[#This Row],[VLR. TRANSPORTE]]/Tabla8[[#This Row],[Numero de Transportes]]</f>
        <v>50000</v>
      </c>
      <c r="H60" s="15">
        <f>_xlfn.XLOOKUP(Tabla8[[#This Row],[N° FACTURA]],Tabla3[N° FACTURA],Tabla3[VLR. TOTAL FACT.],"NA")</f>
        <v>352500</v>
      </c>
      <c r="I60" s="15">
        <f>Tabla8[[#This Row],[VLR. TOTAL FACT.]]-Tabla8[[#This Row],[VLR. TRANSPORTE]]</f>
        <v>302500</v>
      </c>
      <c r="J60" s="140">
        <f>Tabla8[[#This Row],[VLR. PRODUCTOS]]*0.2</f>
        <v>60500</v>
      </c>
      <c r="K60" s="15">
        <f>'ABC COSTEO'!B$11</f>
        <v>40740.427791666669</v>
      </c>
      <c r="L60" s="15">
        <f>Tabla8[[#This Row],[DISTANCIA (km)]]*2*'ABC COSTEO'!B$21</f>
        <v>16662.330056967843</v>
      </c>
      <c r="M60" s="15">
        <f>Tabla8[[#This Row],[Costo Variable]]+Tabla8[[#This Row],[Costo fijo]]</f>
        <v>57402.757848634516</v>
      </c>
      <c r="N60" s="15">
        <f>Tabla8[[#This Row],[Costo Total]]*Tabla8[[#This Row],[Numero de Transportes]]</f>
        <v>57402.757848634516</v>
      </c>
      <c r="O60" s="15">
        <f>(Tabla8[[#This Row],[VLR. Transporte unitario]]-Tabla8[[#This Row],[Costo Total]])*Tabla8[[#This Row],[Numero de Transportes]]</f>
        <v>-7402.7578486345155</v>
      </c>
      <c r="P60" s="15">
        <f>Tabla8[[#This Row],[Margen de productos]]+Tabla8[[#This Row],[Ganancia/Perdida]]</f>
        <v>53097.242151365484</v>
      </c>
      <c r="Q60" s="144">
        <f>(Tabla8[[#This Row],[Margen ]]/Tabla8[[#This Row],[Margen de productos]])-1</f>
        <v>-0.12235963386172755</v>
      </c>
    </row>
    <row r="61" spans="1:17" ht="15" thickBot="1" x14ac:dyDescent="0.35">
      <c r="A61" s="12">
        <v>46851</v>
      </c>
      <c r="B61" s="3" t="str">
        <f>_xlfn.XLOOKUP(Tabla8[[#This Row],[N° FACTURA]],Tabla3[N° FACTURA],Tabla3[Corregimiento],"NA")</f>
        <v>El Limonar</v>
      </c>
      <c r="C61" s="3" t="str">
        <f>_xlfn.XLOOKUP(Tabla8[[#This Row],[N° FACTURA]],Tabla3[N° FACTURA],Tabla3[LUGAR ENVÍO],"NA")</f>
        <v>El limonar</v>
      </c>
      <c r="D61" s="167">
        <f>_xlfn.XLOOKUP(Tabla8[[#This Row],[N° FACTURA]],Tabla3[N° FACTURA],Tabla3[DISTANCIA (km)],"NA")</f>
        <v>4.7129999999999992</v>
      </c>
      <c r="E61" s="3">
        <f>_xlfn.XLOOKUP(Tabla8[[#This Row],[N° FACTURA]],Tabla3[N° FACTURA],Tabla3[Numero de Transportes],"NA")</f>
        <v>1</v>
      </c>
      <c r="F61" s="15">
        <f>_xlfn.XLOOKUP(Tabla8[[#This Row],[N° FACTURA]],Tabla3[N° FACTURA],Tabla3[VLR. TRANSPORTE],"NA")</f>
        <v>15000</v>
      </c>
      <c r="G61" s="15">
        <f>Tabla8[[#This Row],[VLR. TRANSPORTE]]/Tabla8[[#This Row],[Numero de Transportes]]</f>
        <v>15000</v>
      </c>
      <c r="H61" s="15">
        <f>_xlfn.XLOOKUP(Tabla8[[#This Row],[N° FACTURA]],Tabla3[N° FACTURA],Tabla3[VLR. TOTAL FACT.],"NA")</f>
        <v>562000</v>
      </c>
      <c r="I61" s="96">
        <f>Tabla8[[#This Row],[VLR. TOTAL FACT.]]-Tabla8[[#This Row],[VLR. TRANSPORTE]]</f>
        <v>547000</v>
      </c>
      <c r="J61" s="140">
        <f>Tabla8[[#This Row],[VLR. PRODUCTOS]]*0.2</f>
        <v>109400</v>
      </c>
      <c r="K61" s="15">
        <f>'ABC COSTEO'!B$11</f>
        <v>40740.427791666669</v>
      </c>
      <c r="L61" s="15">
        <f>Tabla8[[#This Row],[DISTANCIA (km)]]*2*'ABC COSTEO'!B$21</f>
        <v>12823.246498773586</v>
      </c>
      <c r="M61" s="15">
        <f>Tabla8[[#This Row],[Costo Variable]]+Tabla8[[#This Row],[Costo fijo]]</f>
        <v>53563.674290440256</v>
      </c>
      <c r="N61" s="15">
        <f>Tabla8[[#This Row],[Costo Total]]*Tabla8[[#This Row],[Numero de Transportes]]</f>
        <v>53563.674290440256</v>
      </c>
      <c r="O61" s="15">
        <f>(Tabla8[[#This Row],[VLR. Transporte unitario]]-Tabla8[[#This Row],[Costo Total]])*Tabla8[[#This Row],[Numero de Transportes]]</f>
        <v>-38563.674290440256</v>
      </c>
      <c r="P61" s="15">
        <f>Tabla8[[#This Row],[Margen de productos]]+Tabla8[[#This Row],[Ganancia/Perdida]]</f>
        <v>70836.325709559751</v>
      </c>
      <c r="Q61" s="144">
        <f>(Tabla8[[#This Row],[Margen ]]/Tabla8[[#This Row],[Margen de productos]])-1</f>
        <v>-0.35250159314844831</v>
      </c>
    </row>
    <row r="62" spans="1:17" ht="27.6" thickBot="1" x14ac:dyDescent="0.35">
      <c r="A62" s="93">
        <v>48228</v>
      </c>
      <c r="B62" s="3" t="str">
        <f>_xlfn.XLOOKUP(Tabla8[[#This Row],[N° FACTURA]],Tabla3[N° FACTURA],Tabla3[Corregimiento],"NA")</f>
        <v>Borrero Ayerbe</v>
      </c>
      <c r="C62" s="3" t="str">
        <f>_xlfn.XLOOKUP(Tabla8[[#This Row],[N° FACTURA]],Tabla3[N° FACTURA],Tabla3[LUGAR ENVÍO],"NA")</f>
        <v xml:space="preserve">Parcelación Ambichinte </v>
      </c>
      <c r="D62" s="167">
        <f>_xlfn.XLOOKUP(Tabla8[[#This Row],[N° FACTURA]],Tabla3[N° FACTURA],Tabla3[DISTANCIA (km)],"NA")</f>
        <v>3.6839999999999993</v>
      </c>
      <c r="E62" s="3">
        <f>_xlfn.XLOOKUP(Tabla8[[#This Row],[N° FACTURA]],Tabla3[N° FACTURA],Tabla3[Numero de Transportes],"NA")</f>
        <v>1</v>
      </c>
      <c r="F62" s="15">
        <f>_xlfn.XLOOKUP(Tabla8[[#This Row],[N° FACTURA]],Tabla3[N° FACTURA],Tabla3[VLR. TRANSPORTE],"NA")</f>
        <v>40000</v>
      </c>
      <c r="G62" s="15">
        <f>Tabla8[[#This Row],[VLR. TRANSPORTE]]/Tabla8[[#This Row],[Numero de Transportes]]</f>
        <v>40000</v>
      </c>
      <c r="H62" s="15">
        <f>_xlfn.XLOOKUP(Tabla8[[#This Row],[N° FACTURA]],Tabla3[N° FACTURA],Tabla3[VLR. TOTAL FACT.],"NA")</f>
        <v>181500</v>
      </c>
      <c r="I62" s="15">
        <f>Tabla8[[#This Row],[VLR. TOTAL FACT.]]-Tabla8[[#This Row],[VLR. TRANSPORTE]]</f>
        <v>141500</v>
      </c>
      <c r="J62" s="140">
        <f>Tabla8[[#This Row],[VLR. PRODUCTOS]]*0.2</f>
        <v>28300</v>
      </c>
      <c r="K62" s="15">
        <f>'ABC COSTEO'!B$11</f>
        <v>40740.427791666669</v>
      </c>
      <c r="L62" s="15">
        <f>Tabla8[[#This Row],[DISTANCIA (km)]]*2*'ABC COSTEO'!B$21</f>
        <v>10023.517950664522</v>
      </c>
      <c r="M62" s="15">
        <f>Tabla8[[#This Row],[Costo Variable]]+Tabla8[[#This Row],[Costo fijo]]</f>
        <v>50763.945742331191</v>
      </c>
      <c r="N62" s="15">
        <f>Tabla8[[#This Row],[Costo Total]]*Tabla8[[#This Row],[Numero de Transportes]]</f>
        <v>50763.945742331191</v>
      </c>
      <c r="O62" s="15">
        <f>(Tabla8[[#This Row],[VLR. Transporte unitario]]-Tabla8[[#This Row],[Costo Total]])*Tabla8[[#This Row],[Numero de Transportes]]</f>
        <v>-10763.945742331191</v>
      </c>
      <c r="P62" s="15">
        <f>Tabla8[[#This Row],[Margen de productos]]+Tabla8[[#This Row],[Ganancia/Perdida]]</f>
        <v>17536.054257668809</v>
      </c>
      <c r="Q62" s="144">
        <f>(Tabla8[[#This Row],[Margen ]]/Tabla8[[#This Row],[Margen de productos]])-1</f>
        <v>-0.38035143965834595</v>
      </c>
    </row>
    <row r="63" spans="1:17" ht="15" thickBot="1" x14ac:dyDescent="0.35">
      <c r="A63" s="12">
        <v>58813</v>
      </c>
      <c r="B63" s="3" t="str">
        <f>_xlfn.XLOOKUP(Tabla8[[#This Row],[N° FACTURA]],Tabla3[N° FACTURA],Tabla3[Corregimiento],"NA")</f>
        <v>El Carmen</v>
      </c>
      <c r="C63" s="3" t="str">
        <f>_xlfn.XLOOKUP(Tabla8[[#This Row],[N° FACTURA]],Tabla3[N° FACTURA],Tabla3[LUGAR ENVÍO],"NA")</f>
        <v>Pirineos</v>
      </c>
      <c r="D63" s="167">
        <f>_xlfn.XLOOKUP(Tabla8[[#This Row],[N° FACTURA]],Tabla3[N° FACTURA],Tabla3[DISTANCIA (km)],"NA")</f>
        <v>2.6666500000000002</v>
      </c>
      <c r="E63" s="3">
        <f>_xlfn.XLOOKUP(Tabla8[[#This Row],[N° FACTURA]],Tabla3[N° FACTURA],Tabla3[Numero de Transportes],"NA")</f>
        <v>1</v>
      </c>
      <c r="F63" s="15">
        <f>_xlfn.XLOOKUP(Tabla8[[#This Row],[N° FACTURA]],Tabla3[N° FACTURA],Tabla3[VLR. TRANSPORTE],"NA")</f>
        <v>70000</v>
      </c>
      <c r="G63" s="15">
        <f>Tabla8[[#This Row],[VLR. TRANSPORTE]]/Tabla8[[#This Row],[Numero de Transportes]]</f>
        <v>70000</v>
      </c>
      <c r="H63" s="15">
        <f>_xlfn.XLOOKUP(Tabla8[[#This Row],[N° FACTURA]],Tabla3[N° FACTURA],Tabla3[VLR. TOTAL FACT.],"NA")</f>
        <v>621000</v>
      </c>
      <c r="I63" s="15">
        <f>Tabla8[[#This Row],[VLR. TOTAL FACT.]]-Tabla8[[#This Row],[VLR. TRANSPORTE]]</f>
        <v>551000</v>
      </c>
      <c r="J63" s="140">
        <f>Tabla8[[#This Row],[VLR. PRODUCTOS]]*0.2</f>
        <v>110200</v>
      </c>
      <c r="K63" s="15">
        <f>'ABC COSTEO'!B$11</f>
        <v>40740.427791666669</v>
      </c>
      <c r="L63" s="15">
        <f>Tabla8[[#This Row],[DISTANCIA (km)]]*2*'ABC COSTEO'!B$21</f>
        <v>7255.487009538424</v>
      </c>
      <c r="M63" s="15">
        <f>Tabla8[[#This Row],[Costo Variable]]+Tabla8[[#This Row],[Costo fijo]]</f>
        <v>47995.914801205094</v>
      </c>
      <c r="N63" s="15">
        <f>Tabla8[[#This Row],[Costo Total]]*Tabla8[[#This Row],[Numero de Transportes]]</f>
        <v>47995.914801205094</v>
      </c>
      <c r="O63" s="15">
        <f>(Tabla8[[#This Row],[VLR. Transporte unitario]]-Tabla8[[#This Row],[Costo Total]])*Tabla8[[#This Row],[Numero de Transportes]]</f>
        <v>22004.085198794906</v>
      </c>
      <c r="P63" s="15">
        <f>Tabla8[[#This Row],[Margen de productos]]+Tabla8[[#This Row],[Ganancia/Perdida]]</f>
        <v>132204.0851987949</v>
      </c>
      <c r="Q63" s="144">
        <f>(Tabla8[[#This Row],[Margen ]]/Tabla8[[#This Row],[Margen de productos]])-1</f>
        <v>0.19967409436293004</v>
      </c>
    </row>
    <row r="64" spans="1:17" ht="15" thickBot="1" x14ac:dyDescent="0.35">
      <c r="A64" s="147">
        <v>55784</v>
      </c>
      <c r="B64" s="3" t="str">
        <f>_xlfn.XLOOKUP(Tabla8[[#This Row],[N° FACTURA]],Tabla3[N° FACTURA],Tabla3[Corregimiento],"NA")</f>
        <v>El Limonar</v>
      </c>
      <c r="C64" s="3" t="str">
        <f>_xlfn.XLOOKUP(Tabla8[[#This Row],[N° FACTURA]],Tabla3[N° FACTURA],Tabla3[LUGAR ENVÍO],"NA")</f>
        <v>San Fernando</v>
      </c>
      <c r="D64" s="167">
        <f>_xlfn.XLOOKUP(Tabla8[[#This Row],[N° FACTURA]],Tabla3[N° FACTURA],Tabla3[DISTANCIA (km)],"NA")</f>
        <v>7.6033179999999998</v>
      </c>
      <c r="E64" s="3">
        <f>_xlfn.XLOOKUP(Tabla8[[#This Row],[N° FACTURA]],Tabla3[N° FACTURA],Tabla3[Numero de Transportes],"NA")</f>
        <v>1</v>
      </c>
      <c r="F64" s="15">
        <f>_xlfn.XLOOKUP(Tabla8[[#This Row],[N° FACTURA]],Tabla3[N° FACTURA],Tabla3[VLR. TRANSPORTE],"NA")</f>
        <v>70000</v>
      </c>
      <c r="G64" s="15">
        <f>Tabla8[[#This Row],[VLR. TRANSPORTE]]/Tabla8[[#This Row],[Numero de Transportes]]</f>
        <v>70000</v>
      </c>
      <c r="H64" s="15">
        <f>_xlfn.XLOOKUP(Tabla8[[#This Row],[N° FACTURA]],Tabla3[N° FACTURA],Tabla3[VLR. TOTAL FACT.],"NA")</f>
        <v>895600</v>
      </c>
      <c r="I64" s="15">
        <f>Tabla8[[#This Row],[VLR. TOTAL FACT.]]-Tabla8[[#This Row],[VLR. TRANSPORTE]]</f>
        <v>825600</v>
      </c>
      <c r="J64" s="140">
        <f>Tabla8[[#This Row],[VLR. PRODUCTOS]]*0.2</f>
        <v>165120</v>
      </c>
      <c r="K64" s="15">
        <f>'ABC COSTEO'!B$11</f>
        <v>40740.427791666669</v>
      </c>
      <c r="L64" s="15">
        <f>Tabla8[[#This Row],[DISTANCIA (km)]]*2*'ABC COSTEO'!B$21</f>
        <v>20687.294912489328</v>
      </c>
      <c r="M64" s="15">
        <f>Tabla8[[#This Row],[Costo Variable]]+Tabla8[[#This Row],[Costo fijo]]</f>
        <v>61427.722704155996</v>
      </c>
      <c r="N64" s="15">
        <f>Tabla8[[#This Row],[Costo Total]]*Tabla8[[#This Row],[Numero de Transportes]]</f>
        <v>61427.722704155996</v>
      </c>
      <c r="O64" s="15">
        <f>(Tabla8[[#This Row],[VLR. Transporte unitario]]-Tabla8[[#This Row],[Costo Total]])*Tabla8[[#This Row],[Numero de Transportes]]</f>
        <v>8572.2772958440037</v>
      </c>
      <c r="P64" s="15">
        <f>Tabla8[[#This Row],[Margen de productos]]+Tabla8[[#This Row],[Ganancia/Perdida]]</f>
        <v>173692.27729584399</v>
      </c>
      <c r="Q64" s="144">
        <f>(Tabla8[[#This Row],[Margen ]]/Tabla8[[#This Row],[Margen de productos]])-1</f>
        <v>5.1915439049442735E-2</v>
      </c>
    </row>
    <row r="65" spans="1:17" ht="27.6" thickBot="1" x14ac:dyDescent="0.35">
      <c r="A65" s="12">
        <v>58104</v>
      </c>
      <c r="B65" s="3" t="str">
        <f>_xlfn.XLOOKUP(Tabla8[[#This Row],[N° FACTURA]],Tabla3[N° FACTURA],Tabla3[Corregimiento],"NA")</f>
        <v>El Carmen</v>
      </c>
      <c r="C65" s="3" t="str">
        <f>_xlfn.XLOOKUP(Tabla8[[#This Row],[N° FACTURA]],Tabla3[N° FACTURA],Tabla3[LUGAR ENVÍO],"NA")</f>
        <v>Altos de las Tortolas</v>
      </c>
      <c r="D65" s="167">
        <f>_xlfn.XLOOKUP(Tabla8[[#This Row],[N° FACTURA]],Tabla3[N° FACTURA],Tabla3[DISTANCIA (km)],"NA")</f>
        <v>6.7240000000000002</v>
      </c>
      <c r="E65" s="3">
        <f>_xlfn.XLOOKUP(Tabla8[[#This Row],[N° FACTURA]],Tabla3[N° FACTURA],Tabla3[Numero de Transportes],"NA")</f>
        <v>1</v>
      </c>
      <c r="F65" s="15">
        <f>_xlfn.XLOOKUP(Tabla8[[#This Row],[N° FACTURA]],Tabla3[N° FACTURA],Tabla3[VLR. TRANSPORTE],"NA")</f>
        <v>70000</v>
      </c>
      <c r="G65" s="15">
        <f>Tabla8[[#This Row],[VLR. TRANSPORTE]]/Tabla8[[#This Row],[Numero de Transportes]]</f>
        <v>70000</v>
      </c>
      <c r="H65" s="15">
        <f>_xlfn.XLOOKUP(Tabla8[[#This Row],[N° FACTURA]],Tabla3[N° FACTURA],Tabla3[VLR. TOTAL FACT.],"NA")</f>
        <v>376000</v>
      </c>
      <c r="I65" s="15">
        <f>Tabla8[[#This Row],[VLR. TOTAL FACT.]]-Tabla8[[#This Row],[VLR. TRANSPORTE]]</f>
        <v>306000</v>
      </c>
      <c r="J65" s="140">
        <f>Tabla8[[#This Row],[VLR. PRODUCTOS]]*0.2</f>
        <v>61200</v>
      </c>
      <c r="K65" s="15">
        <f>'ABC COSTEO'!B$11</f>
        <v>40740.427791666669</v>
      </c>
      <c r="L65" s="15">
        <f>Tabla8[[#This Row],[DISTANCIA (km)]]*2*'ABC COSTEO'!B$21</f>
        <v>18294.824837206368</v>
      </c>
      <c r="M65" s="15">
        <f>Tabla8[[#This Row],[Costo Variable]]+Tabla8[[#This Row],[Costo fijo]]</f>
        <v>59035.252628873037</v>
      </c>
      <c r="N65" s="15">
        <f>Tabla8[[#This Row],[Costo Total]]*Tabla8[[#This Row],[Numero de Transportes]]</f>
        <v>59035.252628873037</v>
      </c>
      <c r="O65" s="15">
        <f>(Tabla8[[#This Row],[VLR. Transporte unitario]]-Tabla8[[#This Row],[Costo Total]])*Tabla8[[#This Row],[Numero de Transportes]]</f>
        <v>10964.747371126963</v>
      </c>
      <c r="P65" s="15">
        <f>Tabla8[[#This Row],[Margen de productos]]+Tabla8[[#This Row],[Ganancia/Perdida]]</f>
        <v>72164.747371126956</v>
      </c>
      <c r="Q65" s="144">
        <f>(Tabla8[[#This Row],[Margen ]]/Tabla8[[#This Row],[Margen de productos]])-1</f>
        <v>0.17916253874390442</v>
      </c>
    </row>
    <row r="66" spans="1:17" ht="15" thickBot="1" x14ac:dyDescent="0.35">
      <c r="A66" s="3">
        <v>30560</v>
      </c>
      <c r="B66" s="3" t="str">
        <f>_xlfn.XLOOKUP(Tabla8[[#This Row],[N° FACTURA]],Tabla3[N° FACTURA],Tabla3[Corregimiento],"NA")</f>
        <v>San Bernardo</v>
      </c>
      <c r="C66" s="3" t="str">
        <f>_xlfn.XLOOKUP(Tabla8[[#This Row],[N° FACTURA]],Tabla3[N° FACTURA],Tabla3[LUGAR ENVÍO],"NA")</f>
        <v>Tocota</v>
      </c>
      <c r="D66" s="167">
        <f>_xlfn.XLOOKUP(Tabla8[[#This Row],[N° FACTURA]],Tabla3[N° FACTURA],Tabla3[DISTANCIA (km)],"NA")</f>
        <v>9.4380000000000024</v>
      </c>
      <c r="E66" s="3">
        <f>_xlfn.XLOOKUP(Tabla8[[#This Row],[N° FACTURA]],Tabla3[N° FACTURA],Tabla3[Numero de Transportes],"NA")</f>
        <v>1</v>
      </c>
      <c r="F66" s="15">
        <f>_xlfn.XLOOKUP(Tabla8[[#This Row],[N° FACTURA]],Tabla3[N° FACTURA],Tabla3[VLR. TRANSPORTE],"NA")</f>
        <v>60000</v>
      </c>
      <c r="G66" s="15">
        <f>Tabla8[[#This Row],[VLR. TRANSPORTE]]/Tabla8[[#This Row],[Numero de Transportes]]</f>
        <v>60000</v>
      </c>
      <c r="H66" s="15">
        <f>_xlfn.XLOOKUP(Tabla8[[#This Row],[N° FACTURA]],Tabla3[N° FACTURA],Tabla3[VLR. TOTAL FACT.],"NA")</f>
        <v>1479500</v>
      </c>
      <c r="I66" s="15">
        <f>Tabla8[[#This Row],[VLR. TOTAL FACT.]]-Tabla8[[#This Row],[VLR. TRANSPORTE]]</f>
        <v>1419500</v>
      </c>
      <c r="J66" s="140">
        <f>Tabla8[[#This Row],[VLR. PRODUCTOS]]*0.2</f>
        <v>283900</v>
      </c>
      <c r="K66" s="15">
        <f>'ABC COSTEO'!B$11</f>
        <v>40740.427791666669</v>
      </c>
      <c r="L66" s="15">
        <f>Tabla8[[#This Row],[DISTANCIA (km)]]*2*'ABC COSTEO'!B$21</f>
        <v>25679.142893151955</v>
      </c>
      <c r="M66" s="15">
        <f>Tabla8[[#This Row],[Costo Variable]]+Tabla8[[#This Row],[Costo fijo]]</f>
        <v>66419.570684818624</v>
      </c>
      <c r="N66" s="15">
        <f>Tabla8[[#This Row],[Costo Total]]*Tabla8[[#This Row],[Numero de Transportes]]</f>
        <v>66419.570684818624</v>
      </c>
      <c r="O66" s="15">
        <f>(Tabla8[[#This Row],[VLR. Transporte unitario]]-Tabla8[[#This Row],[Costo Total]])*Tabla8[[#This Row],[Numero de Transportes]]</f>
        <v>-6419.5706848186237</v>
      </c>
      <c r="P66" s="15">
        <f>Tabla8[[#This Row],[Margen de productos]]+Tabla8[[#This Row],[Ganancia/Perdida]]</f>
        <v>277480.42931518139</v>
      </c>
      <c r="Q66" s="144">
        <f>(Tabla8[[#This Row],[Margen ]]/Tabla8[[#This Row],[Margen de productos]])-1</f>
        <v>-2.261208413109761E-2</v>
      </c>
    </row>
    <row r="67" spans="1:17" ht="15" thickBot="1" x14ac:dyDescent="0.35">
      <c r="A67" s="91">
        <v>48290</v>
      </c>
      <c r="B67" s="3" t="str">
        <f>_xlfn.XLOOKUP(Tabla8[[#This Row],[N° FACTURA]],Tabla3[N° FACTURA],Tabla3[Corregimiento],"NA")</f>
        <v>Borrero Ayerbe</v>
      </c>
      <c r="C67" s="3" t="str">
        <f>_xlfn.XLOOKUP(Tabla8[[#This Row],[N° FACTURA]],Tabla3[N° FACTURA],Tabla3[LUGAR ENVÍO],"NA")</f>
        <v>casa verde</v>
      </c>
      <c r="D67" s="167">
        <f>_xlfn.XLOOKUP(Tabla8[[#This Row],[N° FACTURA]],Tabla3[N° FACTURA],Tabla3[DISTANCIA (km)],"NA")</f>
        <v>4.6260000000000003</v>
      </c>
      <c r="E67" s="3">
        <f>_xlfn.XLOOKUP(Tabla8[[#This Row],[N° FACTURA]],Tabla3[N° FACTURA],Tabla3[Numero de Transportes],"NA")</f>
        <v>1</v>
      </c>
      <c r="F67" s="15">
        <f>_xlfn.XLOOKUP(Tabla8[[#This Row],[N° FACTURA]],Tabla3[N° FACTURA],Tabla3[VLR. TRANSPORTE],"NA")</f>
        <v>80000</v>
      </c>
      <c r="G67" s="15">
        <f>Tabla8[[#This Row],[VLR. TRANSPORTE]]/Tabla8[[#This Row],[Numero de Transportes]]</f>
        <v>80000</v>
      </c>
      <c r="H67" s="15">
        <f>_xlfn.XLOOKUP(Tabla8[[#This Row],[N° FACTURA]],Tabla3[N° FACTURA],Tabla3[VLR. TOTAL FACT.],"NA")</f>
        <v>386000</v>
      </c>
      <c r="I67" s="15">
        <f>Tabla8[[#This Row],[VLR. TOTAL FACT.]]-Tabla8[[#This Row],[VLR. TRANSPORTE]]</f>
        <v>306000</v>
      </c>
      <c r="J67" s="140">
        <f>Tabla8[[#This Row],[VLR. PRODUCTOS]]*0.2</f>
        <v>61200</v>
      </c>
      <c r="K67" s="15">
        <f>'ABC COSTEO'!B$11</f>
        <v>40740.427791666669</v>
      </c>
      <c r="L67" s="15">
        <f>Tabla8[[#This Row],[DISTANCIA (km)]]*2*'ABC COSTEO'!B$21</f>
        <v>12586.534755639004</v>
      </c>
      <c r="M67" s="15">
        <f>Tabla8[[#This Row],[Costo Variable]]+Tabla8[[#This Row],[Costo fijo]]</f>
        <v>53326.962547305673</v>
      </c>
      <c r="N67" s="15">
        <f>Tabla8[[#This Row],[Costo Total]]*Tabla8[[#This Row],[Numero de Transportes]]</f>
        <v>53326.962547305673</v>
      </c>
      <c r="O67" s="15">
        <f>(Tabla8[[#This Row],[VLR. Transporte unitario]]-Tabla8[[#This Row],[Costo Total]])*Tabla8[[#This Row],[Numero de Transportes]]</f>
        <v>26673.037452694327</v>
      </c>
      <c r="P67" s="15">
        <f>Tabla8[[#This Row],[Margen de productos]]+Tabla8[[#This Row],[Ganancia/Perdida]]</f>
        <v>87873.03745269432</v>
      </c>
      <c r="Q67" s="144">
        <f>(Tabla8[[#This Row],[Margen ]]/Tabla8[[#This Row],[Margen de productos]])-1</f>
        <v>0.43583394530546271</v>
      </c>
    </row>
    <row r="68" spans="1:17" ht="15" thickBot="1" x14ac:dyDescent="0.35">
      <c r="A68" s="3">
        <v>0</v>
      </c>
      <c r="B68" s="3" t="str">
        <f>_xlfn.XLOOKUP(Tabla8[[#This Row],[N° FACTURA]],Tabla3[N° FACTURA],Tabla3[Corregimiento],"NA")</f>
        <v>Borrero Ayerbe</v>
      </c>
      <c r="C68" s="3" t="str">
        <f>_xlfn.XLOOKUP(Tabla8[[#This Row],[N° FACTURA]],Tabla3[N° FACTURA],Tabla3[LUGAR ENVÍO],"NA")</f>
        <v>San Miguel</v>
      </c>
      <c r="D68" s="167">
        <f>_xlfn.XLOOKUP(Tabla8[[#This Row],[N° FACTURA]],Tabla3[N° FACTURA],Tabla3[DISTANCIA (km)],"NA")</f>
        <v>2.2689999999999992</v>
      </c>
      <c r="E68" s="3">
        <f>_xlfn.XLOOKUP(Tabla8[[#This Row],[N° FACTURA]],Tabla3[N° FACTURA],Tabla3[Numero de Transportes],"NA")</f>
        <v>1</v>
      </c>
      <c r="F68" s="15">
        <f>_xlfn.XLOOKUP(Tabla8[[#This Row],[N° FACTURA]],Tabla3[N° FACTURA],Tabla3[VLR. TRANSPORTE],"NA")</f>
        <v>70000</v>
      </c>
      <c r="G68" s="15">
        <f>Tabla8[[#This Row],[VLR. TRANSPORTE]]/Tabla8[[#This Row],[Numero de Transportes]]</f>
        <v>70000</v>
      </c>
      <c r="H68" s="15">
        <f>_xlfn.XLOOKUP(Tabla8[[#This Row],[N° FACTURA]],Tabla3[N° FACTURA],Tabla3[VLR. TOTAL FACT.],"NA")</f>
        <v>541100</v>
      </c>
      <c r="I68" s="15">
        <f>Tabla8[[#This Row],[VLR. TOTAL FACT.]]-Tabla8[[#This Row],[VLR. TRANSPORTE]]</f>
        <v>471100</v>
      </c>
      <c r="J68" s="140">
        <f>Tabla8[[#This Row],[VLR. PRODUCTOS]]*0.2</f>
        <v>94220</v>
      </c>
      <c r="K68" s="15">
        <f>'ABC COSTEO'!B$11</f>
        <v>40740.427791666669</v>
      </c>
      <c r="L68" s="15">
        <f>Tabla8[[#This Row],[DISTANCIA (km)]]*2*'ABC COSTEO'!B$21</f>
        <v>6173.5510939353408</v>
      </c>
      <c r="M68" s="15">
        <f>Tabla8[[#This Row],[Costo Variable]]+Tabla8[[#This Row],[Costo fijo]]</f>
        <v>46913.97888560201</v>
      </c>
      <c r="N68" s="15">
        <f>Tabla8[[#This Row],[Costo Total]]*Tabla8[[#This Row],[Numero de Transportes]]</f>
        <v>46913.97888560201</v>
      </c>
      <c r="O68" s="15">
        <f>(Tabla8[[#This Row],[VLR. Transporte unitario]]-Tabla8[[#This Row],[Costo Total]])*Tabla8[[#This Row],[Numero de Transportes]]</f>
        <v>23086.02111439799</v>
      </c>
      <c r="P68" s="15">
        <f>Tabla8[[#This Row],[Margen de productos]]+Tabla8[[#This Row],[Ganancia/Perdida]]</f>
        <v>117306.021114398</v>
      </c>
      <c r="Q68" s="144">
        <f>(Tabla8[[#This Row],[Margen ]]/Tabla8[[#This Row],[Margen de productos]])-1</f>
        <v>0.24502251235828898</v>
      </c>
    </row>
    <row r="69" spans="1:17" ht="27.6" thickBot="1" x14ac:dyDescent="0.35">
      <c r="A69" s="186">
        <v>50256</v>
      </c>
      <c r="B69" s="3" t="str">
        <f>_xlfn.XLOOKUP(Tabla8[[#This Row],[N° FACTURA]],Tabla3[N° FACTURA],Tabla3[Corregimiento],"NA")</f>
        <v>El Salado</v>
      </c>
      <c r="C69" s="3" t="str">
        <f>_xlfn.XLOOKUP(Tabla8[[#This Row],[N° FACTURA]],Tabla3[N° FACTURA],Tabla3[LUGAR ENVÍO],"NA")</f>
        <v>San Jose del Salado</v>
      </c>
      <c r="D69" s="167">
        <f>_xlfn.XLOOKUP(Tabla8[[#This Row],[N° FACTURA]],Tabla3[N° FACTURA],Tabla3[DISTANCIA (km)],"NA")</f>
        <v>13.07</v>
      </c>
      <c r="E69" s="3">
        <f>_xlfn.XLOOKUP(Tabla8[[#This Row],[N° FACTURA]],Tabla3[N° FACTURA],Tabla3[Numero de Transportes],"NA")</f>
        <v>2</v>
      </c>
      <c r="F69" s="15">
        <f>_xlfn.XLOOKUP(Tabla8[[#This Row],[N° FACTURA]],Tabla3[N° FACTURA],Tabla3[VLR. TRANSPORTE],"NA")</f>
        <v>80000</v>
      </c>
      <c r="G69" s="15">
        <f>Tabla8[[#This Row],[VLR. TRANSPORTE]]/Tabla8[[#This Row],[Numero de Transportes]]</f>
        <v>40000</v>
      </c>
      <c r="H69" s="15">
        <f>_xlfn.XLOOKUP(Tabla8[[#This Row],[N° FACTURA]],Tabla3[N° FACTURA],Tabla3[VLR. TOTAL FACT.],"NA")</f>
        <v>633400</v>
      </c>
      <c r="I69" s="15">
        <f>Tabla8[[#This Row],[VLR. TOTAL FACT.]]-Tabla8[[#This Row],[VLR. TRANSPORTE]]</f>
        <v>553400</v>
      </c>
      <c r="J69" s="140">
        <f>Tabla8[[#This Row],[VLR. PRODUCTOS]]*0.2</f>
        <v>110680</v>
      </c>
      <c r="K69" s="15">
        <f>'ABC COSTEO'!B$11</f>
        <v>40740.427791666669</v>
      </c>
      <c r="L69" s="15">
        <f>Tabla8[[#This Row],[DISTANCIA (km)]]*2*'ABC COSTEO'!B$21</f>
        <v>35561.177962862464</v>
      </c>
      <c r="M69" s="15">
        <f>Tabla8[[#This Row],[Costo Variable]]+Tabla8[[#This Row],[Costo fijo]]</f>
        <v>76301.605754529126</v>
      </c>
      <c r="N69" s="15">
        <f>Tabla8[[#This Row],[Costo Total]]*Tabla8[[#This Row],[Numero de Transportes]]</f>
        <v>152603.21150905825</v>
      </c>
      <c r="O69" s="15">
        <f>(Tabla8[[#This Row],[VLR. Transporte unitario]]-Tabla8[[#This Row],[Costo Total]])*Tabla8[[#This Row],[Numero de Transportes]]</f>
        <v>-72603.211509058252</v>
      </c>
      <c r="P69" s="15">
        <f>Tabla8[[#This Row],[Margen de productos]]+Tabla8[[#This Row],[Ganancia/Perdida]]</f>
        <v>38076.788490941748</v>
      </c>
      <c r="Q69" s="144">
        <f>(Tabla8[[#This Row],[Margen ]]/Tabla8[[#This Row],[Margen de productos]])-1</f>
        <v>-0.65597408302365601</v>
      </c>
    </row>
    <row r="70" spans="1:17" ht="27.6" thickBot="1" x14ac:dyDescent="0.35">
      <c r="A70" s="147">
        <v>52758</v>
      </c>
      <c r="B70" s="3" t="str">
        <f>_xlfn.XLOOKUP(Tabla8[[#This Row],[N° FACTURA]],Tabla3[N° FACTURA],Tabla3[Corregimiento],"NA")</f>
        <v>El Carmen</v>
      </c>
      <c r="C70" s="3" t="str">
        <f>_xlfn.XLOOKUP(Tabla8[[#This Row],[N° FACTURA]],Tabla3[N° FACTURA],Tabla3[LUGAR ENVÍO],"NA")</f>
        <v>Parcelacion la Cristalina</v>
      </c>
      <c r="D70" s="167">
        <f>_xlfn.XLOOKUP(Tabla8[[#This Row],[N° FACTURA]],Tabla3[N° FACTURA],Tabla3[DISTANCIA (km)],"NA")</f>
        <v>2.7099999999999986</v>
      </c>
      <c r="E70" s="3">
        <f>_xlfn.XLOOKUP(Tabla8[[#This Row],[N° FACTURA]],Tabla3[N° FACTURA],Tabla3[Numero de Transportes],"NA")</f>
        <v>1</v>
      </c>
      <c r="F70" s="15">
        <f>_xlfn.XLOOKUP(Tabla8[[#This Row],[N° FACTURA]],Tabla3[N° FACTURA],Tabla3[VLR. TRANSPORTE],"NA")</f>
        <v>40000</v>
      </c>
      <c r="G70" s="15">
        <f>Tabla8[[#This Row],[VLR. TRANSPORTE]]/Tabla8[[#This Row],[Numero de Transportes]]</f>
        <v>40000</v>
      </c>
      <c r="H70" s="15">
        <f>_xlfn.XLOOKUP(Tabla8[[#This Row],[N° FACTURA]],Tabla3[N° FACTURA],Tabla3[VLR. TOTAL FACT.],"NA")</f>
        <v>346100</v>
      </c>
      <c r="I70" s="15">
        <f>Tabla8[[#This Row],[VLR. TOTAL FACT.]]-Tabla8[[#This Row],[VLR. TRANSPORTE]]</f>
        <v>306100</v>
      </c>
      <c r="J70" s="140">
        <f>Tabla8[[#This Row],[VLR. PRODUCTOS]]*0.2</f>
        <v>61220</v>
      </c>
      <c r="K70" s="15">
        <f>'ABC COSTEO'!B$11</f>
        <v>40740.427791666669</v>
      </c>
      <c r="L70" s="15">
        <f>Tabla8[[#This Row],[DISTANCIA (km)]]*2*'ABC COSTEO'!B$21</f>
        <v>7373.4347574106532</v>
      </c>
      <c r="M70" s="15">
        <f>Tabla8[[#This Row],[Costo Variable]]+Tabla8[[#This Row],[Costo fijo]]</f>
        <v>48113.862549077319</v>
      </c>
      <c r="N70" s="15">
        <f>Tabla8[[#This Row],[Costo Total]]*Tabla8[[#This Row],[Numero de Transportes]]</f>
        <v>48113.862549077319</v>
      </c>
      <c r="O70" s="15">
        <f>(Tabla8[[#This Row],[VLR. Transporte unitario]]-Tabla8[[#This Row],[Costo Total]])*Tabla8[[#This Row],[Numero de Transportes]]</f>
        <v>-8113.8625490773193</v>
      </c>
      <c r="P70" s="15">
        <f>Tabla8[[#This Row],[Margen de productos]]+Tabla8[[#This Row],[Ganancia/Perdida]]</f>
        <v>53106.137450922681</v>
      </c>
      <c r="Q70" s="144">
        <f>(Tabla8[[#This Row],[Margen ]]/Tabla8[[#This Row],[Margen de productos]])-1</f>
        <v>-0.13253614095193267</v>
      </c>
    </row>
    <row r="71" spans="1:17" ht="15" thickBot="1" x14ac:dyDescent="0.35">
      <c r="A71" s="12">
        <v>47281</v>
      </c>
      <c r="B71" s="3" t="str">
        <f>_xlfn.XLOOKUP(Tabla8[[#This Row],[N° FACTURA]],Tabla3[N° FACTURA],Tabla3[Corregimiento],"NA")</f>
        <v>El Limonar</v>
      </c>
      <c r="C71" s="3" t="str">
        <f>_xlfn.XLOOKUP(Tabla8[[#This Row],[N° FACTURA]],Tabla3[N° FACTURA],Tabla3[LUGAR ENVÍO],"NA")</f>
        <v>KM 34</v>
      </c>
      <c r="D71" s="167">
        <f>_xlfn.XLOOKUP(Tabla8[[#This Row],[N° FACTURA]],Tabla3[N° FACTURA],Tabla3[DISTANCIA (km)],"NA")</f>
        <v>4.3159999999999989</v>
      </c>
      <c r="E71" s="3">
        <f>_xlfn.XLOOKUP(Tabla8[[#This Row],[N° FACTURA]],Tabla3[N° FACTURA],Tabla3[Numero de Transportes],"NA")</f>
        <v>1</v>
      </c>
      <c r="F71" s="15">
        <f>_xlfn.XLOOKUP(Tabla8[[#This Row],[N° FACTURA]],Tabla3[N° FACTURA],Tabla3[VLR. TRANSPORTE],"NA")</f>
        <v>40000</v>
      </c>
      <c r="G71" s="15">
        <f>Tabla8[[#This Row],[VLR. TRANSPORTE]]/Tabla8[[#This Row],[Numero de Transportes]]</f>
        <v>40000</v>
      </c>
      <c r="H71" s="15">
        <f>_xlfn.XLOOKUP(Tabla8[[#This Row],[N° FACTURA]],Tabla3[N° FACTURA],Tabla3[VLR. TOTAL FACT.],"NA")</f>
        <v>929900</v>
      </c>
      <c r="I71" s="15">
        <f>Tabla8[[#This Row],[VLR. TOTAL FACT.]]-Tabla8[[#This Row],[VLR. TRANSPORTE]]</f>
        <v>889900</v>
      </c>
      <c r="J71" s="140">
        <f>Tabla8[[#This Row],[VLR. PRODUCTOS]]*0.2</f>
        <v>177980</v>
      </c>
      <c r="K71" s="15">
        <f>'ABC COSTEO'!B$11</f>
        <v>40740.427791666669</v>
      </c>
      <c r="L71" s="15">
        <f>Tabla8[[#This Row],[DISTANCIA (km)]]*2*'ABC COSTEO'!B$21</f>
        <v>11743.07911918243</v>
      </c>
      <c r="M71" s="15">
        <f>Tabla8[[#This Row],[Costo Variable]]+Tabla8[[#This Row],[Costo fijo]]</f>
        <v>52483.506910849101</v>
      </c>
      <c r="N71" s="15">
        <f>Tabla8[[#This Row],[Costo Total]]*Tabla8[[#This Row],[Numero de Transportes]]</f>
        <v>52483.506910849101</v>
      </c>
      <c r="O71" s="15">
        <f>(Tabla8[[#This Row],[VLR. Transporte unitario]]-Tabla8[[#This Row],[Costo Total]])*Tabla8[[#This Row],[Numero de Transportes]]</f>
        <v>-12483.506910849101</v>
      </c>
      <c r="P71" s="15">
        <f>Tabla8[[#This Row],[Margen de productos]]+Tabla8[[#This Row],[Ganancia/Perdida]]</f>
        <v>165496.4930891509</v>
      </c>
      <c r="Q71" s="144">
        <f>(Tabla8[[#This Row],[Margen ]]/Tabla8[[#This Row],[Margen de productos]])-1</f>
        <v>-7.0139942189285875E-2</v>
      </c>
    </row>
    <row r="72" spans="1:17" ht="15" thickBot="1" x14ac:dyDescent="0.35">
      <c r="A72" s="3">
        <v>46693</v>
      </c>
      <c r="B72" s="3" t="str">
        <f>_xlfn.XLOOKUP(Tabla8[[#This Row],[N° FACTURA]],Tabla3[N° FACTURA],Tabla3[Corregimiento],"NA")</f>
        <v>El Limonar</v>
      </c>
      <c r="C72" s="3" t="str">
        <f>_xlfn.XLOOKUP(Tabla8[[#This Row],[N° FACTURA]],Tabla3[N° FACTURA],Tabla3[LUGAR ENVÍO],"NA")</f>
        <v>KM 40</v>
      </c>
      <c r="D72" s="167">
        <f>_xlfn.XLOOKUP(Tabla8[[#This Row],[N° FACTURA]],Tabla3[N° FACTURA],Tabla3[DISTANCIA (km)],"NA")</f>
        <v>9.6076130000000024</v>
      </c>
      <c r="E72" s="3">
        <f>_xlfn.XLOOKUP(Tabla8[[#This Row],[N° FACTURA]],Tabla3[N° FACTURA],Tabla3[Numero de Transportes],"NA")</f>
        <v>1</v>
      </c>
      <c r="F72" s="15">
        <f>_xlfn.XLOOKUP(Tabla8[[#This Row],[N° FACTURA]],Tabla3[N° FACTURA],Tabla3[VLR. TRANSPORTE],"NA")</f>
        <v>30000</v>
      </c>
      <c r="G72" s="15">
        <f>Tabla8[[#This Row],[VLR. TRANSPORTE]]/Tabla8[[#This Row],[Numero de Transportes]]</f>
        <v>30000</v>
      </c>
      <c r="H72" s="15">
        <f>_xlfn.XLOOKUP(Tabla8[[#This Row],[N° FACTURA]],Tabla3[N° FACTURA],Tabla3[VLR. TOTAL FACT.],"NA")</f>
        <v>1393600</v>
      </c>
      <c r="I72" s="15">
        <f>Tabla8[[#This Row],[VLR. TOTAL FACT.]]-Tabla8[[#This Row],[VLR. TRANSPORTE]]</f>
        <v>1363600</v>
      </c>
      <c r="J72" s="140">
        <f>Tabla8[[#This Row],[VLR. PRODUCTOS]]*0.2</f>
        <v>272720</v>
      </c>
      <c r="K72" s="15">
        <f>'ABC COSTEO'!B$11</f>
        <v>40740.427791666669</v>
      </c>
      <c r="L72" s="15">
        <f>Tabla8[[#This Row],[DISTANCIA (km)]]*2*'ABC COSTEO'!B$21</f>
        <v>26140.630121752947</v>
      </c>
      <c r="M72" s="15">
        <f>Tabla8[[#This Row],[Costo Variable]]+Tabla8[[#This Row],[Costo fijo]]</f>
        <v>66881.057913419616</v>
      </c>
      <c r="N72" s="15">
        <f>Tabla8[[#This Row],[Costo Total]]*Tabla8[[#This Row],[Numero de Transportes]]</f>
        <v>66881.057913419616</v>
      </c>
      <c r="O72" s="15">
        <f>(Tabla8[[#This Row],[VLR. Transporte unitario]]-Tabla8[[#This Row],[Costo Total]])*Tabla8[[#This Row],[Numero de Transportes]]</f>
        <v>-36881.057913419616</v>
      </c>
      <c r="P72" s="15">
        <f>Tabla8[[#This Row],[Margen de productos]]+Tabla8[[#This Row],[Ganancia/Perdida]]</f>
        <v>235838.94208658038</v>
      </c>
      <c r="Q72" s="144">
        <f>(Tabla8[[#This Row],[Margen ]]/Tabla8[[#This Row],[Margen de productos]])-1</f>
        <v>-0.13523415192658994</v>
      </c>
    </row>
    <row r="73" spans="1:17" ht="15" thickBot="1" x14ac:dyDescent="0.35">
      <c r="A73" s="169">
        <v>56686</v>
      </c>
      <c r="B73" s="3" t="str">
        <f>_xlfn.XLOOKUP(Tabla8[[#This Row],[N° FACTURA]],Tabla3[N° FACTURA],Tabla3[Corregimiento],"NA")</f>
        <v>Borrero Ayerbe</v>
      </c>
      <c r="C73" s="3" t="str">
        <f>_xlfn.XLOOKUP(Tabla8[[#This Row],[N° FACTURA]],Tabla3[N° FACTURA],Tabla3[LUGAR ENVÍO],"NA")</f>
        <v xml:space="preserve">Salida al carmen </v>
      </c>
      <c r="D73" s="167">
        <f>_xlfn.XLOOKUP(Tabla8[[#This Row],[N° FACTURA]],Tabla3[N° FACTURA],Tabla3[DISTANCIA (km)],"NA")</f>
        <v>2.3290000000000006</v>
      </c>
      <c r="E73" s="3">
        <f>_xlfn.XLOOKUP(Tabla8[[#This Row],[N° FACTURA]],Tabla3[N° FACTURA],Tabla3[Numero de Transportes],"NA")</f>
        <v>1</v>
      </c>
      <c r="F73" s="15">
        <f>_xlfn.XLOOKUP(Tabla8[[#This Row],[N° FACTURA]],Tabla3[N° FACTURA],Tabla3[VLR. TRANSPORTE],"NA")</f>
        <v>30000</v>
      </c>
      <c r="G73" s="15">
        <f>Tabla8[[#This Row],[VLR. TRANSPORTE]]/Tabla8[[#This Row],[Numero de Transportes]]</f>
        <v>30000</v>
      </c>
      <c r="H73" s="15">
        <f>_xlfn.XLOOKUP(Tabla8[[#This Row],[N° FACTURA]],Tabla3[N° FACTURA],Tabla3[VLR. TOTAL FACT.],"NA")</f>
        <v>592700</v>
      </c>
      <c r="I73" s="15">
        <f>Tabla8[[#This Row],[VLR. TOTAL FACT.]]-Tabla8[[#This Row],[VLR. TRANSPORTE]]</f>
        <v>562700</v>
      </c>
      <c r="J73" s="140">
        <f>Tabla8[[#This Row],[VLR. PRODUCTOS]]*0.2</f>
        <v>112540</v>
      </c>
      <c r="K73" s="15">
        <f>'ABC COSTEO'!B$11</f>
        <v>40740.427791666669</v>
      </c>
      <c r="L73" s="15">
        <f>Tabla8[[#This Row],[DISTANCIA (km)]]*2*'ABC COSTEO'!B$21</f>
        <v>6336.8005719591974</v>
      </c>
      <c r="M73" s="15">
        <f>Tabla8[[#This Row],[Costo Variable]]+Tabla8[[#This Row],[Costo fijo]]</f>
        <v>47077.228363625865</v>
      </c>
      <c r="N73" s="15">
        <f>Tabla8[[#This Row],[Costo Total]]*Tabla8[[#This Row],[Numero de Transportes]]</f>
        <v>47077.228363625865</v>
      </c>
      <c r="O73" s="15">
        <f>(Tabla8[[#This Row],[VLR. Transporte unitario]]-Tabla8[[#This Row],[Costo Total]])*Tabla8[[#This Row],[Numero de Transportes]]</f>
        <v>-17077.228363625865</v>
      </c>
      <c r="P73" s="15">
        <f>Tabla8[[#This Row],[Margen de productos]]+Tabla8[[#This Row],[Ganancia/Perdida]]</f>
        <v>95462.771636374135</v>
      </c>
      <c r="Q73" s="144">
        <f>(Tabla8[[#This Row],[Margen ]]/Tabla8[[#This Row],[Margen de productos]])-1</f>
        <v>-0.15174363216301645</v>
      </c>
    </row>
    <row r="74" spans="1:17" ht="15" thickBot="1" x14ac:dyDescent="0.35">
      <c r="A74" s="3">
        <v>59184</v>
      </c>
      <c r="B74" s="3" t="str">
        <f>_xlfn.XLOOKUP(Tabla8[[#This Row],[N° FACTURA]],Tabla3[N° FACTURA],Tabla3[Corregimiento],"NA")</f>
        <v>El Carmen</v>
      </c>
      <c r="C74" s="3" t="str">
        <f>_xlfn.XLOOKUP(Tabla8[[#This Row],[N° FACTURA]],Tabla3[N° FACTURA],Tabla3[LUGAR ENVÍO],"NA")</f>
        <v xml:space="preserve">Las playas </v>
      </c>
      <c r="D74" s="167">
        <f>_xlfn.XLOOKUP(Tabla8[[#This Row],[N° FACTURA]],Tabla3[N° FACTURA],Tabla3[DISTANCIA (km)],"NA")</f>
        <v>2.1290000000000004</v>
      </c>
      <c r="E74" s="3">
        <f>_xlfn.XLOOKUP(Tabla8[[#This Row],[N° FACTURA]],Tabla3[N° FACTURA],Tabla3[Numero de Transportes],"NA")</f>
        <v>1</v>
      </c>
      <c r="F74" s="15">
        <f>_xlfn.XLOOKUP(Tabla8[[#This Row],[N° FACTURA]],Tabla3[N° FACTURA],Tabla3[VLR. TRANSPORTE],"NA")</f>
        <v>40000</v>
      </c>
      <c r="G74" s="15">
        <f>Tabla8[[#This Row],[VLR. TRANSPORTE]]/Tabla8[[#This Row],[Numero de Transportes]]</f>
        <v>40000</v>
      </c>
      <c r="H74" s="15">
        <f>_xlfn.XLOOKUP(Tabla8[[#This Row],[N° FACTURA]],Tabla3[N° FACTURA],Tabla3[VLR. TOTAL FACT.],"NA")</f>
        <v>1699000</v>
      </c>
      <c r="I74" s="15">
        <f>Tabla8[[#This Row],[VLR. TOTAL FACT.]]-Tabla8[[#This Row],[VLR. TRANSPORTE]]</f>
        <v>1659000</v>
      </c>
      <c r="J74" s="140">
        <f>Tabla8[[#This Row],[VLR. PRODUCTOS]]*0.2</f>
        <v>331800</v>
      </c>
      <c r="K74" s="15">
        <f>'ABC COSTEO'!B$11</f>
        <v>40740.427791666669</v>
      </c>
      <c r="L74" s="15">
        <f>Tabla8[[#This Row],[DISTANCIA (km)]]*2*'ABC COSTEO'!B$21</f>
        <v>5792.6356452130231</v>
      </c>
      <c r="M74" s="15">
        <f>Tabla8[[#This Row],[Costo Variable]]+Tabla8[[#This Row],[Costo fijo]]</f>
        <v>46533.063436879689</v>
      </c>
      <c r="N74" s="15">
        <f>Tabla8[[#This Row],[Costo Total]]*Tabla8[[#This Row],[Numero de Transportes]]</f>
        <v>46533.063436879689</v>
      </c>
      <c r="O74" s="15">
        <f>(Tabla8[[#This Row],[VLR. Transporte unitario]]-Tabla8[[#This Row],[Costo Total]])*Tabla8[[#This Row],[Numero de Transportes]]</f>
        <v>-6533.0634368796891</v>
      </c>
      <c r="P74" s="15">
        <f>Tabla8[[#This Row],[Margen de productos]]+Tabla8[[#This Row],[Ganancia/Perdida]]</f>
        <v>325266.93656312034</v>
      </c>
      <c r="Q74" s="144">
        <f>(Tabla8[[#This Row],[Margen ]]/Tabla8[[#This Row],[Margen de productos]])-1</f>
        <v>-1.9689763221457657E-2</v>
      </c>
    </row>
    <row r="75" spans="1:17" ht="15" thickBot="1" x14ac:dyDescent="0.35">
      <c r="A75" s="169">
        <v>55590</v>
      </c>
      <c r="B75" s="3" t="str">
        <f>_xlfn.XLOOKUP(Tabla8[[#This Row],[N° FACTURA]],Tabla3[N° FACTURA],Tabla3[Corregimiento],"NA")</f>
        <v>El Carmen</v>
      </c>
      <c r="C75" s="3" t="str">
        <f>_xlfn.XLOOKUP(Tabla8[[#This Row],[N° FACTURA]],Tabla3[N° FACTURA],Tabla3[LUGAR ENVÍO],"NA")</f>
        <v>villa del toro</v>
      </c>
      <c r="D75" s="167">
        <f>_xlfn.XLOOKUP(Tabla8[[#This Row],[N° FACTURA]],Tabla3[N° FACTURA],Tabla3[DISTANCIA (km)],"NA")</f>
        <v>2.2797620000000003</v>
      </c>
      <c r="E75" s="3">
        <f>_xlfn.XLOOKUP(Tabla8[[#This Row],[N° FACTURA]],Tabla3[N° FACTURA],Tabla3[Numero de Transportes],"NA")</f>
        <v>1</v>
      </c>
      <c r="F75" s="15">
        <f>_xlfn.XLOOKUP(Tabla8[[#This Row],[N° FACTURA]],Tabla3[N° FACTURA],Tabla3[VLR. TRANSPORTE],"NA")</f>
        <v>40000</v>
      </c>
      <c r="G75" s="15">
        <f>Tabla8[[#This Row],[VLR. TRANSPORTE]]/Tabla8[[#This Row],[Numero de Transportes]]</f>
        <v>40000</v>
      </c>
      <c r="H75" s="15">
        <f>_xlfn.XLOOKUP(Tabla8[[#This Row],[N° FACTURA]],Tabla3[N° FACTURA],Tabla3[VLR. TOTAL FACT.],"NA")</f>
        <v>437200</v>
      </c>
      <c r="I75" s="96">
        <f>Tabla8[[#This Row],[VLR. TOTAL FACT.]]-Tabla8[[#This Row],[VLR. TRANSPORTE]]</f>
        <v>397200</v>
      </c>
      <c r="J75" s="140">
        <f>Tabla8[[#This Row],[VLR. PRODUCTOS]]*0.2</f>
        <v>79440</v>
      </c>
      <c r="K75" s="15">
        <f>'ABC COSTEO'!B$11</f>
        <v>40740.427791666669</v>
      </c>
      <c r="L75" s="15">
        <f>Tabla8[[#This Row],[DISTANCIA (km)]]*2*'ABC COSTEO'!B$21</f>
        <v>6202.8326086435554</v>
      </c>
      <c r="M75" s="15">
        <f>Tabla8[[#This Row],[Costo Variable]]+Tabla8[[#This Row],[Costo fijo]]</f>
        <v>46943.260400310224</v>
      </c>
      <c r="N75" s="15">
        <f>Tabla8[[#This Row],[Costo Total]]*Tabla8[[#This Row],[Numero de Transportes]]</f>
        <v>46943.260400310224</v>
      </c>
      <c r="O75" s="15">
        <f>(Tabla8[[#This Row],[VLR. Transporte unitario]]-Tabla8[[#This Row],[Costo Total]])*Tabla8[[#This Row],[Numero de Transportes]]</f>
        <v>-6943.2604003102242</v>
      </c>
      <c r="P75" s="15">
        <f>Tabla8[[#This Row],[Margen de productos]]+Tabla8[[#This Row],[Ganancia/Perdida]]</f>
        <v>72496.739599689783</v>
      </c>
      <c r="Q75" s="144">
        <f>(Tabla8[[#This Row],[Margen ]]/Tabla8[[#This Row],[Margen de productos]])-1</f>
        <v>-8.7402573014982554E-2</v>
      </c>
    </row>
    <row r="76" spans="1:17" ht="15" thickBot="1" x14ac:dyDescent="0.35">
      <c r="A76" s="146">
        <v>47307</v>
      </c>
      <c r="B76" s="3" t="str">
        <f>_xlfn.XLOOKUP(Tabla8[[#This Row],[N° FACTURA]],Tabla3[N° FACTURA],Tabla3[Corregimiento],"NA")</f>
        <v>Borrero Ayerbe</v>
      </c>
      <c r="C76" s="3" t="str">
        <f>_xlfn.XLOOKUP(Tabla8[[#This Row],[N° FACTURA]],Tabla3[N° FACTURA],Tabla3[LUGAR ENVÍO],"NA")</f>
        <v>San miguel</v>
      </c>
      <c r="D76" s="167">
        <f>_xlfn.XLOOKUP(Tabla8[[#This Row],[N° FACTURA]],Tabla3[N° FACTURA],Tabla3[DISTANCIA (km)],"NA")</f>
        <v>2.2689999999999992</v>
      </c>
      <c r="E76" s="3">
        <f>_xlfn.XLOOKUP(Tabla8[[#This Row],[N° FACTURA]],Tabla3[N° FACTURA],Tabla3[Numero de Transportes],"NA")</f>
        <v>1</v>
      </c>
      <c r="F76" s="15">
        <f>_xlfn.XLOOKUP(Tabla8[[#This Row],[N° FACTURA]],Tabla3[N° FACTURA],Tabla3[VLR. TRANSPORTE],"NA")</f>
        <v>70000</v>
      </c>
      <c r="G76" s="15">
        <f>Tabla8[[#This Row],[VLR. TRANSPORTE]]/Tabla8[[#This Row],[Numero de Transportes]]</f>
        <v>70000</v>
      </c>
      <c r="H76" s="15">
        <f>_xlfn.XLOOKUP(Tabla8[[#This Row],[N° FACTURA]],Tabla3[N° FACTURA],Tabla3[VLR. TOTAL FACT.],"NA")</f>
        <v>626400</v>
      </c>
      <c r="I76" s="15">
        <f>Tabla8[[#This Row],[VLR. TOTAL FACT.]]-Tabla8[[#This Row],[VLR. TRANSPORTE]]</f>
        <v>556400</v>
      </c>
      <c r="J76" s="140">
        <f>Tabla8[[#This Row],[VLR. PRODUCTOS]]*0.2</f>
        <v>111280</v>
      </c>
      <c r="K76" s="15">
        <f>'ABC COSTEO'!B$11</f>
        <v>40740.427791666669</v>
      </c>
      <c r="L76" s="15">
        <f>Tabla8[[#This Row],[DISTANCIA (km)]]*2*'ABC COSTEO'!B$21</f>
        <v>6173.5510939353408</v>
      </c>
      <c r="M76" s="15">
        <f>Tabla8[[#This Row],[Costo Variable]]+Tabla8[[#This Row],[Costo fijo]]</f>
        <v>46913.97888560201</v>
      </c>
      <c r="N76" s="15">
        <f>Tabla8[[#This Row],[Costo Total]]*Tabla8[[#This Row],[Numero de Transportes]]</f>
        <v>46913.97888560201</v>
      </c>
      <c r="O76" s="15">
        <f>(Tabla8[[#This Row],[VLR. Transporte unitario]]-Tabla8[[#This Row],[Costo Total]])*Tabla8[[#This Row],[Numero de Transportes]]</f>
        <v>23086.02111439799</v>
      </c>
      <c r="P76" s="15">
        <f>Tabla8[[#This Row],[Margen de productos]]+Tabla8[[#This Row],[Ganancia/Perdida]]</f>
        <v>134366.021114398</v>
      </c>
      <c r="Q76" s="144">
        <f>(Tabla8[[#This Row],[Margen ]]/Tabla8[[#This Row],[Margen de productos]])-1</f>
        <v>0.20745885257367003</v>
      </c>
    </row>
    <row r="77" spans="1:17" ht="15" thickBot="1" x14ac:dyDescent="0.35">
      <c r="A77" s="186">
        <v>39927</v>
      </c>
      <c r="B77" s="3" t="str">
        <f>_xlfn.XLOOKUP(Tabla8[[#This Row],[N° FACTURA]],Tabla3[N° FACTURA],Tabla3[Corregimiento],"NA")</f>
        <v>El Carmen</v>
      </c>
      <c r="C77" s="3" t="str">
        <f>_xlfn.XLOOKUP(Tabla8[[#This Row],[N° FACTURA]],Tabla3[N° FACTURA],Tabla3[LUGAR ENVÍO],"NA")</f>
        <v>Altos del Carmen</v>
      </c>
      <c r="D77" s="167">
        <f>_xlfn.XLOOKUP(Tabla8[[#This Row],[N° FACTURA]],Tabla3[N° FACTURA],Tabla3[DISTANCIA (km)],"NA")</f>
        <v>5.4639999999999986</v>
      </c>
      <c r="E77" s="3">
        <f>_xlfn.XLOOKUP(Tabla8[[#This Row],[N° FACTURA]],Tabla3[N° FACTURA],Tabla3[Numero de Transportes],"NA")</f>
        <v>1</v>
      </c>
      <c r="F77" s="15">
        <f>_xlfn.XLOOKUP(Tabla8[[#This Row],[N° FACTURA]],Tabla3[N° FACTURA],Tabla3[VLR. TRANSPORTE],"NA")</f>
        <v>60000</v>
      </c>
      <c r="G77" s="15">
        <f>Tabla8[[#This Row],[VLR. TRANSPORTE]]/Tabla8[[#This Row],[Numero de Transportes]]</f>
        <v>60000</v>
      </c>
      <c r="H77" s="15">
        <f>_xlfn.XLOOKUP(Tabla8[[#This Row],[N° FACTURA]],Tabla3[N° FACTURA],Tabla3[VLR. TOTAL FACT.],"NA")</f>
        <v>985600</v>
      </c>
      <c r="I77" s="15">
        <f>Tabla8[[#This Row],[VLR. TOTAL FACT.]]-Tabla8[[#This Row],[VLR. TRANSPORTE]]</f>
        <v>925600</v>
      </c>
      <c r="J77" s="140">
        <f>Tabla8[[#This Row],[VLR. PRODUCTOS]]*0.2</f>
        <v>185120</v>
      </c>
      <c r="K77" s="15">
        <f>'ABC COSTEO'!B$11</f>
        <v>40740.427791666669</v>
      </c>
      <c r="L77" s="15">
        <f>Tabla8[[#This Row],[DISTANCIA (km)]]*2*'ABC COSTEO'!B$21</f>
        <v>14866.585798705468</v>
      </c>
      <c r="M77" s="15">
        <f>Tabla8[[#This Row],[Costo Variable]]+Tabla8[[#This Row],[Costo fijo]]</f>
        <v>55607.013590372138</v>
      </c>
      <c r="N77" s="15">
        <f>Tabla8[[#This Row],[Costo Total]]*Tabla8[[#This Row],[Numero de Transportes]]</f>
        <v>55607.013590372138</v>
      </c>
      <c r="O77" s="15">
        <f>(Tabla8[[#This Row],[VLR. Transporte unitario]]-Tabla8[[#This Row],[Costo Total]])*Tabla8[[#This Row],[Numero de Transportes]]</f>
        <v>4392.9864096278616</v>
      </c>
      <c r="P77" s="15">
        <f>Tabla8[[#This Row],[Margen de productos]]+Tabla8[[#This Row],[Ganancia/Perdida]]</f>
        <v>189512.98640962786</v>
      </c>
      <c r="Q77" s="144">
        <f>(Tabla8[[#This Row],[Margen ]]/Tabla8[[#This Row],[Margen de productos]])-1</f>
        <v>2.3730479740859289E-2</v>
      </c>
    </row>
    <row r="78" spans="1:17" ht="15" thickBot="1" x14ac:dyDescent="0.35">
      <c r="A78" s="3">
        <v>57102</v>
      </c>
      <c r="B78" s="3" t="str">
        <f>_xlfn.XLOOKUP(Tabla8[[#This Row],[N° FACTURA]],Tabla3[N° FACTURA],Tabla3[Corregimiento],"NA")</f>
        <v>San Bernardo</v>
      </c>
      <c r="C78" s="3" t="str">
        <f>_xlfn.XLOOKUP(Tabla8[[#This Row],[N° FACTURA]],Tabla3[N° FACTURA],Tabla3[LUGAR ENVÍO],"NA")</f>
        <v>Tocota</v>
      </c>
      <c r="D78" s="167">
        <f>_xlfn.XLOOKUP(Tabla8[[#This Row],[N° FACTURA]],Tabla3[N° FACTURA],Tabla3[DISTANCIA (km)],"NA")</f>
        <v>9.4380000000000024</v>
      </c>
      <c r="E78" s="3">
        <f>_xlfn.XLOOKUP(Tabla8[[#This Row],[N° FACTURA]],Tabla3[N° FACTURA],Tabla3[Numero de Transportes],"NA")</f>
        <v>1</v>
      </c>
      <c r="F78" s="15">
        <f>_xlfn.XLOOKUP(Tabla8[[#This Row],[N° FACTURA]],Tabla3[N° FACTURA],Tabla3[VLR. TRANSPORTE],"NA")</f>
        <v>60000</v>
      </c>
      <c r="G78" s="15">
        <f>Tabla8[[#This Row],[VLR. TRANSPORTE]]/Tabla8[[#This Row],[Numero de Transportes]]</f>
        <v>60000</v>
      </c>
      <c r="H78" s="15">
        <f>_xlfn.XLOOKUP(Tabla8[[#This Row],[N° FACTURA]],Tabla3[N° FACTURA],Tabla3[VLR. TOTAL FACT.],"NA")</f>
        <v>1186000</v>
      </c>
      <c r="I78" s="15">
        <f>Tabla8[[#This Row],[VLR. TOTAL FACT.]]-Tabla8[[#This Row],[VLR. TRANSPORTE]]</f>
        <v>1126000</v>
      </c>
      <c r="J78" s="140">
        <f>Tabla8[[#This Row],[VLR. PRODUCTOS]]*0.2</f>
        <v>225200</v>
      </c>
      <c r="K78" s="15">
        <f>'ABC COSTEO'!B$11</f>
        <v>40740.427791666669</v>
      </c>
      <c r="L78" s="15">
        <f>Tabla8[[#This Row],[DISTANCIA (km)]]*2*'ABC COSTEO'!B$21</f>
        <v>25679.142893151955</v>
      </c>
      <c r="M78" s="15">
        <f>Tabla8[[#This Row],[Costo Variable]]+Tabla8[[#This Row],[Costo fijo]]</f>
        <v>66419.570684818624</v>
      </c>
      <c r="N78" s="15">
        <f>Tabla8[[#This Row],[Costo Total]]*Tabla8[[#This Row],[Numero de Transportes]]</f>
        <v>66419.570684818624</v>
      </c>
      <c r="O78" s="15">
        <f>(Tabla8[[#This Row],[VLR. Transporte unitario]]-Tabla8[[#This Row],[Costo Total]])*Tabla8[[#This Row],[Numero de Transportes]]</f>
        <v>-6419.5706848186237</v>
      </c>
      <c r="P78" s="15">
        <f>Tabla8[[#This Row],[Margen de productos]]+Tabla8[[#This Row],[Ganancia/Perdida]]</f>
        <v>218780.42931518139</v>
      </c>
      <c r="Q78" s="144">
        <f>(Tabla8[[#This Row],[Margen ]]/Tabla8[[#This Row],[Margen de productos]])-1</f>
        <v>-2.8506086522285146E-2</v>
      </c>
    </row>
    <row r="79" spans="1:17" ht="15" thickBot="1" x14ac:dyDescent="0.35">
      <c r="A79" s="186">
        <v>47314</v>
      </c>
      <c r="B79" s="3" t="str">
        <f>_xlfn.XLOOKUP(Tabla8[[#This Row],[N° FACTURA]],Tabla3[N° FACTURA],Tabla3[Corregimiento],"NA")</f>
        <v>El Salado</v>
      </c>
      <c r="C79" s="3" t="str">
        <f>_xlfn.XLOOKUP(Tabla8[[#This Row],[N° FACTURA]],Tabla3[N° FACTURA],Tabla3[LUGAR ENVÍO],"NA")</f>
        <v>KM 34</v>
      </c>
      <c r="D79" s="167">
        <f>_xlfn.XLOOKUP(Tabla8[[#This Row],[N° FACTURA]],Tabla3[N° FACTURA],Tabla3[DISTANCIA (km)],"NA")</f>
        <v>4.3159999999999989</v>
      </c>
      <c r="E79" s="3">
        <f>_xlfn.XLOOKUP(Tabla8[[#This Row],[N° FACTURA]],Tabla3[N° FACTURA],Tabla3[Numero de Transportes],"NA")</f>
        <v>1</v>
      </c>
      <c r="F79" s="15">
        <f>_xlfn.XLOOKUP(Tabla8[[#This Row],[N° FACTURA]],Tabla3[N° FACTURA],Tabla3[VLR. TRANSPORTE],"NA")</f>
        <v>60000</v>
      </c>
      <c r="G79" s="15">
        <f>Tabla8[[#This Row],[VLR. TRANSPORTE]]/Tabla8[[#This Row],[Numero de Transportes]]</f>
        <v>60000</v>
      </c>
      <c r="H79" s="15">
        <f>_xlfn.XLOOKUP(Tabla8[[#This Row],[N° FACTURA]],Tabla3[N° FACTURA],Tabla3[VLR. TOTAL FACT.],"NA")</f>
        <v>1238500</v>
      </c>
      <c r="I79" s="15">
        <f>Tabla8[[#This Row],[VLR. TOTAL FACT.]]-Tabla8[[#This Row],[VLR. TRANSPORTE]]</f>
        <v>1178500</v>
      </c>
      <c r="J79" s="140">
        <f>Tabla8[[#This Row],[VLR. PRODUCTOS]]*0.2</f>
        <v>235700</v>
      </c>
      <c r="K79" s="15">
        <f>'ABC COSTEO'!B$11</f>
        <v>40740.427791666669</v>
      </c>
      <c r="L79" s="15">
        <f>Tabla8[[#This Row],[DISTANCIA (km)]]*2*'ABC COSTEO'!B$21</f>
        <v>11743.07911918243</v>
      </c>
      <c r="M79" s="15">
        <f>Tabla8[[#This Row],[Costo Variable]]+Tabla8[[#This Row],[Costo fijo]]</f>
        <v>52483.506910849101</v>
      </c>
      <c r="N79" s="15">
        <f>Tabla8[[#This Row],[Costo Total]]*Tabla8[[#This Row],[Numero de Transportes]]</f>
        <v>52483.506910849101</v>
      </c>
      <c r="O79" s="15">
        <f>(Tabla8[[#This Row],[VLR. Transporte unitario]]-Tabla8[[#This Row],[Costo Total]])*Tabla8[[#This Row],[Numero de Transportes]]</f>
        <v>7516.4930891508993</v>
      </c>
      <c r="P79" s="15">
        <f>Tabla8[[#This Row],[Margen de productos]]+Tabla8[[#This Row],[Ganancia/Perdida]]</f>
        <v>243216.4930891509</v>
      </c>
      <c r="Q79" s="144">
        <f>(Tabla8[[#This Row],[Margen ]]/Tabla8[[#This Row],[Margen de productos]])-1</f>
        <v>3.1890085231866427E-2</v>
      </c>
    </row>
    <row r="80" spans="1:17" ht="15" thickBot="1" x14ac:dyDescent="0.35">
      <c r="A80" s="93">
        <v>47037</v>
      </c>
      <c r="B80" s="3" t="str">
        <f>_xlfn.XLOOKUP(Tabla8[[#This Row],[N° FACTURA]],Tabla3[N° FACTURA],Tabla3[Corregimiento],"NA")</f>
        <v>Borrero Ayerbe</v>
      </c>
      <c r="C80" s="3" t="str">
        <f>_xlfn.XLOOKUP(Tabla8[[#This Row],[N° FACTURA]],Tabla3[N° FACTURA],Tabla3[LUGAR ENVÍO],"NA")</f>
        <v>Villa saman</v>
      </c>
      <c r="D80" s="167">
        <f>_xlfn.XLOOKUP(Tabla8[[#This Row],[N° FACTURA]],Tabla3[N° FACTURA],Tabla3[DISTANCIA (km)],"NA")</f>
        <v>2.0589999999999997</v>
      </c>
      <c r="E80" s="3">
        <f>_xlfn.XLOOKUP(Tabla8[[#This Row],[N° FACTURA]],Tabla3[N° FACTURA],Tabla3[Numero de Transportes],"NA")</f>
        <v>1</v>
      </c>
      <c r="F80" s="15">
        <f>_xlfn.XLOOKUP(Tabla8[[#This Row],[N° FACTURA]],Tabla3[N° FACTURA],Tabla3[VLR. TRANSPORTE],"NA")</f>
        <v>25000</v>
      </c>
      <c r="G80" s="15">
        <f>Tabla8[[#This Row],[VLR. TRANSPORTE]]/Tabla8[[#This Row],[Numero de Transportes]]</f>
        <v>25000</v>
      </c>
      <c r="H80" s="15">
        <f>_xlfn.XLOOKUP(Tabla8[[#This Row],[N° FACTURA]],Tabla3[N° FACTURA],Tabla3[VLR. TOTAL FACT.],"NA")</f>
        <v>175000</v>
      </c>
      <c r="I80" s="15">
        <f>Tabla8[[#This Row],[VLR. TOTAL FACT.]]-Tabla8[[#This Row],[VLR. TRANSPORTE]]</f>
        <v>150000</v>
      </c>
      <c r="J80" s="140">
        <f>Tabla8[[#This Row],[VLR. PRODUCTOS]]*0.2</f>
        <v>30000</v>
      </c>
      <c r="K80" s="15">
        <f>'ABC COSTEO'!B$11</f>
        <v>40740.427791666669</v>
      </c>
      <c r="L80" s="15">
        <f>Tabla8[[#This Row],[DISTANCIA (km)]]*2*'ABC COSTEO'!B$21</f>
        <v>5602.1779208518601</v>
      </c>
      <c r="M80" s="15">
        <f>Tabla8[[#This Row],[Costo Variable]]+Tabla8[[#This Row],[Costo fijo]]</f>
        <v>46342.605712518533</v>
      </c>
      <c r="N80" s="15">
        <f>Tabla8[[#This Row],[Costo Total]]*Tabla8[[#This Row],[Numero de Transportes]]</f>
        <v>46342.605712518533</v>
      </c>
      <c r="O80" s="15">
        <f>(Tabla8[[#This Row],[VLR. Transporte unitario]]-Tabla8[[#This Row],[Costo Total]])*Tabla8[[#This Row],[Numero de Transportes]]</f>
        <v>-21342.605712518533</v>
      </c>
      <c r="P80" s="15">
        <f>Tabla8[[#This Row],[Margen de productos]]+Tabla8[[#This Row],[Ganancia/Perdida]]</f>
        <v>8657.3942874814675</v>
      </c>
      <c r="Q80" s="144">
        <f>(Tabla8[[#This Row],[Margen ]]/Tabla8[[#This Row],[Margen de productos]])-1</f>
        <v>-0.71142019041728444</v>
      </c>
    </row>
    <row r="81" spans="1:17" ht="15" thickBot="1" x14ac:dyDescent="0.35">
      <c r="A81" s="186">
        <v>47729</v>
      </c>
      <c r="B81" s="3" t="str">
        <f>_xlfn.XLOOKUP(Tabla8[[#This Row],[N° FACTURA]],Tabla3[N° FACTURA],Tabla3[Corregimiento],"NA")</f>
        <v>El Carmen</v>
      </c>
      <c r="C81" s="3" t="str">
        <f>_xlfn.XLOOKUP(Tabla8[[#This Row],[N° FACTURA]],Tabla3[N° FACTURA],Tabla3[LUGAR ENVÍO],"NA")</f>
        <v>El Coscorron</v>
      </c>
      <c r="D81" s="167">
        <f>_xlfn.XLOOKUP(Tabla8[[#This Row],[N° FACTURA]],Tabla3[N° FACTURA],Tabla3[DISTANCIA (km)],"NA")</f>
        <v>2.649999999999999</v>
      </c>
      <c r="E81" s="3">
        <f>_xlfn.XLOOKUP(Tabla8[[#This Row],[N° FACTURA]],Tabla3[N° FACTURA],Tabla3[Numero de Transportes],"NA")</f>
        <v>1</v>
      </c>
      <c r="F81" s="15">
        <f>_xlfn.XLOOKUP(Tabla8[[#This Row],[N° FACTURA]],Tabla3[N° FACTURA],Tabla3[VLR. TRANSPORTE],"NA")</f>
        <v>70000</v>
      </c>
      <c r="G81" s="15">
        <f>Tabla8[[#This Row],[VLR. TRANSPORTE]]/Tabla8[[#This Row],[Numero de Transportes]]</f>
        <v>70000</v>
      </c>
      <c r="H81" s="15">
        <f>_xlfn.XLOOKUP(Tabla8[[#This Row],[N° FACTURA]],Tabla3[N° FACTURA],Tabla3[VLR. TOTAL FACT.],"NA")</f>
        <v>1128800</v>
      </c>
      <c r="I81" s="15">
        <f>Tabla8[[#This Row],[VLR. TOTAL FACT.]]-Tabla8[[#This Row],[VLR. TRANSPORTE]]</f>
        <v>1058800</v>
      </c>
      <c r="J81" s="140">
        <f>Tabla8[[#This Row],[VLR. PRODUCTOS]]*0.2</f>
        <v>211760</v>
      </c>
      <c r="K81" s="15">
        <f>'ABC COSTEO'!B$11</f>
        <v>40740.427791666669</v>
      </c>
      <c r="L81" s="15">
        <f>Tabla8[[#This Row],[DISTANCIA (km)]]*2*'ABC COSTEO'!B$21</f>
        <v>7210.185279386802</v>
      </c>
      <c r="M81" s="15">
        <f>Tabla8[[#This Row],[Costo Variable]]+Tabla8[[#This Row],[Costo fijo]]</f>
        <v>47950.613071053471</v>
      </c>
      <c r="N81" s="15">
        <f>Tabla8[[#This Row],[Costo Total]]*Tabla8[[#This Row],[Numero de Transportes]]</f>
        <v>47950.613071053471</v>
      </c>
      <c r="O81" s="15">
        <f>(Tabla8[[#This Row],[VLR. Transporte unitario]]-Tabla8[[#This Row],[Costo Total]])*Tabla8[[#This Row],[Numero de Transportes]]</f>
        <v>22049.386928946529</v>
      </c>
      <c r="P81" s="15">
        <f>Tabla8[[#This Row],[Margen de productos]]+Tabla8[[#This Row],[Ganancia/Perdida]]</f>
        <v>233809.38692894654</v>
      </c>
      <c r="Q81" s="144">
        <f>(Tabla8[[#This Row],[Margen ]]/Tabla8[[#This Row],[Margen de productos]])-1</f>
        <v>0.10412441881822132</v>
      </c>
    </row>
    <row r="82" spans="1:17" ht="15" thickBot="1" x14ac:dyDescent="0.35">
      <c r="A82" s="3">
        <v>30518</v>
      </c>
      <c r="B82" s="3" t="str">
        <f>_xlfn.XLOOKUP(Tabla8[[#This Row],[N° FACTURA]],Tabla3[N° FACTURA],Tabla3[Corregimiento],"NA")</f>
        <v>El Carmen</v>
      </c>
      <c r="C82" s="3" t="str">
        <f>_xlfn.XLOOKUP(Tabla8[[#This Row],[N° FACTURA]],Tabla3[N° FACTURA],Tabla3[LUGAR ENVÍO],"NA")</f>
        <v>Tortolas</v>
      </c>
      <c r="D82" s="167">
        <f>_xlfn.XLOOKUP(Tabla8[[#This Row],[N° FACTURA]],Tabla3[N° FACTURA],Tabla3[DISTANCIA (km)],"NA")</f>
        <v>5.7570000000000006</v>
      </c>
      <c r="E82" s="3">
        <f>_xlfn.XLOOKUP(Tabla8[[#This Row],[N° FACTURA]],Tabla3[N° FACTURA],Tabla3[Numero de Transportes],"NA")</f>
        <v>1</v>
      </c>
      <c r="F82" s="15">
        <f>_xlfn.XLOOKUP(Tabla8[[#This Row],[N° FACTURA]],Tabla3[N° FACTURA],Tabla3[VLR. TRANSPORTE],"NA")</f>
        <v>40000</v>
      </c>
      <c r="G82" s="15">
        <f>Tabla8[[#This Row],[VLR. TRANSPORTE]]/Tabla8[[#This Row],[Numero de Transportes]]</f>
        <v>40000</v>
      </c>
      <c r="H82" s="15">
        <f>_xlfn.XLOOKUP(Tabla8[[#This Row],[N° FACTURA]],Tabla3[N° FACTURA],Tabla3[VLR. TOTAL FACT.],"NA")</f>
        <v>192000</v>
      </c>
      <c r="I82" s="15">
        <f>Tabla8[[#This Row],[VLR. TOTAL FACT.]]-Tabla8[[#This Row],[VLR. TRANSPORTE]]</f>
        <v>152000</v>
      </c>
      <c r="J82" s="140">
        <f>Tabla8[[#This Row],[VLR. PRODUCTOS]]*0.2</f>
        <v>30400</v>
      </c>
      <c r="K82" s="15">
        <f>'ABC COSTEO'!B$11</f>
        <v>40740.427791666669</v>
      </c>
      <c r="L82" s="15">
        <f>Tabla8[[#This Row],[DISTANCIA (km)]]*2*'ABC COSTEO'!B$21</f>
        <v>15663.787416388619</v>
      </c>
      <c r="M82" s="15">
        <f>Tabla8[[#This Row],[Costo Variable]]+Tabla8[[#This Row],[Costo fijo]]</f>
        <v>56404.215208055291</v>
      </c>
      <c r="N82" s="15">
        <f>Tabla8[[#This Row],[Costo Total]]*Tabla8[[#This Row],[Numero de Transportes]]</f>
        <v>56404.215208055291</v>
      </c>
      <c r="O82" s="15">
        <f>(Tabla8[[#This Row],[VLR. Transporte unitario]]-Tabla8[[#This Row],[Costo Total]])*Tabla8[[#This Row],[Numero de Transportes]]</f>
        <v>-16404.215208055291</v>
      </c>
      <c r="P82" s="15">
        <f>Tabla8[[#This Row],[Margen de productos]]+Tabla8[[#This Row],[Ganancia/Perdida]]</f>
        <v>13995.784791944709</v>
      </c>
      <c r="Q82" s="144">
        <f>(Tabla8[[#This Row],[Margen ]]/Tabla8[[#This Row],[Margen de productos]])-1</f>
        <v>-0.53961234237023992</v>
      </c>
    </row>
    <row r="83" spans="1:17" ht="15" thickBot="1" x14ac:dyDescent="0.35">
      <c r="A83" s="12">
        <v>58706</v>
      </c>
      <c r="B83" s="3" t="str">
        <f>_xlfn.XLOOKUP(Tabla8[[#This Row],[N° FACTURA]],Tabla3[N° FACTURA],Tabla3[Corregimiento],"NA")</f>
        <v>Borrero Ayerbe</v>
      </c>
      <c r="C83" s="3" t="str">
        <f>_xlfn.XLOOKUP(Tabla8[[#This Row],[N° FACTURA]],Tabla3[N° FACTURA],Tabla3[LUGAR ENVÍO],"NA")</f>
        <v>Tierras blancas</v>
      </c>
      <c r="D83" s="167">
        <f>_xlfn.XLOOKUP(Tabla8[[#This Row],[N° FACTURA]],Tabla3[N° FACTURA],Tabla3[DISTANCIA (km)],"NA")</f>
        <v>0.44900000000000007</v>
      </c>
      <c r="E83" s="3">
        <f>_xlfn.XLOOKUP(Tabla8[[#This Row],[N° FACTURA]],Tabla3[N° FACTURA],Tabla3[Numero de Transportes],"NA")</f>
        <v>3</v>
      </c>
      <c r="F83" s="15">
        <f>_xlfn.XLOOKUP(Tabla8[[#This Row],[N° FACTURA]],Tabla3[N° FACTURA],Tabla3[VLR. TRANSPORTE],"NA")</f>
        <v>150000</v>
      </c>
      <c r="G83" s="15">
        <f>Tabla8[[#This Row],[VLR. TRANSPORTE]]/Tabla8[[#This Row],[Numero de Transportes]]</f>
        <v>50000</v>
      </c>
      <c r="H83" s="15">
        <f>_xlfn.XLOOKUP(Tabla8[[#This Row],[N° FACTURA]],Tabla3[N° FACTURA],Tabla3[VLR. TOTAL FACT.],"NA")</f>
        <v>1342000</v>
      </c>
      <c r="I83" s="15">
        <f>Tabla8[[#This Row],[VLR. TOTAL FACT.]]-Tabla8[[#This Row],[VLR. TRANSPORTE]]</f>
        <v>1192000</v>
      </c>
      <c r="J83" s="140">
        <f>Tabla8[[#This Row],[VLR. PRODUCTOS]]*0.2</f>
        <v>238400</v>
      </c>
      <c r="K83" s="15">
        <f>'ABC COSTEO'!B$11</f>
        <v>40740.427791666669</v>
      </c>
      <c r="L83" s="15">
        <f>Tabla8[[#This Row],[DISTANCIA (km)]]*2*'ABC COSTEO'!B$21</f>
        <v>1221.6502605451606</v>
      </c>
      <c r="M83" s="15">
        <f>Tabla8[[#This Row],[Costo Variable]]+Tabla8[[#This Row],[Costo fijo]]</f>
        <v>41962.078052211829</v>
      </c>
      <c r="N83" s="15">
        <f>Tabla8[[#This Row],[Costo Total]]*Tabla8[[#This Row],[Numero de Transportes]]</f>
        <v>125886.23415663549</v>
      </c>
      <c r="O83" s="15">
        <f>(Tabla8[[#This Row],[VLR. Transporte unitario]]-Tabla8[[#This Row],[Costo Total]])*Tabla8[[#This Row],[Numero de Transportes]]</f>
        <v>24113.765843364512</v>
      </c>
      <c r="P83" s="15">
        <f>Tabla8[[#This Row],[Margen de productos]]+Tabla8[[#This Row],[Ganancia/Perdida]]</f>
        <v>262513.76584336453</v>
      </c>
      <c r="Q83" s="144">
        <f>(Tabla8[[#This Row],[Margen ]]/Tabla8[[#This Row],[Margen de productos]])-1</f>
        <v>0.10114834665840822</v>
      </c>
    </row>
    <row r="84" spans="1:17" ht="15" thickBot="1" x14ac:dyDescent="0.35">
      <c r="A84" s="3">
        <v>30503</v>
      </c>
      <c r="B84" s="3" t="str">
        <f>_xlfn.XLOOKUP(Tabla8[[#This Row],[N° FACTURA]],Tabla3[N° FACTURA],Tabla3[Corregimiento],"NA")</f>
        <v>San Bernardo</v>
      </c>
      <c r="C84" s="3" t="str">
        <f>_xlfn.XLOOKUP(Tabla8[[#This Row],[N° FACTURA]],Tabla3[N° FACTURA],Tabla3[LUGAR ENVÍO],"NA")</f>
        <v>Tocota</v>
      </c>
      <c r="D84" s="167">
        <f>_xlfn.XLOOKUP(Tabla8[[#This Row],[N° FACTURA]],Tabla3[N° FACTURA],Tabla3[DISTANCIA (km)],"NA")</f>
        <v>9.4380000000000024</v>
      </c>
      <c r="E84" s="3">
        <f>_xlfn.XLOOKUP(Tabla8[[#This Row],[N° FACTURA]],Tabla3[N° FACTURA],Tabla3[Numero de Transportes],"NA")</f>
        <v>1</v>
      </c>
      <c r="F84" s="15">
        <f>_xlfn.XLOOKUP(Tabla8[[#This Row],[N° FACTURA]],Tabla3[N° FACTURA],Tabla3[VLR. TRANSPORTE],"NA")</f>
        <v>60000</v>
      </c>
      <c r="G84" s="15">
        <f>Tabla8[[#This Row],[VLR. TRANSPORTE]]/Tabla8[[#This Row],[Numero de Transportes]]</f>
        <v>60000</v>
      </c>
      <c r="H84" s="15">
        <f>_xlfn.XLOOKUP(Tabla8[[#This Row],[N° FACTURA]],Tabla3[N° FACTURA],Tabla3[VLR. TOTAL FACT.],"NA")</f>
        <v>750000</v>
      </c>
      <c r="I84" s="15">
        <f>Tabla8[[#This Row],[VLR. TOTAL FACT.]]-Tabla8[[#This Row],[VLR. TRANSPORTE]]</f>
        <v>690000</v>
      </c>
      <c r="J84" s="140">
        <f>Tabla8[[#This Row],[VLR. PRODUCTOS]]*0.2</f>
        <v>138000</v>
      </c>
      <c r="K84" s="15">
        <f>'ABC COSTEO'!B$11</f>
        <v>40740.427791666669</v>
      </c>
      <c r="L84" s="15">
        <f>Tabla8[[#This Row],[DISTANCIA (km)]]*2*'ABC COSTEO'!B$21</f>
        <v>25679.142893151955</v>
      </c>
      <c r="M84" s="15">
        <f>Tabla8[[#This Row],[Costo Variable]]+Tabla8[[#This Row],[Costo fijo]]</f>
        <v>66419.570684818624</v>
      </c>
      <c r="N84" s="15">
        <f>Tabla8[[#This Row],[Costo Total]]*Tabla8[[#This Row],[Numero de Transportes]]</f>
        <v>66419.570684818624</v>
      </c>
      <c r="O84" s="15">
        <f>(Tabla8[[#This Row],[VLR. Transporte unitario]]-Tabla8[[#This Row],[Costo Total]])*Tabla8[[#This Row],[Numero de Transportes]]</f>
        <v>-6419.5706848186237</v>
      </c>
      <c r="P84" s="15">
        <f>Tabla8[[#This Row],[Margen de productos]]+Tabla8[[#This Row],[Ganancia/Perdida]]</f>
        <v>131580.42931518139</v>
      </c>
      <c r="Q84" s="144">
        <f>(Tabla8[[#This Row],[Margen ]]/Tabla8[[#This Row],[Margen de productos]])-1</f>
        <v>-4.6518628150859498E-2</v>
      </c>
    </row>
    <row r="85" spans="1:17" ht="15" thickBot="1" x14ac:dyDescent="0.35">
      <c r="A85" s="12">
        <v>58571</v>
      </c>
      <c r="B85" s="3" t="str">
        <f>_xlfn.XLOOKUP(Tabla8[[#This Row],[N° FACTURA]],Tabla3[N° FACTURA],Tabla3[Corregimiento],"NA")</f>
        <v>El Carmen</v>
      </c>
      <c r="C85" s="3" t="str">
        <f>_xlfn.XLOOKUP(Tabla8[[#This Row],[N° FACTURA]],Tabla3[N° FACTURA],Tabla3[LUGAR ENVÍO],"NA")</f>
        <v>Tortolas</v>
      </c>
      <c r="D85" s="167">
        <f>_xlfn.XLOOKUP(Tabla8[[#This Row],[N° FACTURA]],Tabla3[N° FACTURA],Tabla3[DISTANCIA (km)],"NA")</f>
        <v>5.7570000000000006</v>
      </c>
      <c r="E85" s="3">
        <f>_xlfn.XLOOKUP(Tabla8[[#This Row],[N° FACTURA]],Tabla3[N° FACTURA],Tabla3[Numero de Transportes],"NA")</f>
        <v>1</v>
      </c>
      <c r="F85" s="15">
        <f>_xlfn.XLOOKUP(Tabla8[[#This Row],[N° FACTURA]],Tabla3[N° FACTURA],Tabla3[VLR. TRANSPORTE],"NA")</f>
        <v>60000</v>
      </c>
      <c r="G85" s="15">
        <f>Tabla8[[#This Row],[VLR. TRANSPORTE]]/Tabla8[[#This Row],[Numero de Transportes]]</f>
        <v>60000</v>
      </c>
      <c r="H85" s="15">
        <f>_xlfn.XLOOKUP(Tabla8[[#This Row],[N° FACTURA]],Tabla3[N° FACTURA],Tabla3[VLR. TOTAL FACT.],"NA")</f>
        <v>1045000</v>
      </c>
      <c r="I85" s="15">
        <f>Tabla8[[#This Row],[VLR. TOTAL FACT.]]-Tabla8[[#This Row],[VLR. TRANSPORTE]]</f>
        <v>985000</v>
      </c>
      <c r="J85" s="140">
        <f>Tabla8[[#This Row],[VLR. PRODUCTOS]]*0.2</f>
        <v>197000</v>
      </c>
      <c r="K85" s="15">
        <f>'ABC COSTEO'!B$11</f>
        <v>40740.427791666669</v>
      </c>
      <c r="L85" s="15">
        <f>Tabla8[[#This Row],[DISTANCIA (km)]]*2*'ABC COSTEO'!B$21</f>
        <v>15663.787416388619</v>
      </c>
      <c r="M85" s="15">
        <f>Tabla8[[#This Row],[Costo Variable]]+Tabla8[[#This Row],[Costo fijo]]</f>
        <v>56404.215208055291</v>
      </c>
      <c r="N85" s="15">
        <f>Tabla8[[#This Row],[Costo Total]]*Tabla8[[#This Row],[Numero de Transportes]]</f>
        <v>56404.215208055291</v>
      </c>
      <c r="O85" s="15">
        <f>(Tabla8[[#This Row],[VLR. Transporte unitario]]-Tabla8[[#This Row],[Costo Total]])*Tabla8[[#This Row],[Numero de Transportes]]</f>
        <v>3595.7847919447086</v>
      </c>
      <c r="P85" s="15">
        <f>Tabla8[[#This Row],[Margen de productos]]+Tabla8[[#This Row],[Ganancia/Perdida]]</f>
        <v>200595.78479194472</v>
      </c>
      <c r="Q85" s="144">
        <f>(Tabla8[[#This Row],[Margen ]]/Tabla8[[#This Row],[Margen de productos]])-1</f>
        <v>1.825271467992251E-2</v>
      </c>
    </row>
    <row r="86" spans="1:17" ht="15" thickBot="1" x14ac:dyDescent="0.35">
      <c r="A86" s="147">
        <v>50576</v>
      </c>
      <c r="B86" s="3" t="str">
        <f>_xlfn.XLOOKUP(Tabla8[[#This Row],[N° FACTURA]],Tabla3[N° FACTURA],Tabla3[Corregimiento],"NA")</f>
        <v>Borrero Ayerbe</v>
      </c>
      <c r="C86" s="3" t="str">
        <f>_xlfn.XLOOKUP(Tabla8[[#This Row],[N° FACTURA]],Tabla3[N° FACTURA],Tabla3[LUGAR ENVÍO],"NA")</f>
        <v>El parque</v>
      </c>
      <c r="D86" s="167">
        <f>_xlfn.XLOOKUP(Tabla8[[#This Row],[N° FACTURA]],Tabla3[N° FACTURA],Tabla3[DISTANCIA (km)],"NA")</f>
        <v>0.83599999999999997</v>
      </c>
      <c r="E86" s="3">
        <f>_xlfn.XLOOKUP(Tabla8[[#This Row],[N° FACTURA]],Tabla3[N° FACTURA],Tabla3[Numero de Transportes],"NA")</f>
        <v>1</v>
      </c>
      <c r="F86" s="15">
        <f>_xlfn.XLOOKUP(Tabla8[[#This Row],[N° FACTURA]],Tabla3[N° FACTURA],Tabla3[VLR. TRANSPORTE],"NA")</f>
        <v>30000</v>
      </c>
      <c r="G86" s="15">
        <f>Tabla8[[#This Row],[VLR. TRANSPORTE]]/Tabla8[[#This Row],[Numero de Transportes]]</f>
        <v>30000</v>
      </c>
      <c r="H86" s="15">
        <f>_xlfn.XLOOKUP(Tabla8[[#This Row],[N° FACTURA]],Tabla3[N° FACTURA],Tabla3[VLR. TOTAL FACT.],"NA")</f>
        <v>448100</v>
      </c>
      <c r="I86" s="15">
        <f>Tabla8[[#This Row],[VLR. TOTAL FACT.]]-Tabla8[[#This Row],[VLR. TRANSPORTE]]</f>
        <v>418100</v>
      </c>
      <c r="J86" s="140">
        <f>Tabla8[[#This Row],[VLR. PRODUCTOS]]*0.2</f>
        <v>83620</v>
      </c>
      <c r="K86" s="15">
        <f>'ABC COSTEO'!B$11</f>
        <v>40740.427791666669</v>
      </c>
      <c r="L86" s="15">
        <f>Tabla8[[#This Row],[DISTANCIA (km)]]*2*'ABC COSTEO'!B$21</f>
        <v>2274.6093937990067</v>
      </c>
      <c r="M86" s="15">
        <f>Tabla8[[#This Row],[Costo Variable]]+Tabla8[[#This Row],[Costo fijo]]</f>
        <v>43015.037185465677</v>
      </c>
      <c r="N86" s="15">
        <f>Tabla8[[#This Row],[Costo Total]]*Tabla8[[#This Row],[Numero de Transportes]]</f>
        <v>43015.037185465677</v>
      </c>
      <c r="O86" s="15">
        <f>(Tabla8[[#This Row],[VLR. Transporte unitario]]-Tabla8[[#This Row],[Costo Total]])*Tabla8[[#This Row],[Numero de Transportes]]</f>
        <v>-13015.037185465677</v>
      </c>
      <c r="P86" s="15">
        <f>Tabla8[[#This Row],[Margen de productos]]+Tabla8[[#This Row],[Ganancia/Perdida]]</f>
        <v>70604.962814534316</v>
      </c>
      <c r="Q86" s="144">
        <f>(Tabla8[[#This Row],[Margen ]]/Tabla8[[#This Row],[Margen de productos]])-1</f>
        <v>-0.1556450273315676</v>
      </c>
    </row>
    <row r="87" spans="1:17" ht="27.6" thickBot="1" x14ac:dyDescent="0.35">
      <c r="A87" s="12">
        <v>58868</v>
      </c>
      <c r="B87" s="3" t="str">
        <f>_xlfn.XLOOKUP(Tabla8[[#This Row],[N° FACTURA]],Tabla3[N° FACTURA],Tabla3[Corregimiento],"NA")</f>
        <v>El Carmen</v>
      </c>
      <c r="C87" s="3" t="str">
        <f>_xlfn.XLOOKUP(Tabla8[[#This Row],[N° FACTURA]],Tabla3[N° FACTURA],Tabla3[LUGAR ENVÍO],"NA")</f>
        <v xml:space="preserve">Saliendo del carmen </v>
      </c>
      <c r="D87" s="167">
        <f>_xlfn.XLOOKUP(Tabla8[[#This Row],[N° FACTURA]],Tabla3[N° FACTURA],Tabla3[DISTANCIA (km)],"NA")</f>
        <v>4.7339999999999982</v>
      </c>
      <c r="E87" s="3">
        <f>_xlfn.XLOOKUP(Tabla8[[#This Row],[N° FACTURA]],Tabla3[N° FACTURA],Tabla3[Numero de Transportes],"NA")</f>
        <v>1</v>
      </c>
      <c r="F87" s="15">
        <f>_xlfn.XLOOKUP(Tabla8[[#This Row],[N° FACTURA]],Tabla3[N° FACTURA],Tabla3[VLR. TRANSPORTE],"NA")</f>
        <v>60000</v>
      </c>
      <c r="G87" s="15">
        <f>Tabla8[[#This Row],[VLR. TRANSPORTE]]/Tabla8[[#This Row],[Numero de Transportes]]</f>
        <v>60000</v>
      </c>
      <c r="H87" s="15">
        <f>_xlfn.XLOOKUP(Tabla8[[#This Row],[N° FACTURA]],Tabla3[N° FACTURA],Tabla3[VLR. TOTAL FACT.],"NA")</f>
        <v>3389000</v>
      </c>
      <c r="I87" s="15">
        <f>Tabla8[[#This Row],[VLR. TOTAL FACT.]]-Tabla8[[#This Row],[VLR. TRANSPORTE]]</f>
        <v>3329000</v>
      </c>
      <c r="J87" s="140">
        <f>Tabla8[[#This Row],[VLR. PRODUCTOS]]*0.2</f>
        <v>665800</v>
      </c>
      <c r="K87" s="15">
        <f>'ABC COSTEO'!B$11</f>
        <v>40740.427791666669</v>
      </c>
      <c r="L87" s="15">
        <f>Tabla8[[#This Row],[DISTANCIA (km)]]*2*'ABC COSTEO'!B$21</f>
        <v>12880.383816081932</v>
      </c>
      <c r="M87" s="15">
        <f>Tabla8[[#This Row],[Costo Variable]]+Tabla8[[#This Row],[Costo fijo]]</f>
        <v>53620.811607748605</v>
      </c>
      <c r="N87" s="15">
        <f>Tabla8[[#This Row],[Costo Total]]*Tabla8[[#This Row],[Numero de Transportes]]</f>
        <v>53620.811607748605</v>
      </c>
      <c r="O87" s="15">
        <f>(Tabla8[[#This Row],[VLR. Transporte unitario]]-Tabla8[[#This Row],[Costo Total]])*Tabla8[[#This Row],[Numero de Transportes]]</f>
        <v>6379.1883922513953</v>
      </c>
      <c r="P87" s="15">
        <f>Tabla8[[#This Row],[Margen de productos]]+Tabla8[[#This Row],[Ganancia/Perdida]]</f>
        <v>672179.18839225138</v>
      </c>
      <c r="Q87" s="144">
        <f>(Tabla8[[#This Row],[Margen ]]/Tabla8[[#This Row],[Margen de productos]])-1</f>
        <v>9.5812381980344696E-3</v>
      </c>
    </row>
    <row r="88" spans="1:17" ht="15" thickBot="1" x14ac:dyDescent="0.35">
      <c r="A88" s="3">
        <v>57685</v>
      </c>
      <c r="B88" s="3" t="str">
        <f>_xlfn.XLOOKUP(Tabla8[[#This Row],[N° FACTURA]],Tabla3[N° FACTURA],Tabla3[Corregimiento],"NA")</f>
        <v>El Palmar</v>
      </c>
      <c r="C88" s="3" t="str">
        <f>_xlfn.XLOOKUP(Tabla8[[#This Row],[N° FACTURA]],Tabla3[N° FACTURA],Tabla3[LUGAR ENVÍO],"NA")</f>
        <v>El palmar</v>
      </c>
      <c r="D88" s="167">
        <f>_xlfn.XLOOKUP(Tabla8[[#This Row],[N° FACTURA]],Tabla3[N° FACTURA],Tabla3[DISTANCIA (km)],"NA")</f>
        <v>4.9299999999999988</v>
      </c>
      <c r="E88" s="3">
        <f>_xlfn.XLOOKUP(Tabla8[[#This Row],[N° FACTURA]],Tabla3[N° FACTURA],Tabla3[Numero de Transportes],"NA")</f>
        <v>1</v>
      </c>
      <c r="F88" s="15">
        <f>_xlfn.XLOOKUP(Tabla8[[#This Row],[N° FACTURA]],Tabla3[N° FACTURA],Tabla3[VLR. TRANSPORTE],"NA")</f>
        <v>80000</v>
      </c>
      <c r="G88" s="15">
        <f>Tabla8[[#This Row],[VLR. TRANSPORTE]]/Tabla8[[#This Row],[Numero de Transportes]]</f>
        <v>80000</v>
      </c>
      <c r="H88" s="15">
        <f>_xlfn.XLOOKUP(Tabla8[[#This Row],[N° FACTURA]],Tabla3[N° FACTURA],Tabla3[VLR. TOTAL FACT.],"NA")</f>
        <v>415000</v>
      </c>
      <c r="I88" s="15">
        <f>Tabla8[[#This Row],[VLR. TOTAL FACT.]]-Tabla8[[#This Row],[VLR. TRANSPORTE]]</f>
        <v>335000</v>
      </c>
      <c r="J88" s="140">
        <f>Tabla8[[#This Row],[VLR. PRODUCTOS]]*0.2</f>
        <v>67000</v>
      </c>
      <c r="K88" s="15">
        <f>'ABC COSTEO'!B$11</f>
        <v>40740.427791666669</v>
      </c>
      <c r="L88" s="15">
        <f>Tabla8[[#This Row],[DISTANCIA (km)]]*2*'ABC COSTEO'!B$21</f>
        <v>13413.665444293185</v>
      </c>
      <c r="M88" s="15">
        <f>Tabla8[[#This Row],[Costo Variable]]+Tabla8[[#This Row],[Costo fijo]]</f>
        <v>54154.093235959852</v>
      </c>
      <c r="N88" s="15">
        <f>Tabla8[[#This Row],[Costo Total]]*Tabla8[[#This Row],[Numero de Transportes]]</f>
        <v>54154.093235959852</v>
      </c>
      <c r="O88" s="15">
        <f>(Tabla8[[#This Row],[VLR. Transporte unitario]]-Tabla8[[#This Row],[Costo Total]])*Tabla8[[#This Row],[Numero de Transportes]]</f>
        <v>25845.906764040148</v>
      </c>
      <c r="P88" s="15">
        <f>Tabla8[[#This Row],[Margen de productos]]+Tabla8[[#This Row],[Ganancia/Perdida]]</f>
        <v>92845.906764040148</v>
      </c>
      <c r="Q88" s="144">
        <f>(Tabla8[[#This Row],[Margen ]]/Tabla8[[#This Row],[Margen de productos]])-1</f>
        <v>0.38575980244836039</v>
      </c>
    </row>
    <row r="89" spans="1:17" ht="15" thickBot="1" x14ac:dyDescent="0.35">
      <c r="A89" s="169">
        <v>50775</v>
      </c>
      <c r="B89" s="3" t="str">
        <f>_xlfn.XLOOKUP(Tabla8[[#This Row],[N° FACTURA]],Tabla3[N° FACTURA],Tabla3[Corregimiento],"NA")</f>
        <v>El Carmen</v>
      </c>
      <c r="C89" s="3" t="str">
        <f>_xlfn.XLOOKUP(Tabla8[[#This Row],[N° FACTURA]],Tabla3[N° FACTURA],Tabla3[LUGAR ENVÍO],"NA")</f>
        <v>La Clorinda</v>
      </c>
      <c r="D89" s="167">
        <f>_xlfn.XLOOKUP(Tabla8[[#This Row],[N° FACTURA]],Tabla3[N° FACTURA],Tabla3[DISTANCIA (km)],"NA")</f>
        <v>5.2639999999999967</v>
      </c>
      <c r="E89" s="3">
        <f>_xlfn.XLOOKUP(Tabla8[[#This Row],[N° FACTURA]],Tabla3[N° FACTURA],Tabla3[Numero de Transportes],"NA")</f>
        <v>1</v>
      </c>
      <c r="F89" s="15">
        <f>_xlfn.XLOOKUP(Tabla8[[#This Row],[N° FACTURA]],Tabla3[N° FACTURA],Tabla3[VLR. TRANSPORTE],"NA")</f>
        <v>35000</v>
      </c>
      <c r="G89" s="15">
        <f>Tabla8[[#This Row],[VLR. TRANSPORTE]]/Tabla8[[#This Row],[Numero de Transportes]]</f>
        <v>35000</v>
      </c>
      <c r="H89" s="15">
        <f>_xlfn.XLOOKUP(Tabla8[[#This Row],[N° FACTURA]],Tabla3[N° FACTURA],Tabla3[VLR. TOTAL FACT.],"NA")</f>
        <v>192600</v>
      </c>
      <c r="I89" s="15">
        <f>Tabla8[[#This Row],[VLR. TOTAL FACT.]]-Tabla8[[#This Row],[VLR. TRANSPORTE]]</f>
        <v>157600</v>
      </c>
      <c r="J89" s="140">
        <f>Tabla8[[#This Row],[VLR. PRODUCTOS]]*0.2</f>
        <v>31520</v>
      </c>
      <c r="K89" s="15">
        <f>'ABC COSTEO'!B$11</f>
        <v>40740.427791666669</v>
      </c>
      <c r="L89" s="15">
        <f>Tabla8[[#This Row],[DISTANCIA (km)]]*2*'ABC COSTEO'!B$21</f>
        <v>14322.420871959288</v>
      </c>
      <c r="M89" s="15">
        <f>Tabla8[[#This Row],[Costo Variable]]+Tabla8[[#This Row],[Costo fijo]]</f>
        <v>55062.848663625955</v>
      </c>
      <c r="N89" s="15">
        <f>Tabla8[[#This Row],[Costo Total]]*Tabla8[[#This Row],[Numero de Transportes]]</f>
        <v>55062.848663625955</v>
      </c>
      <c r="O89" s="15">
        <f>(Tabla8[[#This Row],[VLR. Transporte unitario]]-Tabla8[[#This Row],[Costo Total]])*Tabla8[[#This Row],[Numero de Transportes]]</f>
        <v>-20062.848663625955</v>
      </c>
      <c r="P89" s="15">
        <f>Tabla8[[#This Row],[Margen de productos]]+Tabla8[[#This Row],[Ganancia/Perdida]]</f>
        <v>11457.151336374045</v>
      </c>
      <c r="Q89" s="144">
        <f>(Tabla8[[#This Row],[Margen ]]/Tabla8[[#This Row],[Margen de productos]])-1</f>
        <v>-0.63651169618102643</v>
      </c>
    </row>
    <row r="90" spans="1:17" ht="15" thickBot="1" x14ac:dyDescent="0.35">
      <c r="A90" s="3">
        <v>58250</v>
      </c>
      <c r="B90" s="3" t="str">
        <f>_xlfn.XLOOKUP(Tabla8[[#This Row],[N° FACTURA]],Tabla3[N° FACTURA],Tabla3[Corregimiento],"NA")</f>
        <v>Borrero Ayerbe</v>
      </c>
      <c r="C90" s="3" t="str">
        <f>_xlfn.XLOOKUP(Tabla8[[#This Row],[N° FACTURA]],Tabla3[N° FACTURA],Tabla3[LUGAR ENVÍO],"NA")</f>
        <v>Cositas ricas</v>
      </c>
      <c r="D90" s="167">
        <f>_xlfn.XLOOKUP(Tabla8[[#This Row],[N° FACTURA]],Tabla3[N° FACTURA],Tabla3[DISTANCIA (km)],"NA")</f>
        <v>0.72299999999999998</v>
      </c>
      <c r="E90" s="3">
        <f>_xlfn.XLOOKUP(Tabla8[[#This Row],[N° FACTURA]],Tabla3[N° FACTURA],Tabla3[Numero de Transportes],"NA")</f>
        <v>1</v>
      </c>
      <c r="F90" s="15">
        <f>_xlfn.XLOOKUP(Tabla8[[#This Row],[N° FACTURA]],Tabla3[N° FACTURA],Tabla3[VLR. TRANSPORTE],"NA")</f>
        <v>10000</v>
      </c>
      <c r="G90" s="15">
        <f>Tabla8[[#This Row],[VLR. TRANSPORTE]]/Tabla8[[#This Row],[Numero de Transportes]]</f>
        <v>10000</v>
      </c>
      <c r="H90" s="15">
        <f>_xlfn.XLOOKUP(Tabla8[[#This Row],[N° FACTURA]],Tabla3[N° FACTURA],Tabla3[VLR. TOTAL FACT.],"NA")</f>
        <v>463300</v>
      </c>
      <c r="I90" s="15">
        <f>Tabla8[[#This Row],[VLR. TOTAL FACT.]]-Tabla8[[#This Row],[VLR. TRANSPORTE]]</f>
        <v>453300</v>
      </c>
      <c r="J90" s="140">
        <f>Tabla8[[#This Row],[VLR. PRODUCTOS]]*0.2</f>
        <v>90660</v>
      </c>
      <c r="K90" s="15">
        <f>'ABC COSTEO'!B$11</f>
        <v>40740.427791666669</v>
      </c>
      <c r="L90" s="15">
        <f>Tabla8[[#This Row],[DISTANCIA (km)]]*2*'ABC COSTEO'!B$21</f>
        <v>1967.1562101874188</v>
      </c>
      <c r="M90" s="15">
        <f>Tabla8[[#This Row],[Costo Variable]]+Tabla8[[#This Row],[Costo fijo]]</f>
        <v>42707.584001854091</v>
      </c>
      <c r="N90" s="15">
        <f>Tabla8[[#This Row],[Costo Total]]*Tabla8[[#This Row],[Numero de Transportes]]</f>
        <v>42707.584001854091</v>
      </c>
      <c r="O90" s="15">
        <f>(Tabla8[[#This Row],[VLR. Transporte unitario]]-Tabla8[[#This Row],[Costo Total]])*Tabla8[[#This Row],[Numero de Transportes]]</f>
        <v>-32707.584001854091</v>
      </c>
      <c r="P90" s="15">
        <f>Tabla8[[#This Row],[Margen de productos]]+Tabla8[[#This Row],[Ganancia/Perdida]]</f>
        <v>57952.415998145909</v>
      </c>
      <c r="Q90" s="144">
        <f>(Tabla8[[#This Row],[Margen ]]/Tabla8[[#This Row],[Margen de productos]])-1</f>
        <v>-0.36077193913362116</v>
      </c>
    </row>
    <row r="91" spans="1:17" ht="15" thickBot="1" x14ac:dyDescent="0.35">
      <c r="A91" s="12">
        <v>58646</v>
      </c>
      <c r="B91" s="3" t="str">
        <f>_xlfn.XLOOKUP(Tabla8[[#This Row],[N° FACTURA]],Tabla3[N° FACTURA],Tabla3[Corregimiento],"NA")</f>
        <v>El Limonar</v>
      </c>
      <c r="C91" s="3" t="str">
        <f>_xlfn.XLOOKUP(Tabla8[[#This Row],[N° FACTURA]],Tabla3[N° FACTURA],Tabla3[LUGAR ENVÍO],"NA")</f>
        <v xml:space="preserve">Villahermosa </v>
      </c>
      <c r="D91" s="167">
        <f>_xlfn.XLOOKUP(Tabla8[[#This Row],[N° FACTURA]],Tabla3[N° FACTURA],Tabla3[DISTANCIA (km)],"NA")</f>
        <v>6.7879999999999994</v>
      </c>
      <c r="E91" s="3">
        <f>_xlfn.XLOOKUP(Tabla8[[#This Row],[N° FACTURA]],Tabla3[N° FACTURA],Tabla3[Numero de Transportes],"NA")</f>
        <v>1</v>
      </c>
      <c r="F91" s="15">
        <f>_xlfn.XLOOKUP(Tabla8[[#This Row],[N° FACTURA]],Tabla3[N° FACTURA],Tabla3[VLR. TRANSPORTE],"NA")</f>
        <v>50000</v>
      </c>
      <c r="G91" s="15">
        <f>Tabla8[[#This Row],[VLR. TRANSPORTE]]/Tabla8[[#This Row],[Numero de Transportes]]</f>
        <v>50000</v>
      </c>
      <c r="H91" s="15">
        <f>_xlfn.XLOOKUP(Tabla8[[#This Row],[N° FACTURA]],Tabla3[N° FACTURA],Tabla3[VLR. TOTAL FACT.],"NA")</f>
        <v>4067000</v>
      </c>
      <c r="I91" s="15">
        <f>Tabla8[[#This Row],[VLR. TOTAL FACT.]]-Tabla8[[#This Row],[VLR. TRANSPORTE]]</f>
        <v>4017000</v>
      </c>
      <c r="J91" s="140">
        <f>Tabla8[[#This Row],[VLR. PRODUCTOS]]*0.2</f>
        <v>803400</v>
      </c>
      <c r="K91" s="15">
        <f>'ABC COSTEO'!B$11</f>
        <v>40740.427791666669</v>
      </c>
      <c r="L91" s="15">
        <f>Tabla8[[#This Row],[DISTANCIA (km)]]*2*'ABC COSTEO'!B$21</f>
        <v>18468.957613765142</v>
      </c>
      <c r="M91" s="15">
        <f>Tabla8[[#This Row],[Costo Variable]]+Tabla8[[#This Row],[Costo fijo]]</f>
        <v>59209.385405431807</v>
      </c>
      <c r="N91" s="15">
        <f>Tabla8[[#This Row],[Costo Total]]*Tabla8[[#This Row],[Numero de Transportes]]</f>
        <v>59209.385405431807</v>
      </c>
      <c r="O91" s="15">
        <f>(Tabla8[[#This Row],[VLR. Transporte unitario]]-Tabla8[[#This Row],[Costo Total]])*Tabla8[[#This Row],[Numero de Transportes]]</f>
        <v>-9209.3854054318072</v>
      </c>
      <c r="P91" s="15">
        <f>Tabla8[[#This Row],[Margen de productos]]+Tabla8[[#This Row],[Ganancia/Perdida]]</f>
        <v>794190.61459456815</v>
      </c>
      <c r="Q91" s="144">
        <f>(Tabla8[[#This Row],[Margen ]]/Tabla8[[#This Row],[Margen de productos]])-1</f>
        <v>-1.1463013947512923E-2</v>
      </c>
    </row>
    <row r="92" spans="1:17" ht="15" thickBot="1" x14ac:dyDescent="0.35">
      <c r="A92" s="3">
        <v>48356</v>
      </c>
      <c r="B92" s="3" t="str">
        <f>_xlfn.XLOOKUP(Tabla8[[#This Row],[N° FACTURA]],Tabla3[N° FACTURA],Tabla3[Corregimiento],"NA")</f>
        <v>El Limonar</v>
      </c>
      <c r="C92" s="3" t="str">
        <f>_xlfn.XLOOKUP(Tabla8[[#This Row],[N° FACTURA]],Tabla3[N° FACTURA],Tabla3[LUGAR ENVÍO],"NA")</f>
        <v>KM 34</v>
      </c>
      <c r="D92" s="167">
        <f>_xlfn.XLOOKUP(Tabla8[[#This Row],[N° FACTURA]],Tabla3[N° FACTURA],Tabla3[DISTANCIA (km)],"NA")</f>
        <v>4.3159999999999989</v>
      </c>
      <c r="E92" s="3">
        <f>_xlfn.XLOOKUP(Tabla8[[#This Row],[N° FACTURA]],Tabla3[N° FACTURA],Tabla3[Numero de Transportes],"NA")</f>
        <v>1</v>
      </c>
      <c r="F92" s="15">
        <f>_xlfn.XLOOKUP(Tabla8[[#This Row],[N° FACTURA]],Tabla3[N° FACTURA],Tabla3[VLR. TRANSPORTE],"NA")</f>
        <v>60000</v>
      </c>
      <c r="G92" s="15">
        <f>Tabla8[[#This Row],[VLR. TRANSPORTE]]/Tabla8[[#This Row],[Numero de Transportes]]</f>
        <v>60000</v>
      </c>
      <c r="H92" s="15">
        <f>_xlfn.XLOOKUP(Tabla8[[#This Row],[N° FACTURA]],Tabla3[N° FACTURA],Tabla3[VLR. TOTAL FACT.],"NA")</f>
        <v>1246500</v>
      </c>
      <c r="I92" s="15">
        <f>Tabla8[[#This Row],[VLR. TOTAL FACT.]]-Tabla8[[#This Row],[VLR. TRANSPORTE]]</f>
        <v>1186500</v>
      </c>
      <c r="J92" s="140">
        <f>Tabla8[[#This Row],[VLR. PRODUCTOS]]*0.2</f>
        <v>237300</v>
      </c>
      <c r="K92" s="15">
        <f>'ABC COSTEO'!B$11</f>
        <v>40740.427791666669</v>
      </c>
      <c r="L92" s="15">
        <f>Tabla8[[#This Row],[DISTANCIA (km)]]*2*'ABC COSTEO'!B$21</f>
        <v>11743.07911918243</v>
      </c>
      <c r="M92" s="15">
        <f>Tabla8[[#This Row],[Costo Variable]]+Tabla8[[#This Row],[Costo fijo]]</f>
        <v>52483.506910849101</v>
      </c>
      <c r="N92" s="15">
        <f>Tabla8[[#This Row],[Costo Total]]*Tabla8[[#This Row],[Numero de Transportes]]</f>
        <v>52483.506910849101</v>
      </c>
      <c r="O92" s="15">
        <f>(Tabla8[[#This Row],[VLR. Transporte unitario]]-Tabla8[[#This Row],[Costo Total]])*Tabla8[[#This Row],[Numero de Transportes]]</f>
        <v>7516.4930891508993</v>
      </c>
      <c r="P92" s="15">
        <f>Tabla8[[#This Row],[Margen de productos]]+Tabla8[[#This Row],[Ganancia/Perdida]]</f>
        <v>244816.4930891509</v>
      </c>
      <c r="Q92" s="144">
        <f>(Tabla8[[#This Row],[Margen ]]/Tabla8[[#This Row],[Margen de productos]])-1</f>
        <v>3.1675065693851145E-2</v>
      </c>
    </row>
    <row r="93" spans="1:17" ht="15" thickBot="1" x14ac:dyDescent="0.35">
      <c r="A93" s="12">
        <v>59273</v>
      </c>
      <c r="B93" s="3" t="str">
        <f>_xlfn.XLOOKUP(Tabla8[[#This Row],[N° FACTURA]],Tabla3[N° FACTURA],Tabla3[Corregimiento],"NA")</f>
        <v>El Limonar</v>
      </c>
      <c r="C93" s="3" t="str">
        <f>_xlfn.XLOOKUP(Tabla8[[#This Row],[N° FACTURA]],Tabla3[N° FACTURA],Tabla3[LUGAR ENVÍO],"NA")</f>
        <v>KM 34</v>
      </c>
      <c r="D93" s="167">
        <f>_xlfn.XLOOKUP(Tabla8[[#This Row],[N° FACTURA]],Tabla3[N° FACTURA],Tabla3[DISTANCIA (km)],"NA")</f>
        <v>4.3159999999999989</v>
      </c>
      <c r="E93" s="3">
        <f>_xlfn.XLOOKUP(Tabla8[[#This Row],[N° FACTURA]],Tabla3[N° FACTURA],Tabla3[Numero de Transportes],"NA")</f>
        <v>1</v>
      </c>
      <c r="F93" s="15">
        <f>_xlfn.XLOOKUP(Tabla8[[#This Row],[N° FACTURA]],Tabla3[N° FACTURA],Tabla3[VLR. TRANSPORTE],"NA")</f>
        <v>30000</v>
      </c>
      <c r="G93" s="15">
        <f>Tabla8[[#This Row],[VLR. TRANSPORTE]]/Tabla8[[#This Row],[Numero de Transportes]]</f>
        <v>30000</v>
      </c>
      <c r="H93" s="15">
        <f>_xlfn.XLOOKUP(Tabla8[[#This Row],[N° FACTURA]],Tabla3[N° FACTURA],Tabla3[VLR. TOTAL FACT.],"NA")</f>
        <v>190000</v>
      </c>
      <c r="I93" s="15">
        <f>Tabla8[[#This Row],[VLR. TOTAL FACT.]]-Tabla8[[#This Row],[VLR. TRANSPORTE]]</f>
        <v>160000</v>
      </c>
      <c r="J93" s="140">
        <f>Tabla8[[#This Row],[VLR. PRODUCTOS]]*0.2</f>
        <v>32000</v>
      </c>
      <c r="K93" s="15">
        <f>'ABC COSTEO'!B$11</f>
        <v>40740.427791666669</v>
      </c>
      <c r="L93" s="15">
        <f>Tabla8[[#This Row],[DISTANCIA (km)]]*2*'ABC COSTEO'!B$21</f>
        <v>11743.07911918243</v>
      </c>
      <c r="M93" s="15">
        <f>Tabla8[[#This Row],[Costo Variable]]+Tabla8[[#This Row],[Costo fijo]]</f>
        <v>52483.506910849101</v>
      </c>
      <c r="N93" s="15">
        <f>Tabla8[[#This Row],[Costo Total]]*Tabla8[[#This Row],[Numero de Transportes]]</f>
        <v>52483.506910849101</v>
      </c>
      <c r="O93" s="15">
        <f>(Tabla8[[#This Row],[VLR. Transporte unitario]]-Tabla8[[#This Row],[Costo Total]])*Tabla8[[#This Row],[Numero de Transportes]]</f>
        <v>-22483.506910849101</v>
      </c>
      <c r="P93" s="15">
        <f>Tabla8[[#This Row],[Margen de productos]]+Tabla8[[#This Row],[Ganancia/Perdida]]</f>
        <v>9516.4930891508993</v>
      </c>
      <c r="Q93" s="144">
        <f>(Tabla8[[#This Row],[Margen ]]/Tabla8[[#This Row],[Margen de productos]])-1</f>
        <v>-0.70260959096403441</v>
      </c>
    </row>
    <row r="94" spans="1:17" ht="15" thickBot="1" x14ac:dyDescent="0.35">
      <c r="A94" s="147">
        <v>31052</v>
      </c>
      <c r="B94" s="3" t="str">
        <f>_xlfn.XLOOKUP(Tabla8[[#This Row],[N° FACTURA]],Tabla3[N° FACTURA],Tabla3[Corregimiento],"NA")</f>
        <v>El Carmen</v>
      </c>
      <c r="C94" s="3" t="str">
        <f>_xlfn.XLOOKUP(Tabla8[[#This Row],[N° FACTURA]],Tabla3[N° FACTURA],Tabla3[LUGAR ENVÍO],"NA")</f>
        <v>El Carmelo</v>
      </c>
      <c r="D94" s="167">
        <f>_xlfn.XLOOKUP(Tabla8[[#This Row],[N° FACTURA]],Tabla3[N° FACTURA],Tabla3[DISTANCIA (km)],"NA")</f>
        <v>6.1239999999999988</v>
      </c>
      <c r="E94" s="3">
        <f>_xlfn.XLOOKUP(Tabla8[[#This Row],[N° FACTURA]],Tabla3[N° FACTURA],Tabla3[Numero de Transportes],"NA")</f>
        <v>1</v>
      </c>
      <c r="F94" s="15">
        <f>_xlfn.XLOOKUP(Tabla8[[#This Row],[N° FACTURA]],Tabla3[N° FACTURA],Tabla3[VLR. TRANSPORTE],"NA")</f>
        <v>55000</v>
      </c>
      <c r="G94" s="15">
        <f>Tabla8[[#This Row],[VLR. TRANSPORTE]]/Tabla8[[#This Row],[Numero de Transportes]]</f>
        <v>55000</v>
      </c>
      <c r="H94" s="15">
        <f>_xlfn.XLOOKUP(Tabla8[[#This Row],[N° FACTURA]],Tabla3[N° FACTURA],Tabla3[VLR. TOTAL FACT.],"NA")</f>
        <v>391800</v>
      </c>
      <c r="I94" s="15">
        <f>Tabla8[[#This Row],[VLR. TOTAL FACT.]]-Tabla8[[#This Row],[VLR. TRANSPORTE]]</f>
        <v>336800</v>
      </c>
      <c r="J94" s="140">
        <f>Tabla8[[#This Row],[VLR. PRODUCTOS]]*0.2</f>
        <v>67360</v>
      </c>
      <c r="K94" s="15">
        <f>'ABC COSTEO'!B$11</f>
        <v>40740.427791666669</v>
      </c>
      <c r="L94" s="15">
        <f>Tabla8[[#This Row],[DISTANCIA (km)]]*2*'ABC COSTEO'!B$21</f>
        <v>16662.330056967843</v>
      </c>
      <c r="M94" s="15">
        <f>Tabla8[[#This Row],[Costo Variable]]+Tabla8[[#This Row],[Costo fijo]]</f>
        <v>57402.757848634516</v>
      </c>
      <c r="N94" s="15">
        <f>Tabla8[[#This Row],[Costo Total]]*Tabla8[[#This Row],[Numero de Transportes]]</f>
        <v>57402.757848634516</v>
      </c>
      <c r="O94" s="15">
        <f>(Tabla8[[#This Row],[VLR. Transporte unitario]]-Tabla8[[#This Row],[Costo Total]])*Tabla8[[#This Row],[Numero de Transportes]]</f>
        <v>-2402.7578486345155</v>
      </c>
      <c r="P94" s="15">
        <f>Tabla8[[#This Row],[Margen de productos]]+Tabla8[[#This Row],[Ganancia/Perdida]]</f>
        <v>64957.242151365484</v>
      </c>
      <c r="Q94" s="144">
        <f>(Tabla8[[#This Row],[Margen ]]/Tabla8[[#This Row],[Margen de productos]])-1</f>
        <v>-3.5670395615120531E-2</v>
      </c>
    </row>
    <row r="95" spans="1:17" ht="15" thickBot="1" x14ac:dyDescent="0.35">
      <c r="A95" s="169">
        <v>58274</v>
      </c>
      <c r="B95" s="3" t="str">
        <f>_xlfn.XLOOKUP(Tabla8[[#This Row],[N° FACTURA]],Tabla3[N° FACTURA],Tabla3[Corregimiento],"NA")</f>
        <v>Borrero Ayerbe</v>
      </c>
      <c r="C95" s="3" t="str">
        <f>_xlfn.XLOOKUP(Tabla8[[#This Row],[N° FACTURA]],Tabla3[N° FACTURA],Tabla3[LUGAR ENVÍO],"NA")</f>
        <v>Km 28</v>
      </c>
      <c r="D95" s="167">
        <f>_xlfn.XLOOKUP(Tabla8[[#This Row],[N° FACTURA]],Tabla3[N° FACTURA],Tabla3[DISTANCIA (km)],"NA")</f>
        <v>3.9430140000000011</v>
      </c>
      <c r="E95" s="3">
        <f>_xlfn.XLOOKUP(Tabla8[[#This Row],[N° FACTURA]],Tabla3[N° FACTURA],Tabla3[Numero de Transportes],"NA")</f>
        <v>1</v>
      </c>
      <c r="F95" s="15">
        <f>_xlfn.XLOOKUP(Tabla8[[#This Row],[N° FACTURA]],Tabla3[N° FACTURA],Tabla3[VLR. TRANSPORTE],"NA")</f>
        <v>35000</v>
      </c>
      <c r="G95" s="15">
        <f>Tabla8[[#This Row],[VLR. TRANSPORTE]]/Tabla8[[#This Row],[Numero de Transportes]]</f>
        <v>35000</v>
      </c>
      <c r="H95" s="15">
        <f>_xlfn.XLOOKUP(Tabla8[[#This Row],[N° FACTURA]],Tabla3[N° FACTURA],Tabla3[VLR. TOTAL FACT.],"NA")</f>
        <v>374500</v>
      </c>
      <c r="I95" s="15">
        <f>Tabla8[[#This Row],[VLR. TOTAL FACT.]]-Tabla8[[#This Row],[VLR. TRANSPORTE]]</f>
        <v>339500</v>
      </c>
      <c r="J95" s="140">
        <f>Tabla8[[#This Row],[VLR. PRODUCTOS]]*0.2</f>
        <v>67900</v>
      </c>
      <c r="K95" s="15">
        <f>'ABC COSTEO'!B$11</f>
        <v>40740.427791666669</v>
      </c>
      <c r="L95" s="15">
        <f>Tabla8[[#This Row],[DISTANCIA (km)]]*2*'ABC COSTEO'!B$21</f>
        <v>10728.249622345695</v>
      </c>
      <c r="M95" s="15">
        <f>Tabla8[[#This Row],[Costo Variable]]+Tabla8[[#This Row],[Costo fijo]]</f>
        <v>51468.67741401236</v>
      </c>
      <c r="N95" s="15">
        <f>Tabla8[[#This Row],[Costo Total]]*Tabla8[[#This Row],[Numero de Transportes]]</f>
        <v>51468.67741401236</v>
      </c>
      <c r="O95" s="15">
        <f>(Tabla8[[#This Row],[VLR. Transporte unitario]]-Tabla8[[#This Row],[Costo Total]])*Tabla8[[#This Row],[Numero de Transportes]]</f>
        <v>-16468.67741401236</v>
      </c>
      <c r="P95" s="15">
        <f>Tabla8[[#This Row],[Margen de productos]]+Tabla8[[#This Row],[Ganancia/Perdida]]</f>
        <v>51431.32258598764</v>
      </c>
      <c r="Q95" s="144">
        <f>(Tabla8[[#This Row],[Margen ]]/Tabla8[[#This Row],[Margen de productos]])-1</f>
        <v>-0.24254311360842951</v>
      </c>
    </row>
    <row r="96" spans="1:17" ht="27.6" thickBot="1" x14ac:dyDescent="0.35">
      <c r="A96" s="3">
        <v>58415</v>
      </c>
      <c r="B96" s="3" t="str">
        <f>_xlfn.XLOOKUP(Tabla8[[#This Row],[N° FACTURA]],Tabla3[N° FACTURA],Tabla3[Corregimiento],"NA")</f>
        <v>El Carmen</v>
      </c>
      <c r="C96" s="3" t="str">
        <f>_xlfn.XLOOKUP(Tabla8[[#This Row],[N° FACTURA]],Tabla3[N° FACTURA],Tabla3[LUGAR ENVÍO],"NA")</f>
        <v>Parcelación El bosque</v>
      </c>
      <c r="D96" s="167">
        <f>_xlfn.XLOOKUP(Tabla8[[#This Row],[N° FACTURA]],Tabla3[N° FACTURA],Tabla3[DISTANCIA (km)],"NA")</f>
        <v>4.8000390000000017</v>
      </c>
      <c r="E96" s="3">
        <f>_xlfn.XLOOKUP(Tabla8[[#This Row],[N° FACTURA]],Tabla3[N° FACTURA],Tabla3[Numero de Transportes],"NA")</f>
        <v>1</v>
      </c>
      <c r="F96" s="15">
        <f>_xlfn.XLOOKUP(Tabla8[[#This Row],[N° FACTURA]],Tabla3[N° FACTURA],Tabla3[VLR. TRANSPORTE],"NA")</f>
        <v>60000</v>
      </c>
      <c r="G96" s="15">
        <f>Tabla8[[#This Row],[VLR. TRANSPORTE]]/Tabla8[[#This Row],[Numero de Transportes]]</f>
        <v>60000</v>
      </c>
      <c r="H96" s="15">
        <f>_xlfn.XLOOKUP(Tabla8[[#This Row],[N° FACTURA]],Tabla3[N° FACTURA],Tabla3[VLR. TOTAL FACT.],"NA")</f>
        <v>956000</v>
      </c>
      <c r="I96" s="15">
        <f>Tabla8[[#This Row],[VLR. TOTAL FACT.]]-Tabla8[[#This Row],[VLR. TRANSPORTE]]</f>
        <v>896000</v>
      </c>
      <c r="J96" s="140">
        <f>Tabla8[[#This Row],[VLR. PRODUCTOS]]*0.2</f>
        <v>179200</v>
      </c>
      <c r="K96" s="15">
        <f>'ABC COSTEO'!B$11</f>
        <v>40740.427791666669</v>
      </c>
      <c r="L96" s="15">
        <f>Tabla8[[#This Row],[DISTANCIA (km)]]*2*'ABC COSTEO'!B$21</f>
        <v>13060.064354068894</v>
      </c>
      <c r="M96" s="15">
        <f>Tabla8[[#This Row],[Costo Variable]]+Tabla8[[#This Row],[Costo fijo]]</f>
        <v>53800.492145735567</v>
      </c>
      <c r="N96" s="15">
        <f>Tabla8[[#This Row],[Costo Total]]*Tabla8[[#This Row],[Numero de Transportes]]</f>
        <v>53800.492145735567</v>
      </c>
      <c r="O96" s="15">
        <f>(Tabla8[[#This Row],[VLR. Transporte unitario]]-Tabla8[[#This Row],[Costo Total]])*Tabla8[[#This Row],[Numero de Transportes]]</f>
        <v>6199.5078542644333</v>
      </c>
      <c r="P96" s="15">
        <f>Tabla8[[#This Row],[Margen de productos]]+Tabla8[[#This Row],[Ganancia/Perdida]]</f>
        <v>185399.50785426443</v>
      </c>
      <c r="Q96" s="144">
        <f>(Tabla8[[#This Row],[Margen ]]/Tabla8[[#This Row],[Margen de productos]])-1</f>
        <v>3.4595467936743507E-2</v>
      </c>
    </row>
    <row r="97" spans="1:17" ht="15" thickBot="1" x14ac:dyDescent="0.35">
      <c r="A97" s="12">
        <v>47038</v>
      </c>
      <c r="B97" s="3" t="str">
        <f>_xlfn.XLOOKUP(Tabla8[[#This Row],[N° FACTURA]],Tabla3[N° FACTURA],Tabla3[Corregimiento],"NA")</f>
        <v>El Carmen</v>
      </c>
      <c r="C97" s="3" t="str">
        <f>_xlfn.XLOOKUP(Tabla8[[#This Row],[N° FACTURA]],Tabla3[N° FACTURA],Tabla3[LUGAR ENVÍO],"NA")</f>
        <v>Altos del Carmen</v>
      </c>
      <c r="D97" s="167">
        <f>_xlfn.XLOOKUP(Tabla8[[#This Row],[N° FACTURA]],Tabla3[N° FACTURA],Tabla3[DISTANCIA (km)],"NA")</f>
        <v>5.4639999999999986</v>
      </c>
      <c r="E97" s="3">
        <f>_xlfn.XLOOKUP(Tabla8[[#This Row],[N° FACTURA]],Tabla3[N° FACTURA],Tabla3[Numero de Transportes],"NA")</f>
        <v>1</v>
      </c>
      <c r="F97" s="15">
        <f>_xlfn.XLOOKUP(Tabla8[[#This Row],[N° FACTURA]],Tabla3[N° FACTURA],Tabla3[VLR. TRANSPORTE],"NA")</f>
        <v>40000</v>
      </c>
      <c r="G97" s="15">
        <f>Tabla8[[#This Row],[VLR. TRANSPORTE]]/Tabla8[[#This Row],[Numero de Transportes]]</f>
        <v>40000</v>
      </c>
      <c r="H97" s="15">
        <f>_xlfn.XLOOKUP(Tabla8[[#This Row],[N° FACTURA]],Tabla3[N° FACTURA],Tabla3[VLR. TOTAL FACT.],"NA")</f>
        <v>515000</v>
      </c>
      <c r="I97" s="15">
        <f>Tabla8[[#This Row],[VLR. TOTAL FACT.]]-Tabla8[[#This Row],[VLR. TRANSPORTE]]</f>
        <v>475000</v>
      </c>
      <c r="J97" s="140">
        <f>Tabla8[[#This Row],[VLR. PRODUCTOS]]*0.2</f>
        <v>95000</v>
      </c>
      <c r="K97" s="15">
        <f>'ABC COSTEO'!B$11</f>
        <v>40740.427791666669</v>
      </c>
      <c r="L97" s="15">
        <f>Tabla8[[#This Row],[DISTANCIA (km)]]*2*'ABC COSTEO'!B$21</f>
        <v>14866.585798705468</v>
      </c>
      <c r="M97" s="15">
        <f>Tabla8[[#This Row],[Costo Variable]]+Tabla8[[#This Row],[Costo fijo]]</f>
        <v>55607.013590372138</v>
      </c>
      <c r="N97" s="15">
        <f>Tabla8[[#This Row],[Costo Total]]*Tabla8[[#This Row],[Numero de Transportes]]</f>
        <v>55607.013590372138</v>
      </c>
      <c r="O97" s="15">
        <f>(Tabla8[[#This Row],[VLR. Transporte unitario]]-Tabla8[[#This Row],[Costo Total]])*Tabla8[[#This Row],[Numero de Transportes]]</f>
        <v>-15607.013590372138</v>
      </c>
      <c r="P97" s="15">
        <f>Tabla8[[#This Row],[Margen de productos]]+Tabla8[[#This Row],[Ganancia/Perdida]]</f>
        <v>79392.986409627862</v>
      </c>
      <c r="Q97" s="144">
        <f>(Tabla8[[#This Row],[Margen ]]/Tabla8[[#This Row],[Margen de productos]])-1</f>
        <v>-0.16428435358286464</v>
      </c>
    </row>
    <row r="98" spans="1:17" ht="15" thickBot="1" x14ac:dyDescent="0.35">
      <c r="A98" s="3">
        <v>58449</v>
      </c>
      <c r="B98" s="3" t="str">
        <f>_xlfn.XLOOKUP(Tabla8[[#This Row],[N° FACTURA]],Tabla3[N° FACTURA],Tabla3[Corregimiento],"NA")</f>
        <v>El Carmen</v>
      </c>
      <c r="C98" s="3" t="str">
        <f>_xlfn.XLOOKUP(Tabla8[[#This Row],[N° FACTURA]],Tabla3[N° FACTURA],Tabla3[LUGAR ENVÍO],"NA")</f>
        <v>Carmen</v>
      </c>
      <c r="D98" s="167">
        <f>_xlfn.XLOOKUP(Tabla8[[#This Row],[N° FACTURA]],Tabla3[N° FACTURA],Tabla3[DISTANCIA (km)],"NA")</f>
        <v>4.2009999999999987</v>
      </c>
      <c r="E98" s="3">
        <f>_xlfn.XLOOKUP(Tabla8[[#This Row],[N° FACTURA]],Tabla3[N° FACTURA],Tabla3[Numero de Transportes],"NA")</f>
        <v>1</v>
      </c>
      <c r="F98" s="15">
        <f>_xlfn.XLOOKUP(Tabla8[[#This Row],[N° FACTURA]],Tabla3[N° FACTURA],Tabla3[VLR. TRANSPORTE],"NA")</f>
        <v>60000</v>
      </c>
      <c r="G98" s="15">
        <f>Tabla8[[#This Row],[VLR. TRANSPORTE]]/Tabla8[[#This Row],[Numero de Transportes]]</f>
        <v>60000</v>
      </c>
      <c r="H98" s="15">
        <f>_xlfn.XLOOKUP(Tabla8[[#This Row],[N° FACTURA]],Tabla3[N° FACTURA],Tabla3[VLR. TOTAL FACT.],"NA")</f>
        <v>213000</v>
      </c>
      <c r="I98" s="15">
        <f>Tabla8[[#This Row],[VLR. TOTAL FACT.]]-Tabla8[[#This Row],[VLR. TRANSPORTE]]</f>
        <v>153000</v>
      </c>
      <c r="J98" s="140">
        <f>Tabla8[[#This Row],[VLR. PRODUCTOS]]*0.2</f>
        <v>30600</v>
      </c>
      <c r="K98" s="15">
        <f>'ABC COSTEO'!B$11</f>
        <v>40740.427791666669</v>
      </c>
      <c r="L98" s="15">
        <f>Tabla8[[#This Row],[DISTANCIA (km)]]*2*'ABC COSTEO'!B$21</f>
        <v>11430.18428630338</v>
      </c>
      <c r="M98" s="15">
        <f>Tabla8[[#This Row],[Costo Variable]]+Tabla8[[#This Row],[Costo fijo]]</f>
        <v>52170.61207797005</v>
      </c>
      <c r="N98" s="15">
        <f>Tabla8[[#This Row],[Costo Total]]*Tabla8[[#This Row],[Numero de Transportes]]</f>
        <v>52170.61207797005</v>
      </c>
      <c r="O98" s="15">
        <f>(Tabla8[[#This Row],[VLR. Transporte unitario]]-Tabla8[[#This Row],[Costo Total]])*Tabla8[[#This Row],[Numero de Transportes]]</f>
        <v>7829.3879220299496</v>
      </c>
      <c r="P98" s="15">
        <f>Tabla8[[#This Row],[Margen de productos]]+Tabla8[[#This Row],[Ganancia/Perdida]]</f>
        <v>38429.38792202995</v>
      </c>
      <c r="Q98" s="144">
        <f>(Tabla8[[#This Row],[Margen ]]/Tabla8[[#This Row],[Margen de productos]])-1</f>
        <v>0.25586235039313565</v>
      </c>
    </row>
    <row r="99" spans="1:17" ht="27.6" thickBot="1" x14ac:dyDescent="0.35">
      <c r="A99" s="12">
        <v>57849</v>
      </c>
      <c r="B99" s="3" t="str">
        <f>_xlfn.XLOOKUP(Tabla8[[#This Row],[N° FACTURA]],Tabla3[N° FACTURA],Tabla3[Corregimiento],"NA")</f>
        <v>El Carmen</v>
      </c>
      <c r="C99" s="3" t="str">
        <f>_xlfn.XLOOKUP(Tabla8[[#This Row],[N° FACTURA]],Tabla3[N° FACTURA],Tabla3[LUGAR ENVÍO],"NA")</f>
        <v>Parcelacion la Cristalina</v>
      </c>
      <c r="D99" s="167">
        <f>_xlfn.XLOOKUP(Tabla8[[#This Row],[N° FACTURA]],Tabla3[N° FACTURA],Tabla3[DISTANCIA (km)],"NA")</f>
        <v>2.7099999999999986</v>
      </c>
      <c r="E99" s="3">
        <f>_xlfn.XLOOKUP(Tabla8[[#This Row],[N° FACTURA]],Tabla3[N° FACTURA],Tabla3[Numero de Transportes],"NA")</f>
        <v>1</v>
      </c>
      <c r="F99" s="15">
        <f>_xlfn.XLOOKUP(Tabla8[[#This Row],[N° FACTURA]],Tabla3[N° FACTURA],Tabla3[VLR. TRANSPORTE],"NA")</f>
        <v>60000</v>
      </c>
      <c r="G99" s="15">
        <f>Tabla8[[#This Row],[VLR. TRANSPORTE]]/Tabla8[[#This Row],[Numero de Transportes]]</f>
        <v>60000</v>
      </c>
      <c r="H99" s="15">
        <f>_xlfn.XLOOKUP(Tabla8[[#This Row],[N° FACTURA]],Tabla3[N° FACTURA],Tabla3[VLR. TOTAL FACT.],"NA")</f>
        <v>400000</v>
      </c>
      <c r="I99" s="15">
        <f>Tabla8[[#This Row],[VLR. TOTAL FACT.]]-Tabla8[[#This Row],[VLR. TRANSPORTE]]</f>
        <v>340000</v>
      </c>
      <c r="J99" s="140">
        <f>Tabla8[[#This Row],[VLR. PRODUCTOS]]*0.2</f>
        <v>68000</v>
      </c>
      <c r="K99" s="15">
        <f>'ABC COSTEO'!B$11</f>
        <v>40740.427791666669</v>
      </c>
      <c r="L99" s="15">
        <f>Tabla8[[#This Row],[DISTANCIA (km)]]*2*'ABC COSTEO'!B$21</f>
        <v>7373.4347574106532</v>
      </c>
      <c r="M99" s="15">
        <f>Tabla8[[#This Row],[Costo Variable]]+Tabla8[[#This Row],[Costo fijo]]</f>
        <v>48113.862549077319</v>
      </c>
      <c r="N99" s="15">
        <f>Tabla8[[#This Row],[Costo Total]]*Tabla8[[#This Row],[Numero de Transportes]]</f>
        <v>48113.862549077319</v>
      </c>
      <c r="O99" s="15">
        <f>(Tabla8[[#This Row],[VLR. Transporte unitario]]-Tabla8[[#This Row],[Costo Total]])*Tabla8[[#This Row],[Numero de Transportes]]</f>
        <v>11886.137450922681</v>
      </c>
      <c r="P99" s="15">
        <f>Tabla8[[#This Row],[Margen de productos]]+Tabla8[[#This Row],[Ganancia/Perdida]]</f>
        <v>79886.137450922688</v>
      </c>
      <c r="Q99" s="144">
        <f>(Tabla8[[#This Row],[Margen ]]/Tabla8[[#This Row],[Margen de productos]])-1</f>
        <v>0.17479613898415725</v>
      </c>
    </row>
    <row r="100" spans="1:17" ht="15" thickBot="1" x14ac:dyDescent="0.35">
      <c r="A100" s="93">
        <v>57842</v>
      </c>
      <c r="B100" s="3" t="str">
        <f>_xlfn.XLOOKUP(Tabla8[[#This Row],[N° FACTURA]],Tabla3[N° FACTURA],Tabla3[Corregimiento],"NA")</f>
        <v>Borrero Ayerbe</v>
      </c>
      <c r="C100" s="3" t="str">
        <f>_xlfn.XLOOKUP(Tabla8[[#This Row],[N° FACTURA]],Tabla3[N° FACTURA],Tabla3[LUGAR ENVÍO],"NA")</f>
        <v>Monteredondo</v>
      </c>
      <c r="D100" s="167">
        <f>_xlfn.XLOOKUP(Tabla8[[#This Row],[N° FACTURA]],Tabla3[N° FACTURA],Tabla3[DISTANCIA (km)],"NA")</f>
        <v>0.42800000000000005</v>
      </c>
      <c r="E100" s="3">
        <f>_xlfn.XLOOKUP(Tabla8[[#This Row],[N° FACTURA]],Tabla3[N° FACTURA],Tabla3[Numero de Transportes],"NA")</f>
        <v>1</v>
      </c>
      <c r="F100" s="15">
        <f>_xlfn.XLOOKUP(Tabla8[[#This Row],[N° FACTURA]],Tabla3[N° FACTURA],Tabla3[VLR. TRANSPORTE],"NA")</f>
        <v>15000</v>
      </c>
      <c r="G100" s="15">
        <f>Tabla8[[#This Row],[VLR. TRANSPORTE]]/Tabla8[[#This Row],[Numero de Transportes]]</f>
        <v>15000</v>
      </c>
      <c r="H100" s="15">
        <f>_xlfn.XLOOKUP(Tabla8[[#This Row],[N° FACTURA]],Tabla3[N° FACTURA],Tabla3[VLR. TOTAL FACT.],"NA")</f>
        <v>351000</v>
      </c>
      <c r="I100" s="15">
        <f>Tabla8[[#This Row],[VLR. TOTAL FACT.]]-Tabla8[[#This Row],[VLR. TRANSPORTE]]</f>
        <v>336000</v>
      </c>
      <c r="J100" s="140">
        <f>Tabla8[[#This Row],[VLR. PRODUCTOS]]*0.2</f>
        <v>67200</v>
      </c>
      <c r="K100" s="15">
        <f>'ABC COSTEO'!B$11</f>
        <v>40740.427791666669</v>
      </c>
      <c r="L100" s="15">
        <f>Tabla8[[#This Row],[DISTANCIA (km)]]*2*'ABC COSTEO'!B$21</f>
        <v>1164.5129432368124</v>
      </c>
      <c r="M100" s="15">
        <f>Tabla8[[#This Row],[Costo Variable]]+Tabla8[[#This Row],[Costo fijo]]</f>
        <v>41904.940734903481</v>
      </c>
      <c r="N100" s="15">
        <f>Tabla8[[#This Row],[Costo Total]]*Tabla8[[#This Row],[Numero de Transportes]]</f>
        <v>41904.940734903481</v>
      </c>
      <c r="O100" s="15">
        <f>(Tabla8[[#This Row],[VLR. Transporte unitario]]-Tabla8[[#This Row],[Costo Total]])*Tabla8[[#This Row],[Numero de Transportes]]</f>
        <v>-26904.940734903481</v>
      </c>
      <c r="P100" s="15">
        <f>Tabla8[[#This Row],[Margen de productos]]+Tabla8[[#This Row],[Ganancia/Perdida]]</f>
        <v>40295.059265096519</v>
      </c>
      <c r="Q100" s="144">
        <f>(Tabla8[[#This Row],[Margen ]]/Tabla8[[#This Row],[Margen de productos]])-1</f>
        <v>-0.40037114188844469</v>
      </c>
    </row>
    <row r="101" spans="1:17" ht="15" thickBot="1" x14ac:dyDescent="0.35">
      <c r="A101" s="12">
        <v>47665</v>
      </c>
      <c r="B101" s="3" t="str">
        <f>_xlfn.XLOOKUP(Tabla8[[#This Row],[N° FACTURA]],Tabla3[N° FACTURA],Tabla3[Corregimiento],"NA")</f>
        <v>Borrero Ayerbe</v>
      </c>
      <c r="C101" s="3" t="str">
        <f>_xlfn.XLOOKUP(Tabla8[[#This Row],[N° FACTURA]],Tabla3[N° FACTURA],Tabla3[LUGAR ENVÍO],"NA")</f>
        <v>casa verde</v>
      </c>
      <c r="D101" s="167">
        <f>_xlfn.XLOOKUP(Tabla8[[#This Row],[N° FACTURA]],Tabla3[N° FACTURA],Tabla3[DISTANCIA (km)],"NA")</f>
        <v>4.6260000000000003</v>
      </c>
      <c r="E101" s="3">
        <f>_xlfn.XLOOKUP(Tabla8[[#This Row],[N° FACTURA]],Tabla3[N° FACTURA],Tabla3[Numero de Transportes],"NA")</f>
        <v>1</v>
      </c>
      <c r="F101" s="15">
        <f>_xlfn.XLOOKUP(Tabla8[[#This Row],[N° FACTURA]],Tabla3[N° FACTURA],Tabla3[VLR. TRANSPORTE],"NA")</f>
        <v>30000</v>
      </c>
      <c r="G101" s="15">
        <f>Tabla8[[#This Row],[VLR. TRANSPORTE]]/Tabla8[[#This Row],[Numero de Transportes]]</f>
        <v>30000</v>
      </c>
      <c r="H101" s="15">
        <f>_xlfn.XLOOKUP(Tabla8[[#This Row],[N° FACTURA]],Tabla3[N° FACTURA],Tabla3[VLR. TOTAL FACT.],"NA")</f>
        <v>202000</v>
      </c>
      <c r="I101" s="15">
        <f>Tabla8[[#This Row],[VLR. TOTAL FACT.]]-Tabla8[[#This Row],[VLR. TRANSPORTE]]</f>
        <v>172000</v>
      </c>
      <c r="J101" s="140">
        <f>Tabla8[[#This Row],[VLR. PRODUCTOS]]*0.2</f>
        <v>34400</v>
      </c>
      <c r="K101" s="15">
        <f>'ABC COSTEO'!B$11</f>
        <v>40740.427791666669</v>
      </c>
      <c r="L101" s="15">
        <f>Tabla8[[#This Row],[DISTANCIA (km)]]*2*'ABC COSTEO'!B$21</f>
        <v>12586.534755639004</v>
      </c>
      <c r="M101" s="15">
        <f>Tabla8[[#This Row],[Costo Variable]]+Tabla8[[#This Row],[Costo fijo]]</f>
        <v>53326.962547305673</v>
      </c>
      <c r="N101" s="15">
        <f>Tabla8[[#This Row],[Costo Total]]*Tabla8[[#This Row],[Numero de Transportes]]</f>
        <v>53326.962547305673</v>
      </c>
      <c r="O101" s="15">
        <f>(Tabla8[[#This Row],[VLR. Transporte unitario]]-Tabla8[[#This Row],[Costo Total]])*Tabla8[[#This Row],[Numero de Transportes]]</f>
        <v>-23326.962547305673</v>
      </c>
      <c r="P101" s="15">
        <f>Tabla8[[#This Row],[Margen de productos]]+Tabla8[[#This Row],[Ganancia/Perdida]]</f>
        <v>11073.037452694327</v>
      </c>
      <c r="Q101" s="144">
        <f>(Tabla8[[#This Row],[Margen ]]/Tabla8[[#This Row],[Margen de productos]])-1</f>
        <v>-0.67810937637516489</v>
      </c>
    </row>
    <row r="102" spans="1:17" ht="15" thickBot="1" x14ac:dyDescent="0.35">
      <c r="A102" s="3">
        <v>58563</v>
      </c>
      <c r="B102" s="3" t="str">
        <f>_xlfn.XLOOKUP(Tabla8[[#This Row],[N° FACTURA]],Tabla3[N° FACTURA],Tabla3[Corregimiento],"NA")</f>
        <v>El Limonar</v>
      </c>
      <c r="C102" s="3" t="str">
        <f>_xlfn.XLOOKUP(Tabla8[[#This Row],[N° FACTURA]],Tabla3[N° FACTURA],Tabla3[LUGAR ENVÍO],"NA")</f>
        <v xml:space="preserve">Villahermosa </v>
      </c>
      <c r="D102" s="167">
        <f>_xlfn.XLOOKUP(Tabla8[[#This Row],[N° FACTURA]],Tabla3[N° FACTURA],Tabla3[DISTANCIA (km)],"NA")</f>
        <v>6.7879999999999994</v>
      </c>
      <c r="E102" s="3">
        <f>_xlfn.XLOOKUP(Tabla8[[#This Row],[N° FACTURA]],Tabla3[N° FACTURA],Tabla3[Numero de Transportes],"NA")</f>
        <v>2</v>
      </c>
      <c r="F102" s="15">
        <f>_xlfn.XLOOKUP(Tabla8[[#This Row],[N° FACTURA]],Tabla3[N° FACTURA],Tabla3[VLR. TRANSPORTE],"NA")</f>
        <v>200000</v>
      </c>
      <c r="G102" s="15">
        <f>Tabla8[[#This Row],[VLR. TRANSPORTE]]/Tabla8[[#This Row],[Numero de Transportes]]</f>
        <v>100000</v>
      </c>
      <c r="H102" s="15">
        <f>_xlfn.XLOOKUP(Tabla8[[#This Row],[N° FACTURA]],Tabla3[N° FACTURA],Tabla3[VLR. TOTAL FACT.],"NA")</f>
        <v>1044500</v>
      </c>
      <c r="I102" s="15">
        <f>Tabla8[[#This Row],[VLR. TOTAL FACT.]]-Tabla8[[#This Row],[VLR. TRANSPORTE]]</f>
        <v>844500</v>
      </c>
      <c r="J102" s="140">
        <f>Tabla8[[#This Row],[VLR. PRODUCTOS]]*0.2</f>
        <v>168900</v>
      </c>
      <c r="K102" s="15">
        <f>'ABC COSTEO'!B$11</f>
        <v>40740.427791666669</v>
      </c>
      <c r="L102" s="15">
        <f>Tabla8[[#This Row],[DISTANCIA (km)]]*2*'ABC COSTEO'!B$21</f>
        <v>18468.957613765142</v>
      </c>
      <c r="M102" s="15">
        <f>Tabla8[[#This Row],[Costo Variable]]+Tabla8[[#This Row],[Costo fijo]]</f>
        <v>59209.385405431807</v>
      </c>
      <c r="N102" s="15">
        <f>Tabla8[[#This Row],[Costo Total]]*Tabla8[[#This Row],[Numero de Transportes]]</f>
        <v>118418.77081086361</v>
      </c>
      <c r="O102" s="15">
        <f>(Tabla8[[#This Row],[VLR. Transporte unitario]]-Tabla8[[#This Row],[Costo Total]])*Tabla8[[#This Row],[Numero de Transportes]]</f>
        <v>81581.229189136386</v>
      </c>
      <c r="P102" s="15">
        <f>Tabla8[[#This Row],[Margen de productos]]+Tabla8[[#This Row],[Ganancia/Perdida]]</f>
        <v>250481.22918913639</v>
      </c>
      <c r="Q102" s="144">
        <f>(Tabla8[[#This Row],[Margen ]]/Tabla8[[#This Row],[Margen de productos]])-1</f>
        <v>0.48301497447682884</v>
      </c>
    </row>
    <row r="103" spans="1:17" ht="15" thickBot="1" x14ac:dyDescent="0.35">
      <c r="A103" s="12">
        <v>58552</v>
      </c>
      <c r="B103" s="3" t="str">
        <f>_xlfn.XLOOKUP(Tabla8[[#This Row],[N° FACTURA]],Tabla3[N° FACTURA],Tabla3[Corregimiento],"NA")</f>
        <v>Borrero Ayerbe</v>
      </c>
      <c r="C103" s="3" t="str">
        <f>_xlfn.XLOOKUP(Tabla8[[#This Row],[N° FACTURA]],Tabla3[N° FACTURA],Tabla3[LUGAR ENVÍO],"NA")</f>
        <v>Tierras blancas</v>
      </c>
      <c r="D103" s="167">
        <f>_xlfn.XLOOKUP(Tabla8[[#This Row],[N° FACTURA]],Tabla3[N° FACTURA],Tabla3[DISTANCIA (km)],"NA")</f>
        <v>0.44900000000000007</v>
      </c>
      <c r="E103" s="3">
        <f>_xlfn.XLOOKUP(Tabla8[[#This Row],[N° FACTURA]],Tabla3[N° FACTURA],Tabla3[Numero de Transportes],"NA")</f>
        <v>1</v>
      </c>
      <c r="F103" s="15">
        <f>_xlfn.XLOOKUP(Tabla8[[#This Row],[N° FACTURA]],Tabla3[N° FACTURA],Tabla3[VLR. TRANSPORTE],"NA")</f>
        <v>25000</v>
      </c>
      <c r="G103" s="15">
        <f>Tabla8[[#This Row],[VLR. TRANSPORTE]]/Tabla8[[#This Row],[Numero de Transportes]]</f>
        <v>25000</v>
      </c>
      <c r="H103" s="15">
        <f>_xlfn.XLOOKUP(Tabla8[[#This Row],[N° FACTURA]],Tabla3[N° FACTURA],Tabla3[VLR. TOTAL FACT.],"NA")</f>
        <v>590000</v>
      </c>
      <c r="I103" s="96">
        <f>Tabla8[[#This Row],[VLR. TOTAL FACT.]]-Tabla8[[#This Row],[VLR. TRANSPORTE]]</f>
        <v>565000</v>
      </c>
      <c r="J103" s="140">
        <f>Tabla8[[#This Row],[VLR. PRODUCTOS]]*0.2</f>
        <v>113000</v>
      </c>
      <c r="K103" s="15">
        <f>'ABC COSTEO'!B$11</f>
        <v>40740.427791666669</v>
      </c>
      <c r="L103" s="15">
        <f>Tabla8[[#This Row],[DISTANCIA (km)]]*2*'ABC COSTEO'!B$21</f>
        <v>1221.6502605451606</v>
      </c>
      <c r="M103" s="15">
        <f>Tabla8[[#This Row],[Costo Variable]]+Tabla8[[#This Row],[Costo fijo]]</f>
        <v>41962.078052211829</v>
      </c>
      <c r="N103" s="15">
        <f>Tabla8[[#This Row],[Costo Total]]*Tabla8[[#This Row],[Numero de Transportes]]</f>
        <v>41962.078052211829</v>
      </c>
      <c r="O103" s="15">
        <f>(Tabla8[[#This Row],[VLR. Transporte unitario]]-Tabla8[[#This Row],[Costo Total]])*Tabla8[[#This Row],[Numero de Transportes]]</f>
        <v>-16962.078052211829</v>
      </c>
      <c r="P103" s="15">
        <f>Tabla8[[#This Row],[Margen de productos]]+Tabla8[[#This Row],[Ganancia/Perdida]]</f>
        <v>96037.921947788171</v>
      </c>
      <c r="Q103" s="144">
        <f>(Tabla8[[#This Row],[Margen ]]/Tabla8[[#This Row],[Margen de productos]])-1</f>
        <v>-0.15010688541780381</v>
      </c>
    </row>
    <row r="104" spans="1:17" ht="15" thickBot="1" x14ac:dyDescent="0.35">
      <c r="A104" s="147">
        <v>38842</v>
      </c>
      <c r="B104" s="3" t="str">
        <f>_xlfn.XLOOKUP(Tabla8[[#This Row],[N° FACTURA]],Tabla3[N° FACTURA],Tabla3[Corregimiento],"NA")</f>
        <v>Borrero Ayerbe</v>
      </c>
      <c r="C104" s="3" t="str">
        <f>_xlfn.XLOOKUP(Tabla8[[#This Row],[N° FACTURA]],Tabla3[N° FACTURA],Tabla3[LUGAR ENVÍO],"NA")</f>
        <v>casa verde</v>
      </c>
      <c r="D104" s="167">
        <f>_xlfn.XLOOKUP(Tabla8[[#This Row],[N° FACTURA]],Tabla3[N° FACTURA],Tabla3[DISTANCIA (km)],"NA")</f>
        <v>4.6260000000000003</v>
      </c>
      <c r="E104" s="3">
        <f>_xlfn.XLOOKUP(Tabla8[[#This Row],[N° FACTURA]],Tabla3[N° FACTURA],Tabla3[Numero de Transportes],"NA")</f>
        <v>1</v>
      </c>
      <c r="F104" s="15">
        <f>_xlfn.XLOOKUP(Tabla8[[#This Row],[N° FACTURA]],Tabla3[N° FACTURA],Tabla3[VLR. TRANSPORTE],"NA")</f>
        <v>80000</v>
      </c>
      <c r="G104" s="15">
        <f>Tabla8[[#This Row],[VLR. TRANSPORTE]]/Tabla8[[#This Row],[Numero de Transportes]]</f>
        <v>80000</v>
      </c>
      <c r="H104" s="15">
        <f>_xlfn.XLOOKUP(Tabla8[[#This Row],[N° FACTURA]],Tabla3[N° FACTURA],Tabla3[VLR. TOTAL FACT.],"NA")</f>
        <v>246100</v>
      </c>
      <c r="I104" s="15">
        <f>Tabla8[[#This Row],[VLR. TOTAL FACT.]]-Tabla8[[#This Row],[VLR. TRANSPORTE]]</f>
        <v>166100</v>
      </c>
      <c r="J104" s="140">
        <f>Tabla8[[#This Row],[VLR. PRODUCTOS]]*0.2</f>
        <v>33220</v>
      </c>
      <c r="K104" s="15">
        <f>'ABC COSTEO'!B$11</f>
        <v>40740.427791666669</v>
      </c>
      <c r="L104" s="15">
        <f>Tabla8[[#This Row],[DISTANCIA (km)]]*2*'ABC COSTEO'!B$21</f>
        <v>12586.534755639004</v>
      </c>
      <c r="M104" s="15">
        <f>Tabla8[[#This Row],[Costo Variable]]+Tabla8[[#This Row],[Costo fijo]]</f>
        <v>53326.962547305673</v>
      </c>
      <c r="N104" s="15">
        <f>Tabla8[[#This Row],[Costo Total]]*Tabla8[[#This Row],[Numero de Transportes]]</f>
        <v>53326.962547305673</v>
      </c>
      <c r="O104" s="15">
        <f>(Tabla8[[#This Row],[VLR. Transporte unitario]]-Tabla8[[#This Row],[Costo Total]])*Tabla8[[#This Row],[Numero de Transportes]]</f>
        <v>26673.037452694327</v>
      </c>
      <c r="P104" s="15">
        <f>Tabla8[[#This Row],[Margen de productos]]+Tabla8[[#This Row],[Ganancia/Perdida]]</f>
        <v>59893.037452694327</v>
      </c>
      <c r="Q104" s="144">
        <f>(Tabla8[[#This Row],[Margen ]]/Tabla8[[#This Row],[Margen de productos]])-1</f>
        <v>0.80292105516840229</v>
      </c>
    </row>
    <row r="105" spans="1:17" ht="15" thickBot="1" x14ac:dyDescent="0.35">
      <c r="A105" s="12">
        <v>58870</v>
      </c>
      <c r="B105" s="3" t="str">
        <f>_xlfn.XLOOKUP(Tabla8[[#This Row],[N° FACTURA]],Tabla3[N° FACTURA],Tabla3[Corregimiento],"NA")</f>
        <v>San Bernardo</v>
      </c>
      <c r="C105" s="3" t="str">
        <f>_xlfn.XLOOKUP(Tabla8[[#This Row],[N° FACTURA]],Tabla3[N° FACTURA],Tabla3[LUGAR ENVÍO],"NA")</f>
        <v>Tocota</v>
      </c>
      <c r="D105" s="167">
        <f>_xlfn.XLOOKUP(Tabla8[[#This Row],[N° FACTURA]],Tabla3[N° FACTURA],Tabla3[DISTANCIA (km)],"NA")</f>
        <v>9.4380000000000024</v>
      </c>
      <c r="E105" s="3">
        <f>_xlfn.XLOOKUP(Tabla8[[#This Row],[N° FACTURA]],Tabla3[N° FACTURA],Tabla3[Numero de Transportes],"NA")</f>
        <v>2</v>
      </c>
      <c r="F105" s="15">
        <f>_xlfn.XLOOKUP(Tabla8[[#This Row],[N° FACTURA]],Tabla3[N° FACTURA],Tabla3[VLR. TRANSPORTE],"NA")</f>
        <v>60000</v>
      </c>
      <c r="G105" s="15">
        <f>Tabla8[[#This Row],[VLR. TRANSPORTE]]/Tabla8[[#This Row],[Numero de Transportes]]</f>
        <v>30000</v>
      </c>
      <c r="H105" s="15">
        <f>_xlfn.XLOOKUP(Tabla8[[#This Row],[N° FACTURA]],Tabla3[N° FACTURA],Tabla3[VLR. TOTAL FACT.],"NA")</f>
        <v>829000</v>
      </c>
      <c r="I105" s="15">
        <f>Tabla8[[#This Row],[VLR. TOTAL FACT.]]-Tabla8[[#This Row],[VLR. TRANSPORTE]]</f>
        <v>769000</v>
      </c>
      <c r="J105" s="140">
        <f>Tabla8[[#This Row],[VLR. PRODUCTOS]]*0.2</f>
        <v>153800</v>
      </c>
      <c r="K105" s="15">
        <f>'ABC COSTEO'!B$11</f>
        <v>40740.427791666669</v>
      </c>
      <c r="L105" s="15">
        <f>Tabla8[[#This Row],[DISTANCIA (km)]]*2*'ABC COSTEO'!B$21</f>
        <v>25679.142893151955</v>
      </c>
      <c r="M105" s="15">
        <f>Tabla8[[#This Row],[Costo Variable]]+Tabla8[[#This Row],[Costo fijo]]</f>
        <v>66419.570684818624</v>
      </c>
      <c r="N105" s="15">
        <f>Tabla8[[#This Row],[Costo Total]]*Tabla8[[#This Row],[Numero de Transportes]]</f>
        <v>132839.14136963725</v>
      </c>
      <c r="O105" s="15">
        <f>(Tabla8[[#This Row],[VLR. Transporte unitario]]-Tabla8[[#This Row],[Costo Total]])*Tabla8[[#This Row],[Numero de Transportes]]</f>
        <v>-72839.141369637247</v>
      </c>
      <c r="P105" s="15">
        <f>Tabla8[[#This Row],[Margen de productos]]+Tabla8[[#This Row],[Ganancia/Perdida]]</f>
        <v>80960.858630362753</v>
      </c>
      <c r="Q105" s="144">
        <f>(Tabla8[[#This Row],[Margen ]]/Tabla8[[#This Row],[Margen de productos]])-1</f>
        <v>-0.47359649785199776</v>
      </c>
    </row>
    <row r="106" spans="1:17" ht="15" thickBot="1" x14ac:dyDescent="0.35">
      <c r="A106" s="3">
        <v>30764</v>
      </c>
      <c r="B106" s="3" t="str">
        <f>_xlfn.XLOOKUP(Tabla8[[#This Row],[N° FACTURA]],Tabla3[N° FACTURA],Tabla3[Corregimiento],"NA")</f>
        <v>El Carmen</v>
      </c>
      <c r="C106" s="3" t="str">
        <f>_xlfn.XLOOKUP(Tabla8[[#This Row],[N° FACTURA]],Tabla3[N° FACTURA],Tabla3[LUGAR ENVÍO],"NA")</f>
        <v>El chiringuito</v>
      </c>
      <c r="D106" s="167">
        <f>_xlfn.XLOOKUP(Tabla8[[#This Row],[N° FACTURA]],Tabla3[N° FACTURA],Tabla3[DISTANCIA (km)],"NA")</f>
        <v>1.544</v>
      </c>
      <c r="E106" s="3">
        <f>_xlfn.XLOOKUP(Tabla8[[#This Row],[N° FACTURA]],Tabla3[N° FACTURA],Tabla3[Numero de Transportes],"NA")</f>
        <v>1</v>
      </c>
      <c r="F106" s="15">
        <f>_xlfn.XLOOKUP(Tabla8[[#This Row],[N° FACTURA]],Tabla3[N° FACTURA],Tabla3[VLR. TRANSPORTE],"NA")</f>
        <v>40000</v>
      </c>
      <c r="G106" s="15">
        <f>Tabla8[[#This Row],[VLR. TRANSPORTE]]/Tabla8[[#This Row],[Numero de Transportes]]</f>
        <v>40000</v>
      </c>
      <c r="H106" s="15">
        <f>_xlfn.XLOOKUP(Tabla8[[#This Row],[N° FACTURA]],Tabla3[N° FACTURA],Tabla3[VLR. TOTAL FACT.],"NA")</f>
        <v>1480000</v>
      </c>
      <c r="I106" s="15">
        <f>Tabla8[[#This Row],[VLR. TOTAL FACT.]]-Tabla8[[#This Row],[VLR. TRANSPORTE]]</f>
        <v>1440000</v>
      </c>
      <c r="J106" s="140">
        <f>Tabla8[[#This Row],[VLR. PRODUCTOS]]*0.2</f>
        <v>288000</v>
      </c>
      <c r="K106" s="15">
        <f>'ABC COSTEO'!B$11</f>
        <v>40740.427791666669</v>
      </c>
      <c r="L106" s="15">
        <f>Tabla8[[#This Row],[DISTANCIA (km)]]*2*'ABC COSTEO'!B$21</f>
        <v>4200.9532344804629</v>
      </c>
      <c r="M106" s="15">
        <f>Tabla8[[#This Row],[Costo Variable]]+Tabla8[[#This Row],[Costo fijo]]</f>
        <v>44941.38102614713</v>
      </c>
      <c r="N106" s="15">
        <f>Tabla8[[#This Row],[Costo Total]]*Tabla8[[#This Row],[Numero de Transportes]]</f>
        <v>44941.38102614713</v>
      </c>
      <c r="O106" s="15">
        <f>(Tabla8[[#This Row],[VLR. Transporte unitario]]-Tabla8[[#This Row],[Costo Total]])*Tabla8[[#This Row],[Numero de Transportes]]</f>
        <v>-4941.3810261471299</v>
      </c>
      <c r="P106" s="15">
        <f>Tabla8[[#This Row],[Margen de productos]]+Tabla8[[#This Row],[Ganancia/Perdida]]</f>
        <v>283058.61897385289</v>
      </c>
      <c r="Q106" s="144">
        <f>(Tabla8[[#This Row],[Margen ]]/Tabla8[[#This Row],[Margen de productos]])-1</f>
        <v>-1.715757300745524E-2</v>
      </c>
    </row>
    <row r="107" spans="1:17" ht="27.6" thickBot="1" x14ac:dyDescent="0.35">
      <c r="A107" s="12">
        <v>46946</v>
      </c>
      <c r="B107" s="3" t="str">
        <f>_xlfn.XLOOKUP(Tabla8[[#This Row],[N° FACTURA]],Tabla3[N° FACTURA],Tabla3[Corregimiento],"NA")</f>
        <v>El Carmen</v>
      </c>
      <c r="C107" s="3" t="str">
        <f>_xlfn.XLOOKUP(Tabla8[[#This Row],[N° FACTURA]],Tabla3[N° FACTURA],Tabla3[LUGAR ENVÍO],"NA")</f>
        <v>Parcelación Monterico</v>
      </c>
      <c r="D107" s="167">
        <f>_xlfn.XLOOKUP(Tabla8[[#This Row],[N° FACTURA]],Tabla3[N° FACTURA],Tabla3[DISTANCIA (km)],"NA")</f>
        <v>9.826848</v>
      </c>
      <c r="E107" s="3">
        <f>_xlfn.XLOOKUP(Tabla8[[#This Row],[N° FACTURA]],Tabla3[N° FACTURA],Tabla3[Numero de Transportes],"NA")</f>
        <v>1</v>
      </c>
      <c r="F107" s="15">
        <f>_xlfn.XLOOKUP(Tabla8[[#This Row],[N° FACTURA]],Tabla3[N° FACTURA],Tabla3[VLR. TRANSPORTE],"NA")</f>
        <v>130000</v>
      </c>
      <c r="G107" s="15">
        <f>Tabla8[[#This Row],[VLR. TRANSPORTE]]/Tabla8[[#This Row],[Numero de Transportes]]</f>
        <v>130000</v>
      </c>
      <c r="H107" s="15">
        <f>_xlfn.XLOOKUP(Tabla8[[#This Row],[N° FACTURA]],Tabla3[N° FACTURA],Tabla3[VLR. TOTAL FACT.],"NA")</f>
        <v>1458000</v>
      </c>
      <c r="I107" s="15">
        <f>Tabla8[[#This Row],[VLR. TOTAL FACT.]]-Tabla8[[#This Row],[VLR. TRANSPORTE]]</f>
        <v>1328000</v>
      </c>
      <c r="J107" s="140">
        <f>Tabla8[[#This Row],[VLR. PRODUCTOS]]*0.2</f>
        <v>265600</v>
      </c>
      <c r="K107" s="15">
        <f>'ABC COSTEO'!B$11</f>
        <v>40740.427791666669</v>
      </c>
      <c r="L107" s="15">
        <f>Tabla8[[#This Row],[DISTANCIA (km)]]*2*'ABC COSTEO'!B$21</f>
        <v>26737.13011032893</v>
      </c>
      <c r="M107" s="15">
        <f>Tabla8[[#This Row],[Costo Variable]]+Tabla8[[#This Row],[Costo fijo]]</f>
        <v>67477.557901995606</v>
      </c>
      <c r="N107" s="15">
        <f>Tabla8[[#This Row],[Costo Total]]*Tabla8[[#This Row],[Numero de Transportes]]</f>
        <v>67477.557901995606</v>
      </c>
      <c r="O107" s="15">
        <f>(Tabla8[[#This Row],[VLR. Transporte unitario]]-Tabla8[[#This Row],[Costo Total]])*Tabla8[[#This Row],[Numero de Transportes]]</f>
        <v>62522.442098004394</v>
      </c>
      <c r="P107" s="15">
        <f>Tabla8[[#This Row],[Margen de productos]]+Tabla8[[#This Row],[Ganancia/Perdida]]</f>
        <v>328122.44209800439</v>
      </c>
      <c r="Q107" s="144">
        <f>(Tabla8[[#This Row],[Margen ]]/Tabla8[[#This Row],[Margen de productos]])-1</f>
        <v>0.23540076091116102</v>
      </c>
    </row>
    <row r="108" spans="1:17" ht="27.6" thickBot="1" x14ac:dyDescent="0.35">
      <c r="A108" s="3">
        <v>30495</v>
      </c>
      <c r="B108" s="3" t="str">
        <f>_xlfn.XLOOKUP(Tabla8[[#This Row],[N° FACTURA]],Tabla3[N° FACTURA],Tabla3[Corregimiento],"NA")</f>
        <v>El Salado</v>
      </c>
      <c r="C108" s="3" t="str">
        <f>_xlfn.XLOOKUP(Tabla8[[#This Row],[N° FACTURA]],Tabla3[N° FACTURA],Tabla3[LUGAR ENVÍO],"NA")</f>
        <v>San Jose del Salado</v>
      </c>
      <c r="D108" s="167">
        <f>_xlfn.XLOOKUP(Tabla8[[#This Row],[N° FACTURA]],Tabla3[N° FACTURA],Tabla3[DISTANCIA (km)],"NA")</f>
        <v>13.07</v>
      </c>
      <c r="E108" s="3">
        <f>_xlfn.XLOOKUP(Tabla8[[#This Row],[N° FACTURA]],Tabla3[N° FACTURA],Tabla3[Numero de Transportes],"NA")</f>
        <v>1</v>
      </c>
      <c r="F108" s="15">
        <f>_xlfn.XLOOKUP(Tabla8[[#This Row],[N° FACTURA]],Tabla3[N° FACTURA],Tabla3[VLR. TRANSPORTE],"NA")</f>
        <v>70000</v>
      </c>
      <c r="G108" s="15">
        <f>Tabla8[[#This Row],[VLR. TRANSPORTE]]/Tabla8[[#This Row],[Numero de Transportes]]</f>
        <v>70000</v>
      </c>
      <c r="H108" s="15">
        <f>_xlfn.XLOOKUP(Tabla8[[#This Row],[N° FACTURA]],Tabla3[N° FACTURA],Tabla3[VLR. TOTAL FACT.],"NA")</f>
        <v>1343900</v>
      </c>
      <c r="I108" s="15">
        <f>Tabla8[[#This Row],[VLR. TOTAL FACT.]]-Tabla8[[#This Row],[VLR. TRANSPORTE]]</f>
        <v>1273900</v>
      </c>
      <c r="J108" s="140">
        <f>Tabla8[[#This Row],[VLR. PRODUCTOS]]*0.2</f>
        <v>254780</v>
      </c>
      <c r="K108" s="15">
        <f>'ABC COSTEO'!B$11</f>
        <v>40740.427791666669</v>
      </c>
      <c r="L108" s="15">
        <f>Tabla8[[#This Row],[DISTANCIA (km)]]*2*'ABC COSTEO'!B$21</f>
        <v>35561.177962862464</v>
      </c>
      <c r="M108" s="15">
        <f>Tabla8[[#This Row],[Costo Variable]]+Tabla8[[#This Row],[Costo fijo]]</f>
        <v>76301.605754529126</v>
      </c>
      <c r="N108" s="15">
        <f>Tabla8[[#This Row],[Costo Total]]*Tabla8[[#This Row],[Numero de Transportes]]</f>
        <v>76301.605754529126</v>
      </c>
      <c r="O108" s="15">
        <f>(Tabla8[[#This Row],[VLR. Transporte unitario]]-Tabla8[[#This Row],[Costo Total]])*Tabla8[[#This Row],[Numero de Transportes]]</f>
        <v>-6301.605754529126</v>
      </c>
      <c r="P108" s="15">
        <f>Tabla8[[#This Row],[Margen de productos]]+Tabla8[[#This Row],[Ganancia/Perdida]]</f>
        <v>248478.39424547087</v>
      </c>
      <c r="Q108" s="144">
        <f>(Tabla8[[#This Row],[Margen ]]/Tabla8[[#This Row],[Margen de productos]])-1</f>
        <v>-2.4733518151068057E-2</v>
      </c>
    </row>
    <row r="109" spans="1:17" ht="15" thickBot="1" x14ac:dyDescent="0.35">
      <c r="A109" s="91">
        <v>59198</v>
      </c>
      <c r="B109" s="3" t="str">
        <f>_xlfn.XLOOKUP(Tabla8[[#This Row],[N° FACTURA]],Tabla3[N° FACTURA],Tabla3[Corregimiento],"NA")</f>
        <v>El Carmen</v>
      </c>
      <c r="C109" s="3" t="str">
        <f>_xlfn.XLOOKUP(Tabla8[[#This Row],[N° FACTURA]],Tabla3[N° FACTURA],Tabla3[LUGAR ENVÍO],"NA")</f>
        <v>El Coscorron</v>
      </c>
      <c r="D109" s="167">
        <f>_xlfn.XLOOKUP(Tabla8[[#This Row],[N° FACTURA]],Tabla3[N° FACTURA],Tabla3[DISTANCIA (km)],"NA")</f>
        <v>2.649999999999999</v>
      </c>
      <c r="E109" s="3">
        <f>_xlfn.XLOOKUP(Tabla8[[#This Row],[N° FACTURA]],Tabla3[N° FACTURA],Tabla3[Numero de Transportes],"NA")</f>
        <v>1</v>
      </c>
      <c r="F109" s="15">
        <f>_xlfn.XLOOKUP(Tabla8[[#This Row],[N° FACTURA]],Tabla3[N° FACTURA],Tabla3[VLR. TRANSPORTE],"NA")</f>
        <v>40000</v>
      </c>
      <c r="G109" s="15">
        <f>Tabla8[[#This Row],[VLR. TRANSPORTE]]/Tabla8[[#This Row],[Numero de Transportes]]</f>
        <v>40000</v>
      </c>
      <c r="H109" s="15">
        <f>_xlfn.XLOOKUP(Tabla8[[#This Row],[N° FACTURA]],Tabla3[N° FACTURA],Tabla3[VLR. TOTAL FACT.],"NA")</f>
        <v>380000</v>
      </c>
      <c r="I109" s="15">
        <f>Tabla8[[#This Row],[VLR. TOTAL FACT.]]-Tabla8[[#This Row],[VLR. TRANSPORTE]]</f>
        <v>340000</v>
      </c>
      <c r="J109" s="140">
        <f>Tabla8[[#This Row],[VLR. PRODUCTOS]]*0.2</f>
        <v>68000</v>
      </c>
      <c r="K109" s="15">
        <f>'ABC COSTEO'!B$11</f>
        <v>40740.427791666669</v>
      </c>
      <c r="L109" s="15">
        <f>Tabla8[[#This Row],[DISTANCIA (km)]]*2*'ABC COSTEO'!B$21</f>
        <v>7210.185279386802</v>
      </c>
      <c r="M109" s="15">
        <f>Tabla8[[#This Row],[Costo Variable]]+Tabla8[[#This Row],[Costo fijo]]</f>
        <v>47950.613071053471</v>
      </c>
      <c r="N109" s="15">
        <f>Tabla8[[#This Row],[Costo Total]]*Tabla8[[#This Row],[Numero de Transportes]]</f>
        <v>47950.613071053471</v>
      </c>
      <c r="O109" s="15">
        <f>(Tabla8[[#This Row],[VLR. Transporte unitario]]-Tabla8[[#This Row],[Costo Total]])*Tabla8[[#This Row],[Numero de Transportes]]</f>
        <v>-7950.6130710534708</v>
      </c>
      <c r="P109" s="15">
        <f>Tabla8[[#This Row],[Margen de productos]]+Tabla8[[#This Row],[Ganancia/Perdida]]</f>
        <v>60049.386928946529</v>
      </c>
      <c r="Q109" s="144">
        <f>(Tabla8[[#This Row],[Margen ]]/Tabla8[[#This Row],[Margen de productos]])-1</f>
        <v>-0.11692078045666865</v>
      </c>
    </row>
    <row r="110" spans="1:17" ht="15" thickBot="1" x14ac:dyDescent="0.35">
      <c r="A110" s="147">
        <v>51291</v>
      </c>
      <c r="B110" s="3" t="str">
        <f>_xlfn.XLOOKUP(Tabla8[[#This Row],[N° FACTURA]],Tabla3[N° FACTURA],Tabla3[Corregimiento],"NA")</f>
        <v>El Carmen</v>
      </c>
      <c r="C110" s="3" t="str">
        <f>_xlfn.XLOOKUP(Tabla8[[#This Row],[N° FACTURA]],Tabla3[N° FACTURA],Tabla3[LUGAR ENVÍO],"NA")</f>
        <v>Tortolas</v>
      </c>
      <c r="D110" s="167">
        <f>_xlfn.XLOOKUP(Tabla8[[#This Row],[N° FACTURA]],Tabla3[N° FACTURA],Tabla3[DISTANCIA (km)],"NA")</f>
        <v>5.7570000000000006</v>
      </c>
      <c r="E110" s="3">
        <f>_xlfn.XLOOKUP(Tabla8[[#This Row],[N° FACTURA]],Tabla3[N° FACTURA],Tabla3[Numero de Transportes],"NA")</f>
        <v>1</v>
      </c>
      <c r="F110" s="15">
        <f>_xlfn.XLOOKUP(Tabla8[[#This Row],[N° FACTURA]],Tabla3[N° FACTURA],Tabla3[VLR. TRANSPORTE],"NA")</f>
        <v>80000</v>
      </c>
      <c r="G110" s="15">
        <f>Tabla8[[#This Row],[VLR. TRANSPORTE]]/Tabla8[[#This Row],[Numero de Transportes]]</f>
        <v>80000</v>
      </c>
      <c r="H110" s="15">
        <f>_xlfn.XLOOKUP(Tabla8[[#This Row],[N° FACTURA]],Tabla3[N° FACTURA],Tabla3[VLR. TOTAL FACT.],"NA")</f>
        <v>1245200</v>
      </c>
      <c r="I110" s="15">
        <f>Tabla8[[#This Row],[VLR. TOTAL FACT.]]-Tabla8[[#This Row],[VLR. TRANSPORTE]]</f>
        <v>1165200</v>
      </c>
      <c r="J110" s="140">
        <f>Tabla8[[#This Row],[VLR. PRODUCTOS]]*0.2</f>
        <v>233040</v>
      </c>
      <c r="K110" s="15">
        <f>'ABC COSTEO'!B$11</f>
        <v>40740.427791666669</v>
      </c>
      <c r="L110" s="15">
        <f>Tabla8[[#This Row],[DISTANCIA (km)]]*2*'ABC COSTEO'!B$21</f>
        <v>15663.787416388619</v>
      </c>
      <c r="M110" s="15">
        <f>Tabla8[[#This Row],[Costo Variable]]+Tabla8[[#This Row],[Costo fijo]]</f>
        <v>56404.215208055291</v>
      </c>
      <c r="N110" s="15">
        <f>Tabla8[[#This Row],[Costo Total]]*Tabla8[[#This Row],[Numero de Transportes]]</f>
        <v>56404.215208055291</v>
      </c>
      <c r="O110" s="15">
        <f>(Tabla8[[#This Row],[VLR. Transporte unitario]]-Tabla8[[#This Row],[Costo Total]])*Tabla8[[#This Row],[Numero de Transportes]]</f>
        <v>23595.784791944709</v>
      </c>
      <c r="P110" s="15">
        <f>Tabla8[[#This Row],[Margen de productos]]+Tabla8[[#This Row],[Ganancia/Perdida]]</f>
        <v>256635.78479194472</v>
      </c>
      <c r="Q110" s="144">
        <f>(Tabla8[[#This Row],[Margen ]]/Tabla8[[#This Row],[Margen de productos]])-1</f>
        <v>0.101252080294991</v>
      </c>
    </row>
    <row r="111" spans="1:17" ht="15" thickBot="1" x14ac:dyDescent="0.35">
      <c r="A111" s="169">
        <v>52478</v>
      </c>
      <c r="B111" s="3" t="str">
        <f>_xlfn.XLOOKUP(Tabla8[[#This Row],[N° FACTURA]],Tabla3[N° FACTURA],Tabla3[Corregimiento],"NA")</f>
        <v>El Carmen</v>
      </c>
      <c r="C111" s="3" t="str">
        <f>_xlfn.XLOOKUP(Tabla8[[#This Row],[N° FACTURA]],Tabla3[N° FACTURA],Tabla3[LUGAR ENVÍO],"NA")</f>
        <v>bahondo</v>
      </c>
      <c r="D111" s="167">
        <f>_xlfn.XLOOKUP(Tabla8[[#This Row],[N° FACTURA]],Tabla3[N° FACTURA],Tabla3[DISTANCIA (km)],"NA")</f>
        <v>5.6</v>
      </c>
      <c r="E111" s="3">
        <f>_xlfn.XLOOKUP(Tabla8[[#This Row],[N° FACTURA]],Tabla3[N° FACTURA],Tabla3[Numero de Transportes],"NA")</f>
        <v>1</v>
      </c>
      <c r="F111" s="15">
        <f>_xlfn.XLOOKUP(Tabla8[[#This Row],[N° FACTURA]],Tabla3[N° FACTURA],Tabla3[VLR. TRANSPORTE],"NA")</f>
        <v>50000</v>
      </c>
      <c r="G111" s="15">
        <f>Tabla8[[#This Row],[VLR. TRANSPORTE]]/Tabla8[[#This Row],[Numero de Transportes]]</f>
        <v>50000</v>
      </c>
      <c r="H111" s="15">
        <f>_xlfn.XLOOKUP(Tabla8[[#This Row],[N° FACTURA]],Tabla3[N° FACTURA],Tabla3[VLR. TOTAL FACT.],"NA")</f>
        <v>216700</v>
      </c>
      <c r="I111" s="15">
        <f>Tabla8[[#This Row],[VLR. TOTAL FACT.]]-Tabla8[[#This Row],[VLR. TRANSPORTE]]</f>
        <v>166700</v>
      </c>
      <c r="J111" s="140">
        <f>Tabla8[[#This Row],[VLR. PRODUCTOS]]*0.2</f>
        <v>33340</v>
      </c>
      <c r="K111" s="15">
        <f>'ABC COSTEO'!B$11</f>
        <v>40740.427791666669</v>
      </c>
      <c r="L111" s="15">
        <f>Tabla8[[#This Row],[DISTANCIA (km)]]*2*'ABC COSTEO'!B$21</f>
        <v>15236.617948892868</v>
      </c>
      <c r="M111" s="15">
        <f>Tabla8[[#This Row],[Costo Variable]]+Tabla8[[#This Row],[Costo fijo]]</f>
        <v>55977.045740559537</v>
      </c>
      <c r="N111" s="15">
        <f>Tabla8[[#This Row],[Costo Total]]*Tabla8[[#This Row],[Numero de Transportes]]</f>
        <v>55977.045740559537</v>
      </c>
      <c r="O111" s="15">
        <f>(Tabla8[[#This Row],[VLR. Transporte unitario]]-Tabla8[[#This Row],[Costo Total]])*Tabla8[[#This Row],[Numero de Transportes]]</f>
        <v>-5977.0457405595371</v>
      </c>
      <c r="P111" s="15">
        <f>Tabla8[[#This Row],[Margen de productos]]+Tabla8[[#This Row],[Ganancia/Perdida]]</f>
        <v>27362.954259440463</v>
      </c>
      <c r="Q111" s="144">
        <f>(Tabla8[[#This Row],[Margen ]]/Tabla8[[#This Row],[Margen de productos]])-1</f>
        <v>-0.17927551711336343</v>
      </c>
    </row>
    <row r="112" spans="1:17" ht="15" thickBot="1" x14ac:dyDescent="0.35">
      <c r="A112" s="3">
        <v>47566</v>
      </c>
      <c r="B112" s="3" t="str">
        <f>_xlfn.XLOOKUP(Tabla8[[#This Row],[N° FACTURA]],Tabla3[N° FACTURA],Tabla3[Corregimiento],"NA")</f>
        <v>El Limonar</v>
      </c>
      <c r="C112" s="3" t="str">
        <f>_xlfn.XLOOKUP(Tabla8[[#This Row],[N° FACTURA]],Tabla3[N° FACTURA],Tabla3[LUGAR ENVÍO],"NA")</f>
        <v>KM 40</v>
      </c>
      <c r="D112" s="167">
        <f>_xlfn.XLOOKUP(Tabla8[[#This Row],[N° FACTURA]],Tabla3[N° FACTURA],Tabla3[DISTANCIA (km)],"NA")</f>
        <v>9.6076130000000024</v>
      </c>
      <c r="E112" s="3">
        <f>_xlfn.XLOOKUP(Tabla8[[#This Row],[N° FACTURA]],Tabla3[N° FACTURA],Tabla3[Numero de Transportes],"NA")</f>
        <v>1</v>
      </c>
      <c r="F112" s="15">
        <f>_xlfn.XLOOKUP(Tabla8[[#This Row],[N° FACTURA]],Tabla3[N° FACTURA],Tabla3[VLR. TRANSPORTE],"NA")</f>
        <v>30000</v>
      </c>
      <c r="G112" s="15">
        <f>Tabla8[[#This Row],[VLR. TRANSPORTE]]/Tabla8[[#This Row],[Numero de Transportes]]</f>
        <v>30000</v>
      </c>
      <c r="H112" s="15">
        <f>_xlfn.XLOOKUP(Tabla8[[#This Row],[N° FACTURA]],Tabla3[N° FACTURA],Tabla3[VLR. TOTAL FACT.],"NA")</f>
        <v>372000</v>
      </c>
      <c r="I112" s="15">
        <f>Tabla8[[#This Row],[VLR. TOTAL FACT.]]-Tabla8[[#This Row],[VLR. TRANSPORTE]]</f>
        <v>342000</v>
      </c>
      <c r="J112" s="140">
        <f>Tabla8[[#This Row],[VLR. PRODUCTOS]]*0.2</f>
        <v>68400</v>
      </c>
      <c r="K112" s="15">
        <f>'ABC COSTEO'!B$11</f>
        <v>40740.427791666669</v>
      </c>
      <c r="L112" s="15">
        <f>Tabla8[[#This Row],[DISTANCIA (km)]]*2*'ABC COSTEO'!B$21</f>
        <v>26140.630121752947</v>
      </c>
      <c r="M112" s="15">
        <f>Tabla8[[#This Row],[Costo Variable]]+Tabla8[[#This Row],[Costo fijo]]</f>
        <v>66881.057913419616</v>
      </c>
      <c r="N112" s="15">
        <f>Tabla8[[#This Row],[Costo Total]]*Tabla8[[#This Row],[Numero de Transportes]]</f>
        <v>66881.057913419616</v>
      </c>
      <c r="O112" s="15">
        <f>(Tabla8[[#This Row],[VLR. Transporte unitario]]-Tabla8[[#This Row],[Costo Total]])*Tabla8[[#This Row],[Numero de Transportes]]</f>
        <v>-36881.057913419616</v>
      </c>
      <c r="P112" s="15">
        <f>Tabla8[[#This Row],[Margen de productos]]+Tabla8[[#This Row],[Ganancia/Perdida]]</f>
        <v>31518.942086580384</v>
      </c>
      <c r="Q112" s="144">
        <f>(Tabla8[[#This Row],[Margen ]]/Tabla8[[#This Row],[Margen de productos]])-1</f>
        <v>-0.53919675312016979</v>
      </c>
    </row>
    <row r="113" spans="1:17" ht="15" thickBot="1" x14ac:dyDescent="0.35">
      <c r="A113" s="12">
        <v>58776</v>
      </c>
      <c r="B113" s="3" t="str">
        <f>_xlfn.XLOOKUP(Tabla8[[#This Row],[N° FACTURA]],Tabla3[N° FACTURA],Tabla3[Corregimiento],"NA")</f>
        <v>Borrero Ayerbe</v>
      </c>
      <c r="C113" s="3" t="str">
        <f>_xlfn.XLOOKUP(Tabla8[[#This Row],[N° FACTURA]],Tabla3[N° FACTURA],Tabla3[LUGAR ENVÍO],"NA")</f>
        <v xml:space="preserve">KM 24 </v>
      </c>
      <c r="D113" s="167">
        <f>_xlfn.XLOOKUP(Tabla8[[#This Row],[N° FACTURA]],Tabla3[N° FACTURA],Tabla3[DISTANCIA (km)],"NA")</f>
        <v>6.9730000000000016</v>
      </c>
      <c r="E113" s="3">
        <f>_xlfn.XLOOKUP(Tabla8[[#This Row],[N° FACTURA]],Tabla3[N° FACTURA],Tabla3[Numero de Transportes],"NA")</f>
        <v>1</v>
      </c>
      <c r="F113" s="15">
        <f>_xlfn.XLOOKUP(Tabla8[[#This Row],[N° FACTURA]],Tabla3[N° FACTURA],Tabla3[VLR. TRANSPORTE],"NA")</f>
        <v>50000</v>
      </c>
      <c r="G113" s="15">
        <f>Tabla8[[#This Row],[VLR. TRANSPORTE]]/Tabla8[[#This Row],[Numero de Transportes]]</f>
        <v>50000</v>
      </c>
      <c r="H113" s="15">
        <f>_xlfn.XLOOKUP(Tabla8[[#This Row],[N° FACTURA]],Tabla3[N° FACTURA],Tabla3[VLR. TOTAL FACT.],"NA")</f>
        <v>1769000</v>
      </c>
      <c r="I113" s="15">
        <f>Tabla8[[#This Row],[VLR. TOTAL FACT.]]-Tabla8[[#This Row],[VLR. TRANSPORTE]]</f>
        <v>1719000</v>
      </c>
      <c r="J113" s="140">
        <f>Tabla8[[#This Row],[VLR. PRODUCTOS]]*0.2</f>
        <v>343800</v>
      </c>
      <c r="K113" s="15">
        <f>'ABC COSTEO'!B$11</f>
        <v>40740.427791666669</v>
      </c>
      <c r="L113" s="15">
        <f>Tabla8[[#This Row],[DISTANCIA (km)]]*2*'ABC COSTEO'!B$21</f>
        <v>18972.31017100536</v>
      </c>
      <c r="M113" s="15">
        <f>Tabla8[[#This Row],[Costo Variable]]+Tabla8[[#This Row],[Costo fijo]]</f>
        <v>59712.737962672029</v>
      </c>
      <c r="N113" s="15">
        <f>Tabla8[[#This Row],[Costo Total]]*Tabla8[[#This Row],[Numero de Transportes]]</f>
        <v>59712.737962672029</v>
      </c>
      <c r="O113" s="15">
        <f>(Tabla8[[#This Row],[VLR. Transporte unitario]]-Tabla8[[#This Row],[Costo Total]])*Tabla8[[#This Row],[Numero de Transportes]]</f>
        <v>-9712.7379626720285</v>
      </c>
      <c r="P113" s="15">
        <f>Tabla8[[#This Row],[Margen de productos]]+Tabla8[[#This Row],[Ganancia/Perdida]]</f>
        <v>334087.26203732798</v>
      </c>
      <c r="Q113" s="144">
        <f>(Tabla8[[#This Row],[Margen ]]/Tabla8[[#This Row],[Margen de productos]])-1</f>
        <v>-2.8251128454543362E-2</v>
      </c>
    </row>
    <row r="114" spans="1:17" ht="15" thickBot="1" x14ac:dyDescent="0.35">
      <c r="A114" s="3">
        <v>58658</v>
      </c>
      <c r="B114" s="3" t="str">
        <f>_xlfn.XLOOKUP(Tabla8[[#This Row],[N° FACTURA]],Tabla3[N° FACTURA],Tabla3[Corregimiento],"NA")</f>
        <v>El Limonar</v>
      </c>
      <c r="C114" s="3" t="str">
        <f>_xlfn.XLOOKUP(Tabla8[[#This Row],[N° FACTURA]],Tabla3[N° FACTURA],Tabla3[LUGAR ENVÍO],"NA")</f>
        <v>El chilcal</v>
      </c>
      <c r="D114" s="167">
        <f>_xlfn.XLOOKUP(Tabla8[[#This Row],[N° FACTURA]],Tabla3[N° FACTURA],Tabla3[DISTANCIA (km)],"NA")</f>
        <v>14.314000000000002</v>
      </c>
      <c r="E114" s="3">
        <f>_xlfn.XLOOKUP(Tabla8[[#This Row],[N° FACTURA]],Tabla3[N° FACTURA],Tabla3[Numero de Transportes],"NA")</f>
        <v>1</v>
      </c>
      <c r="F114" s="15">
        <f>_xlfn.XLOOKUP(Tabla8[[#This Row],[N° FACTURA]],Tabla3[N° FACTURA],Tabla3[VLR. TRANSPORTE],"NA")</f>
        <v>80000</v>
      </c>
      <c r="G114" s="15">
        <f>Tabla8[[#This Row],[VLR. TRANSPORTE]]/Tabla8[[#This Row],[Numero de Transportes]]</f>
        <v>80000</v>
      </c>
      <c r="H114" s="15">
        <f>_xlfn.XLOOKUP(Tabla8[[#This Row],[N° FACTURA]],Tabla3[N° FACTURA],Tabla3[VLR. TOTAL FACT.],"NA")</f>
        <v>817000</v>
      </c>
      <c r="I114" s="15">
        <f>Tabla8[[#This Row],[VLR. TOTAL FACT.]]-Tabla8[[#This Row],[VLR. TRANSPORTE]]</f>
        <v>737000</v>
      </c>
      <c r="J114" s="140">
        <f>Tabla8[[#This Row],[VLR. PRODUCTOS]]*0.2</f>
        <v>147400</v>
      </c>
      <c r="K114" s="15">
        <f>'ABC COSTEO'!B$11</f>
        <v>40740.427791666669</v>
      </c>
      <c r="L114" s="15">
        <f>Tabla8[[#This Row],[DISTANCIA (km)]]*2*'ABC COSTEO'!B$21</f>
        <v>38945.883807223676</v>
      </c>
      <c r="M114" s="15">
        <f>Tabla8[[#This Row],[Costo Variable]]+Tabla8[[#This Row],[Costo fijo]]</f>
        <v>79686.311598890345</v>
      </c>
      <c r="N114" s="15">
        <f>Tabla8[[#This Row],[Costo Total]]*Tabla8[[#This Row],[Numero de Transportes]]</f>
        <v>79686.311598890345</v>
      </c>
      <c r="O114" s="15">
        <f>(Tabla8[[#This Row],[VLR. Transporte unitario]]-Tabla8[[#This Row],[Costo Total]])*Tabla8[[#This Row],[Numero de Transportes]]</f>
        <v>313.68840110965539</v>
      </c>
      <c r="P114" s="15">
        <f>Tabla8[[#This Row],[Margen de productos]]+Tabla8[[#This Row],[Ganancia/Perdida]]</f>
        <v>147713.68840110966</v>
      </c>
      <c r="Q114" s="144">
        <f>(Tabla8[[#This Row],[Margen ]]/Tabla8[[#This Row],[Margen de productos]])-1</f>
        <v>2.1281438338511816E-3</v>
      </c>
    </row>
    <row r="115" spans="1:17" ht="15" thickBot="1" x14ac:dyDescent="0.35">
      <c r="A115" s="12">
        <v>30535</v>
      </c>
      <c r="B115" s="3" t="str">
        <f>_xlfn.XLOOKUP(Tabla8[[#This Row],[N° FACTURA]],Tabla3[N° FACTURA],Tabla3[Corregimiento],"NA")</f>
        <v>Borrero Ayerbe</v>
      </c>
      <c r="C115" s="3" t="str">
        <f>_xlfn.XLOOKUP(Tabla8[[#This Row],[N° FACTURA]],Tabla3[N° FACTURA],Tabla3[LUGAR ENVÍO],"NA")</f>
        <v>la bomba</v>
      </c>
      <c r="D115" s="167">
        <f>_xlfn.XLOOKUP(Tabla8[[#This Row],[N° FACTURA]],Tabla3[N° FACTURA],Tabla3[DISTANCIA (km)],"NA")</f>
        <v>1.3212069999999998</v>
      </c>
      <c r="E115" s="3">
        <f>_xlfn.XLOOKUP(Tabla8[[#This Row],[N° FACTURA]],Tabla3[N° FACTURA],Tabla3[Numero de Transportes],"NA")</f>
        <v>1</v>
      </c>
      <c r="F115" s="15">
        <f>_xlfn.XLOOKUP(Tabla8[[#This Row],[N° FACTURA]],Tabla3[N° FACTURA],Tabla3[VLR. TRANSPORTE],"NA")</f>
        <v>30000</v>
      </c>
      <c r="G115" s="15">
        <f>Tabla8[[#This Row],[VLR. TRANSPORTE]]/Tabla8[[#This Row],[Numero de Transportes]]</f>
        <v>30000</v>
      </c>
      <c r="H115" s="15">
        <f>_xlfn.XLOOKUP(Tabla8[[#This Row],[N° FACTURA]],Tabla3[N° FACTURA],Tabla3[VLR. TOTAL FACT.],"NA")</f>
        <v>1486900</v>
      </c>
      <c r="I115" s="15">
        <f>Tabla8[[#This Row],[VLR. TOTAL FACT.]]-Tabla8[[#This Row],[VLR. TRANSPORTE]]</f>
        <v>1456900</v>
      </c>
      <c r="J115" s="140">
        <f>Tabla8[[#This Row],[VLR. PRODUCTOS]]*0.2</f>
        <v>291380</v>
      </c>
      <c r="K115" s="15">
        <f>'ABC COSTEO'!B$11</f>
        <v>40740.427791666669</v>
      </c>
      <c r="L115" s="15">
        <f>Tabla8[[#This Row],[DISTANCIA (km)]]*2*'ABC COSTEO'!B$21</f>
        <v>3594.7725518576603</v>
      </c>
      <c r="M115" s="15">
        <f>Tabla8[[#This Row],[Costo Variable]]+Tabla8[[#This Row],[Costo fijo]]</f>
        <v>44335.200343524331</v>
      </c>
      <c r="N115" s="15">
        <f>Tabla8[[#This Row],[Costo Total]]*Tabla8[[#This Row],[Numero de Transportes]]</f>
        <v>44335.200343524331</v>
      </c>
      <c r="O115" s="15">
        <f>(Tabla8[[#This Row],[VLR. Transporte unitario]]-Tabla8[[#This Row],[Costo Total]])*Tabla8[[#This Row],[Numero de Transportes]]</f>
        <v>-14335.200343524331</v>
      </c>
      <c r="P115" s="15">
        <f>Tabla8[[#This Row],[Margen de productos]]+Tabla8[[#This Row],[Ganancia/Perdida]]</f>
        <v>277044.79965647566</v>
      </c>
      <c r="Q115" s="144">
        <f>(Tabla8[[#This Row],[Margen ]]/Tabla8[[#This Row],[Margen de productos]])-1</f>
        <v>-4.9197612545556768E-2</v>
      </c>
    </row>
    <row r="116" spans="1:17" ht="15" thickBot="1" x14ac:dyDescent="0.35">
      <c r="A116" s="147">
        <v>49212</v>
      </c>
      <c r="B116" s="3" t="str">
        <f>_xlfn.XLOOKUP(Tabla8[[#This Row],[N° FACTURA]],Tabla3[N° FACTURA],Tabla3[Corregimiento],"NA")</f>
        <v>Borrero Ayerbe</v>
      </c>
      <c r="C116" s="3" t="str">
        <f>_xlfn.XLOOKUP(Tabla8[[#This Row],[N° FACTURA]],Tabla3[N° FACTURA],Tabla3[LUGAR ENVÍO],"NA")</f>
        <v>KM 26</v>
      </c>
      <c r="D116" s="167">
        <f>_xlfn.XLOOKUP(Tabla8[[#This Row],[N° FACTURA]],Tabla3[N° FACTURA],Tabla3[DISTANCIA (km)],"NA")</f>
        <v>5.3780000000000001</v>
      </c>
      <c r="E116" s="3">
        <f>_xlfn.XLOOKUP(Tabla8[[#This Row],[N° FACTURA]],Tabla3[N° FACTURA],Tabla3[Numero de Transportes],"NA")</f>
        <v>1</v>
      </c>
      <c r="F116" s="15">
        <f>_xlfn.XLOOKUP(Tabla8[[#This Row],[N° FACTURA]],Tabla3[N° FACTURA],Tabla3[VLR. TRANSPORTE],"NA")</f>
        <v>30000</v>
      </c>
      <c r="G116" s="15">
        <f>Tabla8[[#This Row],[VLR. TRANSPORTE]]/Tabla8[[#This Row],[Numero de Transportes]]</f>
        <v>30000</v>
      </c>
      <c r="H116" s="15">
        <f>_xlfn.XLOOKUP(Tabla8[[#This Row],[N° FACTURA]],Tabla3[N° FACTURA],Tabla3[VLR. TOTAL FACT.],"NA")</f>
        <v>730100</v>
      </c>
      <c r="I116" s="15">
        <f>Tabla8[[#This Row],[VLR. TOTAL FACT.]]-Tabla8[[#This Row],[VLR. TRANSPORTE]]</f>
        <v>700100</v>
      </c>
      <c r="J116" s="140">
        <f>Tabla8[[#This Row],[VLR. PRODUCTOS]]*0.2</f>
        <v>140020</v>
      </c>
      <c r="K116" s="15">
        <f>'ABC COSTEO'!B$11</f>
        <v>40740.427791666669</v>
      </c>
      <c r="L116" s="15">
        <f>Tabla8[[#This Row],[DISTANCIA (km)]]*2*'ABC COSTEO'!B$21</f>
        <v>14632.594880204617</v>
      </c>
      <c r="M116" s="15">
        <f>Tabla8[[#This Row],[Costo Variable]]+Tabla8[[#This Row],[Costo fijo]]</f>
        <v>55373.022671871287</v>
      </c>
      <c r="N116" s="15">
        <f>Tabla8[[#This Row],[Costo Total]]*Tabla8[[#This Row],[Numero de Transportes]]</f>
        <v>55373.022671871287</v>
      </c>
      <c r="O116" s="15">
        <f>(Tabla8[[#This Row],[VLR. Transporte unitario]]-Tabla8[[#This Row],[Costo Total]])*Tabla8[[#This Row],[Numero de Transportes]]</f>
        <v>-25373.022671871287</v>
      </c>
      <c r="P116" s="15">
        <f>Tabla8[[#This Row],[Margen de productos]]+Tabla8[[#This Row],[Ganancia/Perdida]]</f>
        <v>114646.97732812871</v>
      </c>
      <c r="Q116" s="144">
        <f>(Tabla8[[#This Row],[Margen ]]/Tabla8[[#This Row],[Margen de productos]])-1</f>
        <v>-0.18120998908635411</v>
      </c>
    </row>
    <row r="117" spans="1:17" ht="15" thickBot="1" x14ac:dyDescent="0.35">
      <c r="A117" s="12">
        <v>58718</v>
      </c>
      <c r="B117" s="3" t="str">
        <f>_xlfn.XLOOKUP(Tabla8[[#This Row],[N° FACTURA]],Tabla3[N° FACTURA],Tabla3[Corregimiento],"NA")</f>
        <v>El Carmen</v>
      </c>
      <c r="C117" s="3" t="str">
        <f>_xlfn.XLOOKUP(Tabla8[[#This Row],[N° FACTURA]],Tabla3[N° FACTURA],Tabla3[LUGAR ENVÍO],"NA")</f>
        <v>Los bomberos</v>
      </c>
      <c r="D117" s="167">
        <f>_xlfn.XLOOKUP(Tabla8[[#This Row],[N° FACTURA]],Tabla3[N° FACTURA],Tabla3[DISTANCIA (km)],"NA")</f>
        <v>2.0919999999999992</v>
      </c>
      <c r="E117" s="3">
        <f>_xlfn.XLOOKUP(Tabla8[[#This Row],[N° FACTURA]],Tabla3[N° FACTURA],Tabla3[Numero de Transportes],"NA")</f>
        <v>2</v>
      </c>
      <c r="F117" s="15">
        <f>_xlfn.XLOOKUP(Tabla8[[#This Row],[N° FACTURA]],Tabla3[N° FACTURA],Tabla3[VLR. TRANSPORTE],"NA")</f>
        <v>60000</v>
      </c>
      <c r="G117" s="15">
        <f>Tabla8[[#This Row],[VLR. TRANSPORTE]]/Tabla8[[#This Row],[Numero de Transportes]]</f>
        <v>30000</v>
      </c>
      <c r="H117" s="15">
        <f>_xlfn.XLOOKUP(Tabla8[[#This Row],[N° FACTURA]],Tabla3[N° FACTURA],Tabla3[VLR. TOTAL FACT.],"NA")</f>
        <v>3563000</v>
      </c>
      <c r="I117" s="15">
        <f>Tabla8[[#This Row],[VLR. TOTAL FACT.]]-Tabla8[[#This Row],[VLR. TRANSPORTE]]</f>
        <v>3503000</v>
      </c>
      <c r="J117" s="140">
        <f>Tabla8[[#This Row],[VLR. PRODUCTOS]]*0.2</f>
        <v>700600</v>
      </c>
      <c r="K117" s="15">
        <f>'ABC COSTEO'!B$11</f>
        <v>40740.427791666669</v>
      </c>
      <c r="L117" s="15">
        <f>Tabla8[[#This Row],[DISTANCIA (km)]]*2*'ABC COSTEO'!B$21</f>
        <v>5691.9651337649775</v>
      </c>
      <c r="M117" s="15">
        <f>Tabla8[[#This Row],[Costo Variable]]+Tabla8[[#This Row],[Costo fijo]]</f>
        <v>46432.392925431646</v>
      </c>
      <c r="N117" s="15">
        <f>Tabla8[[#This Row],[Costo Total]]*Tabla8[[#This Row],[Numero de Transportes]]</f>
        <v>92864.785850863293</v>
      </c>
      <c r="O117" s="15">
        <f>(Tabla8[[#This Row],[VLR. Transporte unitario]]-Tabla8[[#This Row],[Costo Total]])*Tabla8[[#This Row],[Numero de Transportes]]</f>
        <v>-32864.785850863293</v>
      </c>
      <c r="P117" s="15">
        <f>Tabla8[[#This Row],[Margen de productos]]+Tabla8[[#This Row],[Ganancia/Perdida]]</f>
        <v>667735.21414913668</v>
      </c>
      <c r="Q117" s="144">
        <f>(Tabla8[[#This Row],[Margen ]]/Tabla8[[#This Row],[Margen de productos]])-1</f>
        <v>-4.6909485941854623E-2</v>
      </c>
    </row>
    <row r="118" spans="1:17" ht="15" thickBot="1" x14ac:dyDescent="0.35">
      <c r="A118" s="3">
        <v>511</v>
      </c>
      <c r="B118" s="3" t="str">
        <f>_xlfn.XLOOKUP(Tabla8[[#This Row],[N° FACTURA]],Tabla3[N° FACTURA],Tabla3[Corregimiento],"NA")</f>
        <v>El Carmen</v>
      </c>
      <c r="C118" s="3" t="str">
        <f>_xlfn.XLOOKUP(Tabla8[[#This Row],[N° FACTURA]],Tabla3[N° FACTURA],Tabla3[LUGAR ENVÍO],"NA")</f>
        <v>Los bomberos</v>
      </c>
      <c r="D118" s="167">
        <f>_xlfn.XLOOKUP(Tabla8[[#This Row],[N° FACTURA]],Tabla3[N° FACTURA],Tabla3[DISTANCIA (km)],"NA")</f>
        <v>2.0919999999999992</v>
      </c>
      <c r="E118" s="3">
        <f>_xlfn.XLOOKUP(Tabla8[[#This Row],[N° FACTURA]],Tabla3[N° FACTURA],Tabla3[Numero de Transportes],"NA")</f>
        <v>1</v>
      </c>
      <c r="F118" s="15">
        <f>_xlfn.XLOOKUP(Tabla8[[#This Row],[N° FACTURA]],Tabla3[N° FACTURA],Tabla3[VLR. TRANSPORTE],"NA")</f>
        <v>15000</v>
      </c>
      <c r="G118" s="15">
        <f>Tabla8[[#This Row],[VLR. TRANSPORTE]]/Tabla8[[#This Row],[Numero de Transportes]]</f>
        <v>15000</v>
      </c>
      <c r="H118" s="15">
        <f>_xlfn.XLOOKUP(Tabla8[[#This Row],[N° FACTURA]],Tabla3[N° FACTURA],Tabla3[VLR. TOTAL FACT.],"NA")</f>
        <v>189000</v>
      </c>
      <c r="I118" s="15">
        <f>Tabla8[[#This Row],[VLR. TOTAL FACT.]]-Tabla8[[#This Row],[VLR. TRANSPORTE]]</f>
        <v>174000</v>
      </c>
      <c r="J118" s="140">
        <f>Tabla8[[#This Row],[VLR. PRODUCTOS]]*0.2</f>
        <v>34800</v>
      </c>
      <c r="K118" s="15">
        <f>'ABC COSTEO'!B$11</f>
        <v>40740.427791666669</v>
      </c>
      <c r="L118" s="15">
        <f>Tabla8[[#This Row],[DISTANCIA (km)]]*2*'ABC COSTEO'!B$21</f>
        <v>5691.9651337649775</v>
      </c>
      <c r="M118" s="15">
        <f>Tabla8[[#This Row],[Costo Variable]]+Tabla8[[#This Row],[Costo fijo]]</f>
        <v>46432.392925431646</v>
      </c>
      <c r="N118" s="15">
        <f>Tabla8[[#This Row],[Costo Total]]*Tabla8[[#This Row],[Numero de Transportes]]</f>
        <v>46432.392925431646</v>
      </c>
      <c r="O118" s="15">
        <f>(Tabla8[[#This Row],[VLR. Transporte unitario]]-Tabla8[[#This Row],[Costo Total]])*Tabla8[[#This Row],[Numero de Transportes]]</f>
        <v>-31432.392925431646</v>
      </c>
      <c r="P118" s="15">
        <f>Tabla8[[#This Row],[Margen de productos]]+Tabla8[[#This Row],[Ganancia/Perdida]]</f>
        <v>3367.6070745683537</v>
      </c>
      <c r="Q118" s="144">
        <f>(Tabla8[[#This Row],[Margen ]]/Tabla8[[#This Row],[Margen de productos]])-1</f>
        <v>-0.90322968176527718</v>
      </c>
    </row>
    <row r="119" spans="1:17" ht="15" thickBot="1" x14ac:dyDescent="0.35">
      <c r="A119" s="91">
        <v>47598</v>
      </c>
      <c r="B119" s="3" t="str">
        <f>_xlfn.XLOOKUP(Tabla8[[#This Row],[N° FACTURA]],Tabla3[N° FACTURA],Tabla3[Corregimiento],"NA")</f>
        <v>El Carmen</v>
      </c>
      <c r="C119" s="3" t="str">
        <f>_xlfn.XLOOKUP(Tabla8[[#This Row],[N° FACTURA]],Tabla3[N° FACTURA],Tabla3[LUGAR ENVÍO],"NA")</f>
        <v>bahondo</v>
      </c>
      <c r="D119" s="167">
        <f>_xlfn.XLOOKUP(Tabla8[[#This Row],[N° FACTURA]],Tabla3[N° FACTURA],Tabla3[DISTANCIA (km)],"NA")</f>
        <v>5.6</v>
      </c>
      <c r="E119" s="3">
        <f>_xlfn.XLOOKUP(Tabla8[[#This Row],[N° FACTURA]],Tabla3[N° FACTURA],Tabla3[Numero de Transportes],"NA")</f>
        <v>1</v>
      </c>
      <c r="F119" s="15">
        <f>_xlfn.XLOOKUP(Tabla8[[#This Row],[N° FACTURA]],Tabla3[N° FACTURA],Tabla3[VLR. TRANSPORTE],"NA")</f>
        <v>50000</v>
      </c>
      <c r="G119" s="15">
        <f>Tabla8[[#This Row],[VLR. TRANSPORTE]]/Tabla8[[#This Row],[Numero de Transportes]]</f>
        <v>50000</v>
      </c>
      <c r="H119" s="15">
        <f>_xlfn.XLOOKUP(Tabla8[[#This Row],[N° FACTURA]],Tabla3[N° FACTURA],Tabla3[VLR. TOTAL FACT.],"NA")</f>
        <v>404000</v>
      </c>
      <c r="I119" s="15">
        <f>Tabla8[[#This Row],[VLR. TOTAL FACT.]]-Tabla8[[#This Row],[VLR. TRANSPORTE]]</f>
        <v>354000</v>
      </c>
      <c r="J119" s="140">
        <f>Tabla8[[#This Row],[VLR. PRODUCTOS]]*0.2</f>
        <v>70800</v>
      </c>
      <c r="K119" s="15">
        <f>'ABC COSTEO'!B$11</f>
        <v>40740.427791666669</v>
      </c>
      <c r="L119" s="15">
        <f>Tabla8[[#This Row],[DISTANCIA (km)]]*2*'ABC COSTEO'!B$21</f>
        <v>15236.617948892868</v>
      </c>
      <c r="M119" s="15">
        <f>Tabla8[[#This Row],[Costo Variable]]+Tabla8[[#This Row],[Costo fijo]]</f>
        <v>55977.045740559537</v>
      </c>
      <c r="N119" s="15">
        <f>Tabla8[[#This Row],[Costo Total]]*Tabla8[[#This Row],[Numero de Transportes]]</f>
        <v>55977.045740559537</v>
      </c>
      <c r="O119" s="15">
        <f>(Tabla8[[#This Row],[VLR. Transporte unitario]]-Tabla8[[#This Row],[Costo Total]])*Tabla8[[#This Row],[Numero de Transportes]]</f>
        <v>-5977.0457405595371</v>
      </c>
      <c r="P119" s="15">
        <f>Tabla8[[#This Row],[Margen de productos]]+Tabla8[[#This Row],[Ganancia/Perdida]]</f>
        <v>64822.954259440463</v>
      </c>
      <c r="Q119" s="144">
        <f>(Tabla8[[#This Row],[Margen ]]/Tabla8[[#This Row],[Margen de productos]])-1</f>
        <v>-8.4421550007903079E-2</v>
      </c>
    </row>
    <row r="120" spans="1:17" ht="15" thickBot="1" x14ac:dyDescent="0.35">
      <c r="A120" s="3">
        <v>58549</v>
      </c>
      <c r="B120" s="3" t="str">
        <f>_xlfn.XLOOKUP(Tabla8[[#This Row],[N° FACTURA]],Tabla3[N° FACTURA],Tabla3[Corregimiento],"NA")</f>
        <v>El Carmen</v>
      </c>
      <c r="C120" s="3" t="str">
        <f>_xlfn.XLOOKUP(Tabla8[[#This Row],[N° FACTURA]],Tabla3[N° FACTURA],Tabla3[LUGAR ENVÍO],"NA")</f>
        <v>Los bomberos</v>
      </c>
      <c r="D120" s="167">
        <f>_xlfn.XLOOKUP(Tabla8[[#This Row],[N° FACTURA]],Tabla3[N° FACTURA],Tabla3[DISTANCIA (km)],"NA")</f>
        <v>2.0919999999999992</v>
      </c>
      <c r="E120" s="3">
        <f>_xlfn.XLOOKUP(Tabla8[[#This Row],[N° FACTURA]],Tabla3[N° FACTURA],Tabla3[Numero de Transportes],"NA")</f>
        <v>1</v>
      </c>
      <c r="F120" s="15">
        <f>_xlfn.XLOOKUP(Tabla8[[#This Row],[N° FACTURA]],Tabla3[N° FACTURA],Tabla3[VLR. TRANSPORTE],"NA")</f>
        <v>50000</v>
      </c>
      <c r="G120" s="15">
        <f>Tabla8[[#This Row],[VLR. TRANSPORTE]]/Tabla8[[#This Row],[Numero de Transportes]]</f>
        <v>50000</v>
      </c>
      <c r="H120" s="15">
        <f>_xlfn.XLOOKUP(Tabla8[[#This Row],[N° FACTURA]],Tabla3[N° FACTURA],Tabla3[VLR. TOTAL FACT.],"NA")</f>
        <v>1794500</v>
      </c>
      <c r="I120" s="15">
        <f>Tabla8[[#This Row],[VLR. TOTAL FACT.]]-Tabla8[[#This Row],[VLR. TRANSPORTE]]</f>
        <v>1744500</v>
      </c>
      <c r="J120" s="140">
        <f>Tabla8[[#This Row],[VLR. PRODUCTOS]]*0.2</f>
        <v>348900</v>
      </c>
      <c r="K120" s="15">
        <f>'ABC COSTEO'!B$11</f>
        <v>40740.427791666669</v>
      </c>
      <c r="L120" s="15">
        <f>Tabla8[[#This Row],[DISTANCIA (km)]]*2*'ABC COSTEO'!B$21</f>
        <v>5691.9651337649775</v>
      </c>
      <c r="M120" s="15">
        <f>Tabla8[[#This Row],[Costo Variable]]+Tabla8[[#This Row],[Costo fijo]]</f>
        <v>46432.392925431646</v>
      </c>
      <c r="N120" s="15">
        <f>Tabla8[[#This Row],[Costo Total]]*Tabla8[[#This Row],[Numero de Transportes]]</f>
        <v>46432.392925431646</v>
      </c>
      <c r="O120" s="15">
        <f>(Tabla8[[#This Row],[VLR. Transporte unitario]]-Tabla8[[#This Row],[Costo Total]])*Tabla8[[#This Row],[Numero de Transportes]]</f>
        <v>3567.6070745683537</v>
      </c>
      <c r="P120" s="15">
        <f>Tabla8[[#This Row],[Margen de productos]]+Tabla8[[#This Row],[Ganancia/Perdida]]</f>
        <v>352467.60707456834</v>
      </c>
      <c r="Q120" s="144">
        <f>(Tabla8[[#This Row],[Margen ]]/Tabla8[[#This Row],[Margen de productos]])-1</f>
        <v>1.0225299726478454E-2</v>
      </c>
    </row>
    <row r="121" spans="1:17" ht="15" thickBot="1" x14ac:dyDescent="0.35">
      <c r="A121" s="12">
        <v>48458</v>
      </c>
      <c r="B121" s="3" t="str">
        <f>_xlfn.XLOOKUP(Tabla8[[#This Row],[N° FACTURA]],Tabla3[N° FACTURA],Tabla3[Corregimiento],"NA")</f>
        <v>El Carmen</v>
      </c>
      <c r="C121" s="3" t="str">
        <f>_xlfn.XLOOKUP(Tabla8[[#This Row],[N° FACTURA]],Tabla3[N° FACTURA],Tabla3[LUGAR ENVÍO],"NA")</f>
        <v>El Coscorron</v>
      </c>
      <c r="D121" s="167">
        <f>_xlfn.XLOOKUP(Tabla8[[#This Row],[N° FACTURA]],Tabla3[N° FACTURA],Tabla3[DISTANCIA (km)],"NA")</f>
        <v>2.649999999999999</v>
      </c>
      <c r="E121" s="3">
        <f>_xlfn.XLOOKUP(Tabla8[[#This Row],[N° FACTURA]],Tabla3[N° FACTURA],Tabla3[Numero de Transportes],"NA")</f>
        <v>1</v>
      </c>
      <c r="F121" s="15">
        <f>_xlfn.XLOOKUP(Tabla8[[#This Row],[N° FACTURA]],Tabla3[N° FACTURA],Tabla3[VLR. TRANSPORTE],"NA")</f>
        <v>60000</v>
      </c>
      <c r="G121" s="15">
        <f>Tabla8[[#This Row],[VLR. TRANSPORTE]]/Tabla8[[#This Row],[Numero de Transportes]]</f>
        <v>60000</v>
      </c>
      <c r="H121" s="15">
        <f>_xlfn.XLOOKUP(Tabla8[[#This Row],[N° FACTURA]],Tabla3[N° FACTURA],Tabla3[VLR. TOTAL FACT.],"NA")</f>
        <v>854500</v>
      </c>
      <c r="I121" s="15">
        <f>Tabla8[[#This Row],[VLR. TOTAL FACT.]]-Tabla8[[#This Row],[VLR. TRANSPORTE]]</f>
        <v>794500</v>
      </c>
      <c r="J121" s="140">
        <f>Tabla8[[#This Row],[VLR. PRODUCTOS]]*0.2</f>
        <v>158900</v>
      </c>
      <c r="K121" s="15">
        <f>'ABC COSTEO'!B$11</f>
        <v>40740.427791666669</v>
      </c>
      <c r="L121" s="15">
        <f>Tabla8[[#This Row],[DISTANCIA (km)]]*2*'ABC COSTEO'!B$21</f>
        <v>7210.185279386802</v>
      </c>
      <c r="M121" s="15">
        <f>Tabla8[[#This Row],[Costo Variable]]+Tabla8[[#This Row],[Costo fijo]]</f>
        <v>47950.613071053471</v>
      </c>
      <c r="N121" s="15">
        <f>Tabla8[[#This Row],[Costo Total]]*Tabla8[[#This Row],[Numero de Transportes]]</f>
        <v>47950.613071053471</v>
      </c>
      <c r="O121" s="15">
        <f>(Tabla8[[#This Row],[VLR. Transporte unitario]]-Tabla8[[#This Row],[Costo Total]])*Tabla8[[#This Row],[Numero de Transportes]]</f>
        <v>12049.386928946529</v>
      </c>
      <c r="P121" s="15">
        <f>Tabla8[[#This Row],[Margen de productos]]+Tabla8[[#This Row],[Ganancia/Perdida]]</f>
        <v>170949.38692894654</v>
      </c>
      <c r="Q121" s="144">
        <f>(Tabla8[[#This Row],[Margen ]]/Tabla8[[#This Row],[Margen de productos]])-1</f>
        <v>7.5829999552841532E-2</v>
      </c>
    </row>
    <row r="122" spans="1:17" ht="15" thickBot="1" x14ac:dyDescent="0.35">
      <c r="A122" s="3">
        <v>58637</v>
      </c>
      <c r="B122" s="3" t="str">
        <f>_xlfn.XLOOKUP(Tabla8[[#This Row],[N° FACTURA]],Tabla3[N° FACTURA],Tabla3[Corregimiento],"NA")</f>
        <v>El Queremal</v>
      </c>
      <c r="C122" s="3" t="str">
        <f>_xlfn.XLOOKUP(Tabla8[[#This Row],[N° FACTURA]],Tabla3[N° FACTURA],Tabla3[LUGAR ENVÍO],"NA")</f>
        <v>el queremal</v>
      </c>
      <c r="D122" s="167">
        <f>_xlfn.XLOOKUP(Tabla8[[#This Row],[N° FACTURA]],Tabla3[N° FACTURA],Tabla3[DISTANCIA (km)],"NA")</f>
        <v>18.542000000000002</v>
      </c>
      <c r="E122" s="3">
        <f>_xlfn.XLOOKUP(Tabla8[[#This Row],[N° FACTURA]],Tabla3[N° FACTURA],Tabla3[Numero de Transportes],"NA")</f>
        <v>1</v>
      </c>
      <c r="F122" s="15">
        <f>_xlfn.XLOOKUP(Tabla8[[#This Row],[N° FACTURA]],Tabla3[N° FACTURA],Tabla3[VLR. TRANSPORTE],"NA")</f>
        <v>50000</v>
      </c>
      <c r="G122" s="15">
        <f>Tabla8[[#This Row],[VLR. TRANSPORTE]]/Tabla8[[#This Row],[Numero de Transportes]]</f>
        <v>50000</v>
      </c>
      <c r="H122" s="15">
        <f>_xlfn.XLOOKUP(Tabla8[[#This Row],[N° FACTURA]],Tabla3[N° FACTURA],Tabla3[VLR. TOTAL FACT.],"NA")</f>
        <v>1673000</v>
      </c>
      <c r="I122" s="15">
        <f>Tabla8[[#This Row],[VLR. TOTAL FACT.]]-Tabla8[[#This Row],[VLR. TRANSPORTE]]</f>
        <v>1623000</v>
      </c>
      <c r="J122" s="140">
        <f>Tabla8[[#This Row],[VLR. PRODUCTOS]]*0.2</f>
        <v>324600</v>
      </c>
      <c r="K122" s="15">
        <f>'ABC COSTEO'!B$11</f>
        <v>40740.427791666669</v>
      </c>
      <c r="L122" s="15">
        <f>Tabla8[[#This Row],[DISTANCIA (km)]]*2*'ABC COSTEO'!B$21</f>
        <v>50449.530358637792</v>
      </c>
      <c r="M122" s="15">
        <f>Tabla8[[#This Row],[Costo Variable]]+Tabla8[[#This Row],[Costo fijo]]</f>
        <v>91189.958150304461</v>
      </c>
      <c r="N122" s="15">
        <f>Tabla8[[#This Row],[Costo Total]]*Tabla8[[#This Row],[Numero de Transportes]]</f>
        <v>91189.958150304461</v>
      </c>
      <c r="O122" s="15">
        <f>(Tabla8[[#This Row],[VLR. Transporte unitario]]-Tabla8[[#This Row],[Costo Total]])*Tabla8[[#This Row],[Numero de Transportes]]</f>
        <v>-41189.958150304461</v>
      </c>
      <c r="P122" s="15">
        <f>Tabla8[[#This Row],[Margen de productos]]+Tabla8[[#This Row],[Ganancia/Perdida]]</f>
        <v>283410.04184969555</v>
      </c>
      <c r="Q122" s="144">
        <f>(Tabla8[[#This Row],[Margen ]]/Tabla8[[#This Row],[Margen de productos]])-1</f>
        <v>-0.12689451062940371</v>
      </c>
    </row>
    <row r="123" spans="1:17" ht="15" thickBot="1" x14ac:dyDescent="0.35">
      <c r="A123" s="12">
        <v>48527</v>
      </c>
      <c r="B123" s="3" t="str">
        <f>_xlfn.XLOOKUP(Tabla8[[#This Row],[N° FACTURA]],Tabla3[N° FACTURA],Tabla3[Corregimiento],"NA")</f>
        <v>El Carmen</v>
      </c>
      <c r="C123" s="3" t="str">
        <f>_xlfn.XLOOKUP(Tabla8[[#This Row],[N° FACTURA]],Tabla3[N° FACTURA],Tabla3[LUGAR ENVÍO],"NA")</f>
        <v>Pirineos</v>
      </c>
      <c r="D123" s="167">
        <f>_xlfn.XLOOKUP(Tabla8[[#This Row],[N° FACTURA]],Tabla3[N° FACTURA],Tabla3[DISTANCIA (km)],"NA")</f>
        <v>2.6666500000000002</v>
      </c>
      <c r="E123" s="3">
        <f>_xlfn.XLOOKUP(Tabla8[[#This Row],[N° FACTURA]],Tabla3[N° FACTURA],Tabla3[Numero de Transportes],"NA")</f>
        <v>1</v>
      </c>
      <c r="F123" s="15">
        <f>_xlfn.XLOOKUP(Tabla8[[#This Row],[N° FACTURA]],Tabla3[N° FACTURA],Tabla3[VLR. TRANSPORTE],"NA")</f>
        <v>60000</v>
      </c>
      <c r="G123" s="15">
        <f>Tabla8[[#This Row],[VLR. TRANSPORTE]]/Tabla8[[#This Row],[Numero de Transportes]]</f>
        <v>60000</v>
      </c>
      <c r="H123" s="15">
        <f>_xlfn.XLOOKUP(Tabla8[[#This Row],[N° FACTURA]],Tabla3[N° FACTURA],Tabla3[VLR. TOTAL FACT.],"NA")</f>
        <v>838000</v>
      </c>
      <c r="I123" s="15">
        <f>Tabla8[[#This Row],[VLR. TOTAL FACT.]]-Tabla8[[#This Row],[VLR. TRANSPORTE]]</f>
        <v>778000</v>
      </c>
      <c r="J123" s="140">
        <f>Tabla8[[#This Row],[VLR. PRODUCTOS]]*0.2</f>
        <v>155600</v>
      </c>
      <c r="K123" s="15">
        <f>'ABC COSTEO'!B$11</f>
        <v>40740.427791666669</v>
      </c>
      <c r="L123" s="15">
        <f>Tabla8[[#This Row],[DISTANCIA (km)]]*2*'ABC COSTEO'!B$21</f>
        <v>7255.487009538424</v>
      </c>
      <c r="M123" s="15">
        <f>Tabla8[[#This Row],[Costo Variable]]+Tabla8[[#This Row],[Costo fijo]]</f>
        <v>47995.914801205094</v>
      </c>
      <c r="N123" s="15">
        <f>Tabla8[[#This Row],[Costo Total]]*Tabla8[[#This Row],[Numero de Transportes]]</f>
        <v>47995.914801205094</v>
      </c>
      <c r="O123" s="15">
        <f>(Tabla8[[#This Row],[VLR. Transporte unitario]]-Tabla8[[#This Row],[Costo Total]])*Tabla8[[#This Row],[Numero de Transportes]]</f>
        <v>12004.085198794906</v>
      </c>
      <c r="P123" s="15">
        <f>Tabla8[[#This Row],[Margen de productos]]+Tabla8[[#This Row],[Ganancia/Perdida]]</f>
        <v>167604.0851987949</v>
      </c>
      <c r="Q123" s="144">
        <f>(Tabla8[[#This Row],[Margen ]]/Tabla8[[#This Row],[Margen de productos]])-1</f>
        <v>7.7147077113077778E-2</v>
      </c>
    </row>
    <row r="124" spans="1:17" ht="15" thickBot="1" x14ac:dyDescent="0.35">
      <c r="A124" s="3">
        <v>47595</v>
      </c>
      <c r="B124" s="3" t="str">
        <f>_xlfn.XLOOKUP(Tabla8[[#This Row],[N° FACTURA]],Tabla3[N° FACTURA],Tabla3[Corregimiento],"NA")</f>
        <v>El Carmen</v>
      </c>
      <c r="C124" s="3" t="str">
        <f>_xlfn.XLOOKUP(Tabla8[[#This Row],[N° FACTURA]],Tabla3[N° FACTURA],Tabla3[LUGAR ENVÍO],"NA")</f>
        <v>Carmen</v>
      </c>
      <c r="D124" s="167">
        <f>_xlfn.XLOOKUP(Tabla8[[#This Row],[N° FACTURA]],Tabla3[N° FACTURA],Tabla3[DISTANCIA (km)],"NA")</f>
        <v>4.2009999999999987</v>
      </c>
      <c r="E124" s="3">
        <f>_xlfn.XLOOKUP(Tabla8[[#This Row],[N° FACTURA]],Tabla3[N° FACTURA],Tabla3[Numero de Transportes],"NA")</f>
        <v>1</v>
      </c>
      <c r="F124" s="15">
        <f>_xlfn.XLOOKUP(Tabla8[[#This Row],[N° FACTURA]],Tabla3[N° FACTURA],Tabla3[VLR. TRANSPORTE],"NA")</f>
        <v>40000</v>
      </c>
      <c r="G124" s="15">
        <f>Tabla8[[#This Row],[VLR. TRANSPORTE]]/Tabla8[[#This Row],[Numero de Transportes]]</f>
        <v>40000</v>
      </c>
      <c r="H124" s="15">
        <f>_xlfn.XLOOKUP(Tabla8[[#This Row],[N° FACTURA]],Tabla3[N° FACTURA],Tabla3[VLR. TOTAL FACT.],"NA")</f>
        <v>881000</v>
      </c>
      <c r="I124" s="15">
        <f>Tabla8[[#This Row],[VLR. TOTAL FACT.]]-Tabla8[[#This Row],[VLR. TRANSPORTE]]</f>
        <v>841000</v>
      </c>
      <c r="J124" s="140">
        <f>Tabla8[[#This Row],[VLR. PRODUCTOS]]*0.2</f>
        <v>168200</v>
      </c>
      <c r="K124" s="15">
        <f>'ABC COSTEO'!B$11</f>
        <v>40740.427791666669</v>
      </c>
      <c r="L124" s="15">
        <f>Tabla8[[#This Row],[DISTANCIA (km)]]*2*'ABC COSTEO'!B$21</f>
        <v>11430.18428630338</v>
      </c>
      <c r="M124" s="15">
        <f>Tabla8[[#This Row],[Costo Variable]]+Tabla8[[#This Row],[Costo fijo]]</f>
        <v>52170.61207797005</v>
      </c>
      <c r="N124" s="15">
        <f>Tabla8[[#This Row],[Costo Total]]*Tabla8[[#This Row],[Numero de Transportes]]</f>
        <v>52170.61207797005</v>
      </c>
      <c r="O124" s="15">
        <f>(Tabla8[[#This Row],[VLR. Transporte unitario]]-Tabla8[[#This Row],[Costo Total]])*Tabla8[[#This Row],[Numero de Transportes]]</f>
        <v>-12170.61207797005</v>
      </c>
      <c r="P124" s="15">
        <f>Tabla8[[#This Row],[Margen de productos]]+Tabla8[[#This Row],[Ganancia/Perdida]]</f>
        <v>156029.38792202994</v>
      </c>
      <c r="Q124" s="144">
        <f>(Tabla8[[#This Row],[Margen ]]/Tabla8[[#This Row],[Margen de productos]])-1</f>
        <v>-7.2357979060464039E-2</v>
      </c>
    </row>
    <row r="125" spans="1:17" ht="15" thickBot="1" x14ac:dyDescent="0.35">
      <c r="A125" s="12">
        <v>58457</v>
      </c>
      <c r="B125" s="3" t="str">
        <f>_xlfn.XLOOKUP(Tabla8[[#This Row],[N° FACTURA]],Tabla3[N° FACTURA],Tabla3[Corregimiento],"NA")</f>
        <v>Borrero Ayerbe</v>
      </c>
      <c r="C125" s="3" t="str">
        <f>_xlfn.XLOOKUP(Tabla8[[#This Row],[N° FACTURA]],Tabla3[N° FACTURA],Tabla3[LUGAR ENVÍO],"NA")</f>
        <v>Monteredondo</v>
      </c>
      <c r="D125" s="167">
        <f>_xlfn.XLOOKUP(Tabla8[[#This Row],[N° FACTURA]],Tabla3[N° FACTURA],Tabla3[DISTANCIA (km)],"NA")</f>
        <v>0.42800000000000005</v>
      </c>
      <c r="E125" s="3">
        <f>_xlfn.XLOOKUP(Tabla8[[#This Row],[N° FACTURA]],Tabla3[N° FACTURA],Tabla3[Numero de Transportes],"NA")</f>
        <v>1</v>
      </c>
      <c r="F125" s="15">
        <f>_xlfn.XLOOKUP(Tabla8[[#This Row],[N° FACTURA]],Tabla3[N° FACTURA],Tabla3[VLR. TRANSPORTE],"NA")</f>
        <v>30000</v>
      </c>
      <c r="G125" s="15">
        <f>Tabla8[[#This Row],[VLR. TRANSPORTE]]/Tabla8[[#This Row],[Numero de Transportes]]</f>
        <v>30000</v>
      </c>
      <c r="H125" s="15">
        <f>_xlfn.XLOOKUP(Tabla8[[#This Row],[N° FACTURA]],Tabla3[N° FACTURA],Tabla3[VLR. TOTAL FACT.],"NA")</f>
        <v>210000</v>
      </c>
      <c r="I125" s="15">
        <f>Tabla8[[#This Row],[VLR. TOTAL FACT.]]-Tabla8[[#This Row],[VLR. TRANSPORTE]]</f>
        <v>180000</v>
      </c>
      <c r="J125" s="140">
        <f>Tabla8[[#This Row],[VLR. PRODUCTOS]]*0.2</f>
        <v>36000</v>
      </c>
      <c r="K125" s="15">
        <f>'ABC COSTEO'!B$11</f>
        <v>40740.427791666669</v>
      </c>
      <c r="L125" s="15">
        <f>Tabla8[[#This Row],[DISTANCIA (km)]]*2*'ABC COSTEO'!B$21</f>
        <v>1164.5129432368124</v>
      </c>
      <c r="M125" s="15">
        <f>Tabla8[[#This Row],[Costo Variable]]+Tabla8[[#This Row],[Costo fijo]]</f>
        <v>41904.940734903481</v>
      </c>
      <c r="N125" s="15">
        <f>Tabla8[[#This Row],[Costo Total]]*Tabla8[[#This Row],[Numero de Transportes]]</f>
        <v>41904.940734903481</v>
      </c>
      <c r="O125" s="15">
        <f>(Tabla8[[#This Row],[VLR. Transporte unitario]]-Tabla8[[#This Row],[Costo Total]])*Tabla8[[#This Row],[Numero de Transportes]]</f>
        <v>-11904.940734903481</v>
      </c>
      <c r="P125" s="15">
        <f>Tabla8[[#This Row],[Margen de productos]]+Tabla8[[#This Row],[Ganancia/Perdida]]</f>
        <v>24095.059265096519</v>
      </c>
      <c r="Q125" s="144">
        <f>(Tabla8[[#This Row],[Margen ]]/Tabla8[[#This Row],[Margen de productos]])-1</f>
        <v>-0.33069279819176334</v>
      </c>
    </row>
    <row r="126" spans="1:17" ht="15" thickBot="1" x14ac:dyDescent="0.35">
      <c r="A126" s="146">
        <v>36307</v>
      </c>
      <c r="B126" s="3" t="str">
        <f>_xlfn.XLOOKUP(Tabla8[[#This Row],[N° FACTURA]],Tabla3[N° FACTURA],Tabla3[Corregimiento],"NA")</f>
        <v>El Carmen</v>
      </c>
      <c r="C126" s="3" t="str">
        <f>_xlfn.XLOOKUP(Tabla8[[#This Row],[N° FACTURA]],Tabla3[N° FACTURA],Tabla3[LUGAR ENVÍO],"NA")</f>
        <v>Pirineos</v>
      </c>
      <c r="D126" s="167">
        <f>_xlfn.XLOOKUP(Tabla8[[#This Row],[N° FACTURA]],Tabla3[N° FACTURA],Tabla3[DISTANCIA (km)],"NA")</f>
        <v>2.6666500000000002</v>
      </c>
      <c r="E126" s="3">
        <f>_xlfn.XLOOKUP(Tabla8[[#This Row],[N° FACTURA]],Tabla3[N° FACTURA],Tabla3[Numero de Transportes],"NA")</f>
        <v>2</v>
      </c>
      <c r="F126" s="15">
        <f>_xlfn.XLOOKUP(Tabla8[[#This Row],[N° FACTURA]],Tabla3[N° FACTURA],Tabla3[VLR. TRANSPORTE],"NA")</f>
        <v>120000</v>
      </c>
      <c r="G126" s="15">
        <f>Tabla8[[#This Row],[VLR. TRANSPORTE]]/Tabla8[[#This Row],[Numero de Transportes]]</f>
        <v>60000</v>
      </c>
      <c r="H126" s="15">
        <f>_xlfn.XLOOKUP(Tabla8[[#This Row],[N° FACTURA]],Tabla3[N° FACTURA],Tabla3[VLR. TOTAL FACT.],"NA")</f>
        <v>1301500</v>
      </c>
      <c r="I126" s="15">
        <f>Tabla8[[#This Row],[VLR. TOTAL FACT.]]-Tabla8[[#This Row],[VLR. TRANSPORTE]]</f>
        <v>1181500</v>
      </c>
      <c r="J126" s="140">
        <f>Tabla8[[#This Row],[VLR. PRODUCTOS]]*0.2</f>
        <v>236300</v>
      </c>
      <c r="K126" s="15">
        <f>'ABC COSTEO'!B$11</f>
        <v>40740.427791666669</v>
      </c>
      <c r="L126" s="15">
        <f>Tabla8[[#This Row],[DISTANCIA (km)]]*2*'ABC COSTEO'!B$21</f>
        <v>7255.487009538424</v>
      </c>
      <c r="M126" s="15">
        <f>Tabla8[[#This Row],[Costo Variable]]+Tabla8[[#This Row],[Costo fijo]]</f>
        <v>47995.914801205094</v>
      </c>
      <c r="N126" s="15">
        <f>Tabla8[[#This Row],[Costo Total]]*Tabla8[[#This Row],[Numero de Transportes]]</f>
        <v>95991.829602410187</v>
      </c>
      <c r="O126" s="15">
        <f>(Tabla8[[#This Row],[VLR. Transporte unitario]]-Tabla8[[#This Row],[Costo Total]])*Tabla8[[#This Row],[Numero de Transportes]]</f>
        <v>24008.170397589813</v>
      </c>
      <c r="P126" s="15">
        <f>Tabla8[[#This Row],[Margen de productos]]+Tabla8[[#This Row],[Ganancia/Perdida]]</f>
        <v>260308.1703975898</v>
      </c>
      <c r="Q126" s="144">
        <f>(Tabla8[[#This Row],[Margen ]]/Tabla8[[#This Row],[Margen de productos]])-1</f>
        <v>0.10160038255433679</v>
      </c>
    </row>
    <row r="127" spans="1:17" ht="15" thickBot="1" x14ac:dyDescent="0.35">
      <c r="A127" s="12">
        <v>47038</v>
      </c>
      <c r="B127" s="3" t="str">
        <f>_xlfn.XLOOKUP(Tabla8[[#This Row],[N° FACTURA]],Tabla3[N° FACTURA],Tabla3[Corregimiento],"NA")</f>
        <v>El Carmen</v>
      </c>
      <c r="C127" s="3" t="str">
        <f>_xlfn.XLOOKUP(Tabla8[[#This Row],[N° FACTURA]],Tabla3[N° FACTURA],Tabla3[LUGAR ENVÍO],"NA")</f>
        <v>Altos del Carmen</v>
      </c>
      <c r="D127" s="167">
        <f>_xlfn.XLOOKUP(Tabla8[[#This Row],[N° FACTURA]],Tabla3[N° FACTURA],Tabla3[DISTANCIA (km)],"NA")</f>
        <v>5.4639999999999986</v>
      </c>
      <c r="E127" s="3">
        <f>_xlfn.XLOOKUP(Tabla8[[#This Row],[N° FACTURA]],Tabla3[N° FACTURA],Tabla3[Numero de Transportes],"NA")</f>
        <v>1</v>
      </c>
      <c r="F127" s="15">
        <f>_xlfn.XLOOKUP(Tabla8[[#This Row],[N° FACTURA]],Tabla3[N° FACTURA],Tabla3[VLR. TRANSPORTE],"NA")</f>
        <v>40000</v>
      </c>
      <c r="G127" s="15">
        <f>Tabla8[[#This Row],[VLR. TRANSPORTE]]/Tabla8[[#This Row],[Numero de Transportes]]</f>
        <v>40000</v>
      </c>
      <c r="H127" s="15">
        <f>_xlfn.XLOOKUP(Tabla8[[#This Row],[N° FACTURA]],Tabla3[N° FACTURA],Tabla3[VLR. TOTAL FACT.],"NA")</f>
        <v>515000</v>
      </c>
      <c r="I127" s="15">
        <f>Tabla8[[#This Row],[VLR. TOTAL FACT.]]-Tabla8[[#This Row],[VLR. TRANSPORTE]]</f>
        <v>475000</v>
      </c>
      <c r="J127" s="140">
        <f>Tabla8[[#This Row],[VLR. PRODUCTOS]]*0.2</f>
        <v>95000</v>
      </c>
      <c r="K127" s="15">
        <f>'ABC COSTEO'!B$11</f>
        <v>40740.427791666669</v>
      </c>
      <c r="L127" s="15">
        <f>Tabla8[[#This Row],[DISTANCIA (km)]]*2*'ABC COSTEO'!B$21</f>
        <v>14866.585798705468</v>
      </c>
      <c r="M127" s="15">
        <f>Tabla8[[#This Row],[Costo Variable]]+Tabla8[[#This Row],[Costo fijo]]</f>
        <v>55607.013590372138</v>
      </c>
      <c r="N127" s="15">
        <f>Tabla8[[#This Row],[Costo Total]]*Tabla8[[#This Row],[Numero de Transportes]]</f>
        <v>55607.013590372138</v>
      </c>
      <c r="O127" s="15">
        <f>(Tabla8[[#This Row],[VLR. Transporte unitario]]-Tabla8[[#This Row],[Costo Total]])*Tabla8[[#This Row],[Numero de Transportes]]</f>
        <v>-15607.013590372138</v>
      </c>
      <c r="P127" s="15">
        <f>Tabla8[[#This Row],[Margen de productos]]+Tabla8[[#This Row],[Ganancia/Perdida]]</f>
        <v>79392.986409627862</v>
      </c>
      <c r="Q127" s="144">
        <f>(Tabla8[[#This Row],[Margen ]]/Tabla8[[#This Row],[Margen de productos]])-1</f>
        <v>-0.16428435358286464</v>
      </c>
    </row>
    <row r="128" spans="1:17" ht="27.6" thickBot="1" x14ac:dyDescent="0.35">
      <c r="A128" s="3">
        <v>47439</v>
      </c>
      <c r="B128" s="3" t="str">
        <f>_xlfn.XLOOKUP(Tabla8[[#This Row],[N° FACTURA]],Tabla3[N° FACTURA],Tabla3[Corregimiento],"NA")</f>
        <v>El Carmen</v>
      </c>
      <c r="C128" s="3" t="str">
        <f>_xlfn.XLOOKUP(Tabla8[[#This Row],[N° FACTURA]],Tabla3[N° FACTURA],Tabla3[LUGAR ENVÍO],"NA")</f>
        <v>Parcelación El bosque</v>
      </c>
      <c r="D128" s="167">
        <f>_xlfn.XLOOKUP(Tabla8[[#This Row],[N° FACTURA]],Tabla3[N° FACTURA],Tabla3[DISTANCIA (km)],"NA")</f>
        <v>4.8000390000000017</v>
      </c>
      <c r="E128" s="3">
        <f>_xlfn.XLOOKUP(Tabla8[[#This Row],[N° FACTURA]],Tabla3[N° FACTURA],Tabla3[Numero de Transportes],"NA")</f>
        <v>1</v>
      </c>
      <c r="F128" s="15">
        <f>_xlfn.XLOOKUP(Tabla8[[#This Row],[N° FACTURA]],Tabla3[N° FACTURA],Tabla3[VLR. TRANSPORTE],"NA")</f>
        <v>70000</v>
      </c>
      <c r="G128" s="15">
        <f>Tabla8[[#This Row],[VLR. TRANSPORTE]]/Tabla8[[#This Row],[Numero de Transportes]]</f>
        <v>70000</v>
      </c>
      <c r="H128" s="15">
        <f>_xlfn.XLOOKUP(Tabla8[[#This Row],[N° FACTURA]],Tabla3[N° FACTURA],Tabla3[VLR. TOTAL FACT.],"NA")</f>
        <v>420400</v>
      </c>
      <c r="I128" s="15">
        <f>Tabla8[[#This Row],[VLR. TOTAL FACT.]]-Tabla8[[#This Row],[VLR. TRANSPORTE]]</f>
        <v>350400</v>
      </c>
      <c r="J128" s="140">
        <f>Tabla8[[#This Row],[VLR. PRODUCTOS]]*0.2</f>
        <v>70080</v>
      </c>
      <c r="K128" s="15">
        <f>'ABC COSTEO'!B$11</f>
        <v>40740.427791666669</v>
      </c>
      <c r="L128" s="15">
        <f>Tabla8[[#This Row],[DISTANCIA (km)]]*2*'ABC COSTEO'!B$21</f>
        <v>13060.064354068894</v>
      </c>
      <c r="M128" s="15">
        <f>Tabla8[[#This Row],[Costo Variable]]+Tabla8[[#This Row],[Costo fijo]]</f>
        <v>53800.492145735567</v>
      </c>
      <c r="N128" s="15">
        <f>Tabla8[[#This Row],[Costo Total]]*Tabla8[[#This Row],[Numero de Transportes]]</f>
        <v>53800.492145735567</v>
      </c>
      <c r="O128" s="15">
        <f>(Tabla8[[#This Row],[VLR. Transporte unitario]]-Tabla8[[#This Row],[Costo Total]])*Tabla8[[#This Row],[Numero de Transportes]]</f>
        <v>16199.507854264433</v>
      </c>
      <c r="P128" s="15">
        <f>Tabla8[[#This Row],[Margen de productos]]+Tabla8[[#This Row],[Ganancia/Perdida]]</f>
        <v>86279.507854264433</v>
      </c>
      <c r="Q128" s="144">
        <f>(Tabla8[[#This Row],[Margen ]]/Tabla8[[#This Row],[Margen de productos]])-1</f>
        <v>0.23115736093413863</v>
      </c>
    </row>
    <row r="129" spans="1:17" ht="15" thickBot="1" x14ac:dyDescent="0.35">
      <c r="A129" s="12">
        <v>48256</v>
      </c>
      <c r="B129" s="3" t="str">
        <f>_xlfn.XLOOKUP(Tabla8[[#This Row],[N° FACTURA]],Tabla3[N° FACTURA],Tabla3[Corregimiento],"NA")</f>
        <v>Borrero Ayerbe</v>
      </c>
      <c r="C129" s="3" t="str">
        <f>_xlfn.XLOOKUP(Tabla8[[#This Row],[N° FACTURA]],Tabla3[N° FACTURA],Tabla3[LUGAR ENVÍO],"NA")</f>
        <v>La Zulia 2</v>
      </c>
      <c r="D129" s="167">
        <f>_xlfn.XLOOKUP(Tabla8[[#This Row],[N° FACTURA]],Tabla3[N° FACTURA],Tabla3[DISTANCIA (km)],"NA")</f>
        <v>1.2480000000000002</v>
      </c>
      <c r="E129" s="3">
        <f>_xlfn.XLOOKUP(Tabla8[[#This Row],[N° FACTURA]],Tabla3[N° FACTURA],Tabla3[Numero de Transportes],"NA")</f>
        <v>1</v>
      </c>
      <c r="F129" s="15">
        <f>_xlfn.XLOOKUP(Tabla8[[#This Row],[N° FACTURA]],Tabla3[N° FACTURA],Tabla3[VLR. TRANSPORTE],"NA")</f>
        <v>40000</v>
      </c>
      <c r="G129" s="15">
        <f>Tabla8[[#This Row],[VLR. TRANSPORTE]]/Tabla8[[#This Row],[Numero de Transportes]]</f>
        <v>40000</v>
      </c>
      <c r="H129" s="15">
        <f>_xlfn.XLOOKUP(Tabla8[[#This Row],[N° FACTURA]],Tabla3[N° FACTURA],Tabla3[VLR. TOTAL FACT.],"NA")</f>
        <v>606000</v>
      </c>
      <c r="I129" s="15">
        <f>Tabla8[[#This Row],[VLR. TOTAL FACT.]]-Tabla8[[#This Row],[VLR. TRANSPORTE]]</f>
        <v>566000</v>
      </c>
      <c r="J129" s="140">
        <f>Tabla8[[#This Row],[VLR. PRODUCTOS]]*0.2</f>
        <v>113200</v>
      </c>
      <c r="K129" s="15">
        <f>'ABC COSTEO'!B$11</f>
        <v>40740.427791666669</v>
      </c>
      <c r="L129" s="15">
        <f>Tabla8[[#This Row],[DISTANCIA (km)]]*2*'ABC COSTEO'!B$21</f>
        <v>3395.5891428961258</v>
      </c>
      <c r="M129" s="15">
        <f>Tabla8[[#This Row],[Costo Variable]]+Tabla8[[#This Row],[Costo fijo]]</f>
        <v>44136.016934562795</v>
      </c>
      <c r="N129" s="15">
        <f>Tabla8[[#This Row],[Costo Total]]*Tabla8[[#This Row],[Numero de Transportes]]</f>
        <v>44136.016934562795</v>
      </c>
      <c r="O129" s="15">
        <f>(Tabla8[[#This Row],[VLR. Transporte unitario]]-Tabla8[[#This Row],[Costo Total]])*Tabla8[[#This Row],[Numero de Transportes]]</f>
        <v>-4136.0169345627946</v>
      </c>
      <c r="P129" s="15">
        <f>Tabla8[[#This Row],[Margen de productos]]+Tabla8[[#This Row],[Ganancia/Perdida]]</f>
        <v>109063.98306543721</v>
      </c>
      <c r="Q129" s="144">
        <f>(Tabla8[[#This Row],[Margen ]]/Tabla8[[#This Row],[Margen de productos]])-1</f>
        <v>-3.653725207210945E-2</v>
      </c>
    </row>
    <row r="130" spans="1:17" ht="27.6" thickBot="1" x14ac:dyDescent="0.35">
      <c r="A130" s="147">
        <v>51245</v>
      </c>
      <c r="B130" s="3" t="str">
        <f>_xlfn.XLOOKUP(Tabla8[[#This Row],[N° FACTURA]],Tabla3[N° FACTURA],Tabla3[Corregimiento],"NA")</f>
        <v>El Carmen</v>
      </c>
      <c r="C130" s="3" t="str">
        <f>_xlfn.XLOOKUP(Tabla8[[#This Row],[N° FACTURA]],Tabla3[N° FACTURA],Tabla3[LUGAR ENVÍO],"NA")</f>
        <v xml:space="preserve">Parcelaón las palmas </v>
      </c>
      <c r="D130" s="167">
        <f>_xlfn.XLOOKUP(Tabla8[[#This Row],[N° FACTURA]],Tabla3[N° FACTURA],Tabla3[DISTANCIA (km)],"NA")</f>
        <v>2.6410000000000009</v>
      </c>
      <c r="E130" s="3">
        <f>_xlfn.XLOOKUP(Tabla8[[#This Row],[N° FACTURA]],Tabla3[N° FACTURA],Tabla3[Numero de Transportes],"NA")</f>
        <v>1</v>
      </c>
      <c r="F130" s="15">
        <f>_xlfn.XLOOKUP(Tabla8[[#This Row],[N° FACTURA]],Tabla3[N° FACTURA],Tabla3[VLR. TRANSPORTE],"NA")</f>
        <v>40000</v>
      </c>
      <c r="G130" s="15">
        <f>Tabla8[[#This Row],[VLR. TRANSPORTE]]/Tabla8[[#This Row],[Numero de Transportes]]</f>
        <v>40000</v>
      </c>
      <c r="H130" s="15">
        <f>_xlfn.XLOOKUP(Tabla8[[#This Row],[N° FACTURA]],Tabla3[N° FACTURA],Tabla3[VLR. TOTAL FACT.],"NA")</f>
        <v>605800</v>
      </c>
      <c r="I130" s="15">
        <f>Tabla8[[#This Row],[VLR. TOTAL FACT.]]-Tabla8[[#This Row],[VLR. TRANSPORTE]]</f>
        <v>565800</v>
      </c>
      <c r="J130" s="140">
        <f>Tabla8[[#This Row],[VLR. PRODUCTOS]]*0.2</f>
        <v>113160</v>
      </c>
      <c r="K130" s="15">
        <f>'ABC COSTEO'!B$11</f>
        <v>40740.427791666669</v>
      </c>
      <c r="L130" s="15">
        <f>Tabla8[[#This Row],[DISTANCIA (km)]]*2*'ABC COSTEO'!B$21</f>
        <v>7185.6978576832289</v>
      </c>
      <c r="M130" s="15">
        <f>Tabla8[[#This Row],[Costo Variable]]+Tabla8[[#This Row],[Costo fijo]]</f>
        <v>47926.125649349895</v>
      </c>
      <c r="N130" s="15">
        <f>Tabla8[[#This Row],[Costo Total]]*Tabla8[[#This Row],[Numero de Transportes]]</f>
        <v>47926.125649349895</v>
      </c>
      <c r="O130" s="15">
        <f>(Tabla8[[#This Row],[VLR. Transporte unitario]]-Tabla8[[#This Row],[Costo Total]])*Tabla8[[#This Row],[Numero de Transportes]]</f>
        <v>-7926.125649349895</v>
      </c>
      <c r="P130" s="15">
        <f>Tabla8[[#This Row],[Margen de productos]]+Tabla8[[#This Row],[Ganancia/Perdida]]</f>
        <v>105233.87435065011</v>
      </c>
      <c r="Q130" s="144">
        <f>(Tabla8[[#This Row],[Margen ]]/Tabla8[[#This Row],[Margen de productos]])-1</f>
        <v>-7.0043528184428161E-2</v>
      </c>
    </row>
    <row r="131" spans="1:17" ht="15" thickBot="1" x14ac:dyDescent="0.35">
      <c r="A131" s="12">
        <v>58690</v>
      </c>
      <c r="B131" s="3" t="str">
        <f>_xlfn.XLOOKUP(Tabla8[[#This Row],[N° FACTURA]],Tabla3[N° FACTURA],Tabla3[Corregimiento],"NA")</f>
        <v>Borrero Ayerbe</v>
      </c>
      <c r="C131" s="3" t="str">
        <f>_xlfn.XLOOKUP(Tabla8[[#This Row],[N° FACTURA]],Tabla3[N° FACTURA],Tabla3[LUGAR ENVÍO],"NA")</f>
        <v>Villa saman</v>
      </c>
      <c r="D131" s="167">
        <f>_xlfn.XLOOKUP(Tabla8[[#This Row],[N° FACTURA]],Tabla3[N° FACTURA],Tabla3[DISTANCIA (km)],"NA")</f>
        <v>2.0589999999999997</v>
      </c>
      <c r="E131" s="3">
        <f>_xlfn.XLOOKUP(Tabla8[[#This Row],[N° FACTURA]],Tabla3[N° FACTURA],Tabla3[Numero de Transportes],"NA")</f>
        <v>2</v>
      </c>
      <c r="F131" s="15">
        <f>_xlfn.XLOOKUP(Tabla8[[#This Row],[N° FACTURA]],Tabla3[N° FACTURA],Tabla3[VLR. TRANSPORTE],"NA")</f>
        <v>40000</v>
      </c>
      <c r="G131" s="15">
        <f>Tabla8[[#This Row],[VLR. TRANSPORTE]]/Tabla8[[#This Row],[Numero de Transportes]]</f>
        <v>20000</v>
      </c>
      <c r="H131" s="15">
        <f>_xlfn.XLOOKUP(Tabla8[[#This Row],[N° FACTURA]],Tabla3[N° FACTURA],Tabla3[VLR. TOTAL FACT.],"NA")</f>
        <v>387000</v>
      </c>
      <c r="I131" s="15">
        <f>Tabla8[[#This Row],[VLR. TOTAL FACT.]]-Tabla8[[#This Row],[VLR. TRANSPORTE]]</f>
        <v>347000</v>
      </c>
      <c r="J131" s="140">
        <f>Tabla8[[#This Row],[VLR. PRODUCTOS]]*0.2</f>
        <v>69400</v>
      </c>
      <c r="K131" s="15">
        <f>'ABC COSTEO'!B$11</f>
        <v>40740.427791666669</v>
      </c>
      <c r="L131" s="15">
        <f>Tabla8[[#This Row],[DISTANCIA (km)]]*2*'ABC COSTEO'!B$21</f>
        <v>5602.1779208518601</v>
      </c>
      <c r="M131" s="15">
        <f>Tabla8[[#This Row],[Costo Variable]]+Tabla8[[#This Row],[Costo fijo]]</f>
        <v>46342.605712518533</v>
      </c>
      <c r="N131" s="15">
        <f>Tabla8[[#This Row],[Costo Total]]*Tabla8[[#This Row],[Numero de Transportes]]</f>
        <v>92685.211425037065</v>
      </c>
      <c r="O131" s="15">
        <f>(Tabla8[[#This Row],[VLR. Transporte unitario]]-Tabla8[[#This Row],[Costo Total]])*Tabla8[[#This Row],[Numero de Transportes]]</f>
        <v>-52685.211425037065</v>
      </c>
      <c r="P131" s="15">
        <f>Tabla8[[#This Row],[Margen de productos]]+Tabla8[[#This Row],[Ganancia/Perdida]]</f>
        <v>16714.788574962935</v>
      </c>
      <c r="Q131" s="144">
        <f>(Tabla8[[#This Row],[Margen ]]/Tabla8[[#This Row],[Margen de productos]])-1</f>
        <v>-0.75915290237805566</v>
      </c>
    </row>
    <row r="132" spans="1:17" ht="27.6" thickBot="1" x14ac:dyDescent="0.35">
      <c r="A132" s="146">
        <v>48951</v>
      </c>
      <c r="B132" s="3" t="str">
        <f>_xlfn.XLOOKUP(Tabla8[[#This Row],[N° FACTURA]],Tabla3[N° FACTURA],Tabla3[Corregimiento],"NA")</f>
        <v>El Carmen</v>
      </c>
      <c r="C132" s="3" t="str">
        <f>_xlfn.XLOOKUP(Tabla8[[#This Row],[N° FACTURA]],Tabla3[N° FACTURA],Tabla3[LUGAR ENVÍO],"NA")</f>
        <v xml:space="preserve">Parcelaón las palmas </v>
      </c>
      <c r="D132" s="167">
        <f>_xlfn.XLOOKUP(Tabla8[[#This Row],[N° FACTURA]],Tabla3[N° FACTURA],Tabla3[DISTANCIA (km)],"NA")</f>
        <v>2.6410000000000009</v>
      </c>
      <c r="E132" s="3">
        <f>_xlfn.XLOOKUP(Tabla8[[#This Row],[N° FACTURA]],Tabla3[N° FACTURA],Tabla3[Numero de Transportes],"NA")</f>
        <v>1</v>
      </c>
      <c r="F132" s="15">
        <f>_xlfn.XLOOKUP(Tabla8[[#This Row],[N° FACTURA]],Tabla3[N° FACTURA],Tabla3[VLR. TRANSPORTE],"NA")</f>
        <v>40000</v>
      </c>
      <c r="G132" s="15">
        <f>Tabla8[[#This Row],[VLR. TRANSPORTE]]/Tabla8[[#This Row],[Numero de Transportes]]</f>
        <v>40000</v>
      </c>
      <c r="H132" s="15">
        <f>_xlfn.XLOOKUP(Tabla8[[#This Row],[N° FACTURA]],Tabla3[N° FACTURA],Tabla3[VLR. TOTAL FACT.],"NA")</f>
        <v>472500</v>
      </c>
      <c r="I132" s="96">
        <f>Tabla8[[#This Row],[VLR. TOTAL FACT.]]-Tabla8[[#This Row],[VLR. TRANSPORTE]]</f>
        <v>432500</v>
      </c>
      <c r="J132" s="140">
        <f>Tabla8[[#This Row],[VLR. PRODUCTOS]]*0.2</f>
        <v>86500</v>
      </c>
      <c r="K132" s="15">
        <f>'ABC COSTEO'!B$11</f>
        <v>40740.427791666669</v>
      </c>
      <c r="L132" s="15">
        <f>Tabla8[[#This Row],[DISTANCIA (km)]]*2*'ABC COSTEO'!B$21</f>
        <v>7185.6978576832289</v>
      </c>
      <c r="M132" s="15">
        <f>Tabla8[[#This Row],[Costo Variable]]+Tabla8[[#This Row],[Costo fijo]]</f>
        <v>47926.125649349895</v>
      </c>
      <c r="N132" s="15">
        <f>Tabla8[[#This Row],[Costo Total]]*Tabla8[[#This Row],[Numero de Transportes]]</f>
        <v>47926.125649349895</v>
      </c>
      <c r="O132" s="15">
        <f>(Tabla8[[#This Row],[VLR. Transporte unitario]]-Tabla8[[#This Row],[Costo Total]])*Tabla8[[#This Row],[Numero de Transportes]]</f>
        <v>-7926.125649349895</v>
      </c>
      <c r="P132" s="15">
        <f>Tabla8[[#This Row],[Margen de productos]]+Tabla8[[#This Row],[Ganancia/Perdida]]</f>
        <v>78573.874350650105</v>
      </c>
      <c r="Q132" s="144">
        <f>(Tabla8[[#This Row],[Margen ]]/Tabla8[[#This Row],[Margen de productos]])-1</f>
        <v>-9.1631510397108595E-2</v>
      </c>
    </row>
    <row r="133" spans="1:17" ht="15" thickBot="1" x14ac:dyDescent="0.35">
      <c r="A133" s="12">
        <v>58584</v>
      </c>
      <c r="B133" s="3" t="str">
        <f>_xlfn.XLOOKUP(Tabla8[[#This Row],[N° FACTURA]],Tabla3[N° FACTURA],Tabla3[Corregimiento],"NA")</f>
        <v>El Carmen</v>
      </c>
      <c r="C133" s="3" t="str">
        <f>_xlfn.XLOOKUP(Tabla8[[#This Row],[N° FACTURA]],Tabla3[N° FACTURA],Tabla3[LUGAR ENVÍO],"NA")</f>
        <v xml:space="preserve">La cabaña </v>
      </c>
      <c r="D133" s="167">
        <f>_xlfn.XLOOKUP(Tabla8[[#This Row],[N° FACTURA]],Tabla3[N° FACTURA],Tabla3[DISTANCIA (km)],"NA")</f>
        <v>2.0910000000000002</v>
      </c>
      <c r="E133" s="3">
        <f>_xlfn.XLOOKUP(Tabla8[[#This Row],[N° FACTURA]],Tabla3[N° FACTURA],Tabla3[Numero de Transportes],"NA")</f>
        <v>1</v>
      </c>
      <c r="F133" s="15">
        <f>_xlfn.XLOOKUP(Tabla8[[#This Row],[N° FACTURA]],Tabla3[N° FACTURA],Tabla3[VLR. TRANSPORTE],"NA")</f>
        <v>40000</v>
      </c>
      <c r="G133" s="15">
        <f>Tabla8[[#This Row],[VLR. TRANSPORTE]]/Tabla8[[#This Row],[Numero de Transportes]]</f>
        <v>40000</v>
      </c>
      <c r="H133" s="15">
        <f>_xlfn.XLOOKUP(Tabla8[[#This Row],[N° FACTURA]],Tabla3[N° FACTURA],Tabla3[VLR. TOTAL FACT.],"NA")</f>
        <v>396000</v>
      </c>
      <c r="I133" s="15">
        <f>Tabla8[[#This Row],[VLR. TOTAL FACT.]]-Tabla8[[#This Row],[VLR. TRANSPORTE]]</f>
        <v>356000</v>
      </c>
      <c r="J133" s="140">
        <f>Tabla8[[#This Row],[VLR. PRODUCTOS]]*0.2</f>
        <v>71200</v>
      </c>
      <c r="K133" s="15">
        <f>'ABC COSTEO'!B$11</f>
        <v>40740.427791666669</v>
      </c>
      <c r="L133" s="15">
        <f>Tabla8[[#This Row],[DISTANCIA (km)]]*2*'ABC COSTEO'!B$21</f>
        <v>5689.2443091312489</v>
      </c>
      <c r="M133" s="15">
        <f>Tabla8[[#This Row],[Costo Variable]]+Tabla8[[#This Row],[Costo fijo]]</f>
        <v>46429.672100797921</v>
      </c>
      <c r="N133" s="15">
        <f>Tabla8[[#This Row],[Costo Total]]*Tabla8[[#This Row],[Numero de Transportes]]</f>
        <v>46429.672100797921</v>
      </c>
      <c r="O133" s="15">
        <f>(Tabla8[[#This Row],[VLR. Transporte unitario]]-Tabla8[[#This Row],[Costo Total]])*Tabla8[[#This Row],[Numero de Transportes]]</f>
        <v>-6429.6721007979213</v>
      </c>
      <c r="P133" s="15">
        <f>Tabla8[[#This Row],[Margen de productos]]+Tabla8[[#This Row],[Ganancia/Perdida]]</f>
        <v>64770.327899202079</v>
      </c>
      <c r="Q133" s="144">
        <f>(Tabla8[[#This Row],[Margen ]]/Tabla8[[#This Row],[Margen de productos]])-1</f>
        <v>-9.0304383438173041E-2</v>
      </c>
    </row>
    <row r="134" spans="1:17" ht="27.6" thickBot="1" x14ac:dyDescent="0.35">
      <c r="A134" s="3">
        <v>46605</v>
      </c>
      <c r="B134" s="3" t="str">
        <f>_xlfn.XLOOKUP(Tabla8[[#This Row],[N° FACTURA]],Tabla3[N° FACTURA],Tabla3[Corregimiento],"NA")</f>
        <v>El Carmen</v>
      </c>
      <c r="C134" s="3" t="str">
        <f>_xlfn.XLOOKUP(Tabla8[[#This Row],[N° FACTURA]],Tabla3[N° FACTURA],Tabla3[LUGAR ENVÍO],"NA")</f>
        <v>Parcelacion la Cristalina</v>
      </c>
      <c r="D134" s="167">
        <f>_xlfn.XLOOKUP(Tabla8[[#This Row],[N° FACTURA]],Tabla3[N° FACTURA],Tabla3[DISTANCIA (km)],"NA")</f>
        <v>2.7099999999999986</v>
      </c>
      <c r="E134" s="3">
        <f>_xlfn.XLOOKUP(Tabla8[[#This Row],[N° FACTURA]],Tabla3[N° FACTURA],Tabla3[Numero de Transportes],"NA")</f>
        <v>1</v>
      </c>
      <c r="F134" s="15">
        <f>_xlfn.XLOOKUP(Tabla8[[#This Row],[N° FACTURA]],Tabla3[N° FACTURA],Tabla3[VLR. TRANSPORTE],"NA")</f>
        <v>60000</v>
      </c>
      <c r="G134" s="15">
        <f>Tabla8[[#This Row],[VLR. TRANSPORTE]]/Tabla8[[#This Row],[Numero de Transportes]]</f>
        <v>60000</v>
      </c>
      <c r="H134" s="15">
        <f>_xlfn.XLOOKUP(Tabla8[[#This Row],[N° FACTURA]],Tabla3[N° FACTURA],Tabla3[VLR. TOTAL FACT.],"NA")</f>
        <v>419500</v>
      </c>
      <c r="I134" s="15">
        <f>Tabla8[[#This Row],[VLR. TOTAL FACT.]]-Tabla8[[#This Row],[VLR. TRANSPORTE]]</f>
        <v>359500</v>
      </c>
      <c r="J134" s="140">
        <f>Tabla8[[#This Row],[VLR. PRODUCTOS]]*0.2</f>
        <v>71900</v>
      </c>
      <c r="K134" s="15">
        <f>'ABC COSTEO'!B$11</f>
        <v>40740.427791666669</v>
      </c>
      <c r="L134" s="15">
        <f>Tabla8[[#This Row],[DISTANCIA (km)]]*2*'ABC COSTEO'!B$21</f>
        <v>7373.4347574106532</v>
      </c>
      <c r="M134" s="15">
        <f>Tabla8[[#This Row],[Costo Variable]]+Tabla8[[#This Row],[Costo fijo]]</f>
        <v>48113.862549077319</v>
      </c>
      <c r="N134" s="15">
        <f>Tabla8[[#This Row],[Costo Total]]*Tabla8[[#This Row],[Numero de Transportes]]</f>
        <v>48113.862549077319</v>
      </c>
      <c r="O134" s="15">
        <f>(Tabla8[[#This Row],[VLR. Transporte unitario]]-Tabla8[[#This Row],[Costo Total]])*Tabla8[[#This Row],[Numero de Transportes]]</f>
        <v>11886.137450922681</v>
      </c>
      <c r="P134" s="15">
        <f>Tabla8[[#This Row],[Margen de productos]]+Tabla8[[#This Row],[Ganancia/Perdida]]</f>
        <v>83786.137450922688</v>
      </c>
      <c r="Q134" s="144">
        <f>(Tabla8[[#This Row],[Margen ]]/Tabla8[[#This Row],[Margen de productos]])-1</f>
        <v>0.16531484632715832</v>
      </c>
    </row>
    <row r="135" spans="1:17" ht="27.6" thickBot="1" x14ac:dyDescent="0.35">
      <c r="A135" s="12">
        <v>46985</v>
      </c>
      <c r="B135" s="3" t="str">
        <f>_xlfn.XLOOKUP(Tabla8[[#This Row],[N° FACTURA]],Tabla3[N° FACTURA],Tabla3[Corregimiento],"NA")</f>
        <v>El Salado</v>
      </c>
      <c r="C135" s="3" t="str">
        <f>_xlfn.XLOOKUP(Tabla8[[#This Row],[N° FACTURA]],Tabla3[N° FACTURA],Tabla3[LUGAR ENVÍO],"NA")</f>
        <v>San Jose del Salado</v>
      </c>
      <c r="D135" s="167">
        <f>_xlfn.XLOOKUP(Tabla8[[#This Row],[N° FACTURA]],Tabla3[N° FACTURA],Tabla3[DISTANCIA (km)],"NA")</f>
        <v>13.07</v>
      </c>
      <c r="E135" s="3">
        <f>_xlfn.XLOOKUP(Tabla8[[#This Row],[N° FACTURA]],Tabla3[N° FACTURA],Tabla3[Numero de Transportes],"NA")</f>
        <v>1</v>
      </c>
      <c r="F135" s="15">
        <f>_xlfn.XLOOKUP(Tabla8[[#This Row],[N° FACTURA]],Tabla3[N° FACTURA],Tabla3[VLR. TRANSPORTE],"NA")</f>
        <v>50000</v>
      </c>
      <c r="G135" s="15">
        <f>Tabla8[[#This Row],[VLR. TRANSPORTE]]/Tabla8[[#This Row],[Numero de Transportes]]</f>
        <v>50000</v>
      </c>
      <c r="H135" s="15">
        <f>_xlfn.XLOOKUP(Tabla8[[#This Row],[N° FACTURA]],Tabla3[N° FACTURA],Tabla3[VLR. TOTAL FACT.],"NA")</f>
        <v>961900</v>
      </c>
      <c r="I135" s="15">
        <f>Tabla8[[#This Row],[VLR. TOTAL FACT.]]-Tabla8[[#This Row],[VLR. TRANSPORTE]]</f>
        <v>911900</v>
      </c>
      <c r="J135" s="140">
        <f>Tabla8[[#This Row],[VLR. PRODUCTOS]]*0.2</f>
        <v>182380</v>
      </c>
      <c r="K135" s="15">
        <f>'ABC COSTEO'!B$11</f>
        <v>40740.427791666669</v>
      </c>
      <c r="L135" s="15">
        <f>Tabla8[[#This Row],[DISTANCIA (km)]]*2*'ABC COSTEO'!B$21</f>
        <v>35561.177962862464</v>
      </c>
      <c r="M135" s="15">
        <f>Tabla8[[#This Row],[Costo Variable]]+Tabla8[[#This Row],[Costo fijo]]</f>
        <v>76301.605754529126</v>
      </c>
      <c r="N135" s="15">
        <f>Tabla8[[#This Row],[Costo Total]]*Tabla8[[#This Row],[Numero de Transportes]]</f>
        <v>76301.605754529126</v>
      </c>
      <c r="O135" s="15">
        <f>(Tabla8[[#This Row],[VLR. Transporte unitario]]-Tabla8[[#This Row],[Costo Total]])*Tabla8[[#This Row],[Numero de Transportes]]</f>
        <v>-26301.605754529126</v>
      </c>
      <c r="P135" s="15">
        <f>Tabla8[[#This Row],[Margen de productos]]+Tabla8[[#This Row],[Ganancia/Perdida]]</f>
        <v>156078.39424547087</v>
      </c>
      <c r="Q135" s="144">
        <f>(Tabla8[[#This Row],[Margen ]]/Tabla8[[#This Row],[Margen de productos]])-1</f>
        <v>-0.14421321282228927</v>
      </c>
    </row>
    <row r="136" spans="1:17" ht="15" thickBot="1" x14ac:dyDescent="0.35">
      <c r="A136" s="3">
        <v>30602</v>
      </c>
      <c r="B136" s="3" t="str">
        <f>_xlfn.XLOOKUP(Tabla8[[#This Row],[N° FACTURA]],Tabla3[N° FACTURA],Tabla3[Corregimiento],"NA")</f>
        <v>Borrero Ayerbe</v>
      </c>
      <c r="C136" s="3" t="str">
        <f>_xlfn.XLOOKUP(Tabla8[[#This Row],[N° FACTURA]],Tabla3[N° FACTURA],Tabla3[LUGAR ENVÍO],"NA")</f>
        <v>Agua Sucia</v>
      </c>
      <c r="D136" s="167">
        <f>_xlfn.XLOOKUP(Tabla8[[#This Row],[N° FACTURA]],Tabla3[N° FACTURA],Tabla3[DISTANCIA (km)],"NA")</f>
        <v>1.343</v>
      </c>
      <c r="E136" s="3">
        <f>_xlfn.XLOOKUP(Tabla8[[#This Row],[N° FACTURA]],Tabla3[N° FACTURA],Tabla3[Numero de Transportes],"NA")</f>
        <v>1</v>
      </c>
      <c r="F136" s="15">
        <f>_xlfn.XLOOKUP(Tabla8[[#This Row],[N° FACTURA]],Tabla3[N° FACTURA],Tabla3[VLR. TRANSPORTE],"NA")</f>
        <v>40000</v>
      </c>
      <c r="G136" s="15">
        <f>Tabla8[[#This Row],[VLR. TRANSPORTE]]/Tabla8[[#This Row],[Numero de Transportes]]</f>
        <v>40000</v>
      </c>
      <c r="H136" s="15">
        <f>_xlfn.XLOOKUP(Tabla8[[#This Row],[N° FACTURA]],Tabla3[N° FACTURA],Tabla3[VLR. TOTAL FACT.],"NA")</f>
        <v>1459500</v>
      </c>
      <c r="I136" s="15">
        <f>Tabla8[[#This Row],[VLR. TOTAL FACT.]]-Tabla8[[#This Row],[VLR. TRANSPORTE]]</f>
        <v>1419500</v>
      </c>
      <c r="J136" s="140">
        <f>Tabla8[[#This Row],[VLR. PRODUCTOS]]*0.2</f>
        <v>283900</v>
      </c>
      <c r="K136" s="15">
        <f>'ABC COSTEO'!B$11</f>
        <v>40740.427791666669</v>
      </c>
      <c r="L136" s="15">
        <f>Tabla8[[#This Row],[DISTANCIA (km)]]*2*'ABC COSTEO'!B$21</f>
        <v>3654.0674831005581</v>
      </c>
      <c r="M136" s="15">
        <f>Tabla8[[#This Row],[Costo Variable]]+Tabla8[[#This Row],[Costo fijo]]</f>
        <v>44394.495274767229</v>
      </c>
      <c r="N136" s="15">
        <f>Tabla8[[#This Row],[Costo Total]]*Tabla8[[#This Row],[Numero de Transportes]]</f>
        <v>44394.495274767229</v>
      </c>
      <c r="O136" s="15">
        <f>(Tabla8[[#This Row],[VLR. Transporte unitario]]-Tabla8[[#This Row],[Costo Total]])*Tabla8[[#This Row],[Numero de Transportes]]</f>
        <v>-4394.4952747672287</v>
      </c>
      <c r="P136" s="15">
        <f>Tabla8[[#This Row],[Margen de productos]]+Tabla8[[#This Row],[Ganancia/Perdida]]</f>
        <v>279505.50472523278</v>
      </c>
      <c r="Q136" s="144">
        <f>(Tabla8[[#This Row],[Margen ]]/Tabla8[[#This Row],[Margen de productos]])-1</f>
        <v>-1.5479025272163494E-2</v>
      </c>
    </row>
    <row r="137" spans="1:17" ht="15" thickBot="1" x14ac:dyDescent="0.35">
      <c r="A137" s="146">
        <v>47939</v>
      </c>
      <c r="B137" s="3" t="str">
        <f>_xlfn.XLOOKUP(Tabla8[[#This Row],[N° FACTURA]],Tabla3[N° FACTURA],Tabla3[Corregimiento],"NA")</f>
        <v>Borrero Ayerbe</v>
      </c>
      <c r="C137" s="3" t="str">
        <f>_xlfn.XLOOKUP(Tabla8[[#This Row],[N° FACTURA]],Tabla3[N° FACTURA],Tabla3[LUGAR ENVÍO],"NA")</f>
        <v>Km 28</v>
      </c>
      <c r="D137" s="167">
        <f>_xlfn.XLOOKUP(Tabla8[[#This Row],[N° FACTURA]],Tabla3[N° FACTURA],Tabla3[DISTANCIA (km)],"NA")</f>
        <v>3.9430140000000011</v>
      </c>
      <c r="E137" s="3">
        <f>_xlfn.XLOOKUP(Tabla8[[#This Row],[N° FACTURA]],Tabla3[N° FACTURA],Tabla3[Numero de Transportes],"NA")</f>
        <v>1</v>
      </c>
      <c r="F137" s="15">
        <f>_xlfn.XLOOKUP(Tabla8[[#This Row],[N° FACTURA]],Tabla3[N° FACTURA],Tabla3[VLR. TRANSPORTE],"NA")</f>
        <v>40000</v>
      </c>
      <c r="G137" s="15">
        <f>Tabla8[[#This Row],[VLR. TRANSPORTE]]/Tabla8[[#This Row],[Numero de Transportes]]</f>
        <v>40000</v>
      </c>
      <c r="H137" s="15">
        <f>_xlfn.XLOOKUP(Tabla8[[#This Row],[N° FACTURA]],Tabla3[N° FACTURA],Tabla3[VLR. TOTAL FACT.],"NA")</f>
        <v>617400</v>
      </c>
      <c r="I137" s="15">
        <f>Tabla8[[#This Row],[VLR. TOTAL FACT.]]-Tabla8[[#This Row],[VLR. TRANSPORTE]]</f>
        <v>577400</v>
      </c>
      <c r="J137" s="140">
        <f>Tabla8[[#This Row],[VLR. PRODUCTOS]]*0.2</f>
        <v>115480</v>
      </c>
      <c r="K137" s="15">
        <f>'ABC COSTEO'!B$11</f>
        <v>40740.427791666669</v>
      </c>
      <c r="L137" s="15">
        <f>Tabla8[[#This Row],[DISTANCIA (km)]]*2*'ABC COSTEO'!B$21</f>
        <v>10728.249622345695</v>
      </c>
      <c r="M137" s="15">
        <f>Tabla8[[#This Row],[Costo Variable]]+Tabla8[[#This Row],[Costo fijo]]</f>
        <v>51468.67741401236</v>
      </c>
      <c r="N137" s="15">
        <f>Tabla8[[#This Row],[Costo Total]]*Tabla8[[#This Row],[Numero de Transportes]]</f>
        <v>51468.67741401236</v>
      </c>
      <c r="O137" s="15">
        <f>(Tabla8[[#This Row],[VLR. Transporte unitario]]-Tabla8[[#This Row],[Costo Total]])*Tabla8[[#This Row],[Numero de Transportes]]</f>
        <v>-11468.67741401236</v>
      </c>
      <c r="P137" s="15">
        <f>Tabla8[[#This Row],[Margen de productos]]+Tabla8[[#This Row],[Ganancia/Perdida]]</f>
        <v>104011.32258598764</v>
      </c>
      <c r="Q137" s="144">
        <f>(Tabla8[[#This Row],[Margen ]]/Tabla8[[#This Row],[Margen de productos]])-1</f>
        <v>-9.9313105420959169E-2</v>
      </c>
    </row>
    <row r="138" spans="1:17" ht="15" thickBot="1" x14ac:dyDescent="0.35">
      <c r="A138" s="146">
        <v>56967</v>
      </c>
      <c r="B138" s="3" t="str">
        <f>_xlfn.XLOOKUP(Tabla8[[#This Row],[N° FACTURA]],Tabla3[N° FACTURA],Tabla3[Corregimiento],"NA")</f>
        <v>Borrero Ayerbe</v>
      </c>
      <c r="C138" s="3" t="str">
        <f>_xlfn.XLOOKUP(Tabla8[[#This Row],[N° FACTURA]],Tabla3[N° FACTURA],Tabla3[LUGAR ENVÍO],"NA")</f>
        <v>La Zulia 2</v>
      </c>
      <c r="D138" s="167">
        <f>_xlfn.XLOOKUP(Tabla8[[#This Row],[N° FACTURA]],Tabla3[N° FACTURA],Tabla3[DISTANCIA (km)],"NA")</f>
        <v>1.2480000000000002</v>
      </c>
      <c r="E138" s="3">
        <f>_xlfn.XLOOKUP(Tabla8[[#This Row],[N° FACTURA]],Tabla3[N° FACTURA],Tabla3[Numero de Transportes],"NA")</f>
        <v>1</v>
      </c>
      <c r="F138" s="15">
        <f>_xlfn.XLOOKUP(Tabla8[[#This Row],[N° FACTURA]],Tabla3[N° FACTURA],Tabla3[VLR. TRANSPORTE],"NA")</f>
        <v>40000</v>
      </c>
      <c r="G138" s="15">
        <f>Tabla8[[#This Row],[VLR. TRANSPORTE]]/Tabla8[[#This Row],[Numero de Transportes]]</f>
        <v>40000</v>
      </c>
      <c r="H138" s="15">
        <f>_xlfn.XLOOKUP(Tabla8[[#This Row],[N° FACTURA]],Tabla3[N° FACTURA],Tabla3[VLR. TOTAL FACT.],"NA")</f>
        <v>458500</v>
      </c>
      <c r="I138" s="15">
        <f>Tabla8[[#This Row],[VLR. TOTAL FACT.]]-Tabla8[[#This Row],[VLR. TRANSPORTE]]</f>
        <v>418500</v>
      </c>
      <c r="J138" s="140">
        <f>Tabla8[[#This Row],[VLR. PRODUCTOS]]*0.2</f>
        <v>83700</v>
      </c>
      <c r="K138" s="15">
        <f>'ABC COSTEO'!B$11</f>
        <v>40740.427791666669</v>
      </c>
      <c r="L138" s="15">
        <f>Tabla8[[#This Row],[DISTANCIA (km)]]*2*'ABC COSTEO'!B$21</f>
        <v>3395.5891428961258</v>
      </c>
      <c r="M138" s="15">
        <f>Tabla8[[#This Row],[Costo Variable]]+Tabla8[[#This Row],[Costo fijo]]</f>
        <v>44136.016934562795</v>
      </c>
      <c r="N138" s="15">
        <f>Tabla8[[#This Row],[Costo Total]]*Tabla8[[#This Row],[Numero de Transportes]]</f>
        <v>44136.016934562795</v>
      </c>
      <c r="O138" s="15">
        <f>(Tabla8[[#This Row],[VLR. Transporte unitario]]-Tabla8[[#This Row],[Costo Total]])*Tabla8[[#This Row],[Numero de Transportes]]</f>
        <v>-4136.0169345627946</v>
      </c>
      <c r="P138" s="15">
        <f>Tabla8[[#This Row],[Margen de productos]]+Tabla8[[#This Row],[Ganancia/Perdida]]</f>
        <v>79563.983065437205</v>
      </c>
      <c r="Q138" s="144">
        <f>(Tabla8[[#This Row],[Margen ]]/Tabla8[[#This Row],[Margen de productos]])-1</f>
        <v>-4.9414778190714381E-2</v>
      </c>
    </row>
    <row r="139" spans="1:17" ht="15" thickBot="1" x14ac:dyDescent="0.35">
      <c r="A139" s="3">
        <v>30506</v>
      </c>
      <c r="B139" s="3" t="str">
        <f>_xlfn.XLOOKUP(Tabla8[[#This Row],[N° FACTURA]],Tabla3[N° FACTURA],Tabla3[Corregimiento],"NA")</f>
        <v>El Carmen</v>
      </c>
      <c r="C139" s="3" t="str">
        <f>_xlfn.XLOOKUP(Tabla8[[#This Row],[N° FACTURA]],Tabla3[N° FACTURA],Tabla3[LUGAR ENVÍO],"NA")</f>
        <v>El Coscorron</v>
      </c>
      <c r="D139" s="167">
        <f>_xlfn.XLOOKUP(Tabla8[[#This Row],[N° FACTURA]],Tabla3[N° FACTURA],Tabla3[DISTANCIA (km)],"NA")</f>
        <v>2.649999999999999</v>
      </c>
      <c r="E139" s="3">
        <f>_xlfn.XLOOKUP(Tabla8[[#This Row],[N° FACTURA]],Tabla3[N° FACTURA],Tabla3[Numero de Transportes],"NA")</f>
        <v>1</v>
      </c>
      <c r="F139" s="15">
        <f>_xlfn.XLOOKUP(Tabla8[[#This Row],[N° FACTURA]],Tabla3[N° FACTURA],Tabla3[VLR. TRANSPORTE],"NA")</f>
        <v>60000</v>
      </c>
      <c r="G139" s="15">
        <f>Tabla8[[#This Row],[VLR. TRANSPORTE]]/Tabla8[[#This Row],[Numero de Transportes]]</f>
        <v>60000</v>
      </c>
      <c r="H139" s="15">
        <f>_xlfn.XLOOKUP(Tabla8[[#This Row],[N° FACTURA]],Tabla3[N° FACTURA],Tabla3[VLR. TOTAL FACT.],"NA")</f>
        <v>524000</v>
      </c>
      <c r="I139" s="15">
        <f>Tabla8[[#This Row],[VLR. TOTAL FACT.]]-Tabla8[[#This Row],[VLR. TRANSPORTE]]</f>
        <v>464000</v>
      </c>
      <c r="J139" s="140">
        <f>Tabla8[[#This Row],[VLR. PRODUCTOS]]*0.2</f>
        <v>92800</v>
      </c>
      <c r="K139" s="15">
        <f>'ABC COSTEO'!B$11</f>
        <v>40740.427791666669</v>
      </c>
      <c r="L139" s="15">
        <f>Tabla8[[#This Row],[DISTANCIA (km)]]*2*'ABC COSTEO'!B$21</f>
        <v>7210.185279386802</v>
      </c>
      <c r="M139" s="15">
        <f>Tabla8[[#This Row],[Costo Variable]]+Tabla8[[#This Row],[Costo fijo]]</f>
        <v>47950.613071053471</v>
      </c>
      <c r="N139" s="15">
        <f>Tabla8[[#This Row],[Costo Total]]*Tabla8[[#This Row],[Numero de Transportes]]</f>
        <v>47950.613071053471</v>
      </c>
      <c r="O139" s="15">
        <f>(Tabla8[[#This Row],[VLR. Transporte unitario]]-Tabla8[[#This Row],[Costo Total]])*Tabla8[[#This Row],[Numero de Transportes]]</f>
        <v>12049.386928946529</v>
      </c>
      <c r="P139" s="15">
        <f>Tabla8[[#This Row],[Margen de productos]]+Tabla8[[#This Row],[Ganancia/Perdida]]</f>
        <v>104849.38692894654</v>
      </c>
      <c r="Q139" s="144">
        <f>(Tabla8[[#This Row],[Margen ]]/Tabla8[[#This Row],[Margen de productos]])-1</f>
        <v>0.12984253156192382</v>
      </c>
    </row>
    <row r="140" spans="1:17" ht="27.6" thickBot="1" x14ac:dyDescent="0.35">
      <c r="A140" s="3">
        <v>30574</v>
      </c>
      <c r="B140" s="3" t="str">
        <f>_xlfn.XLOOKUP(Tabla8[[#This Row],[N° FACTURA]],Tabla3[N° FACTURA],Tabla3[Corregimiento],"NA")</f>
        <v>El Carmen</v>
      </c>
      <c r="C140" s="3" t="str">
        <f>_xlfn.XLOOKUP(Tabla8[[#This Row],[N° FACTURA]],Tabla3[N° FACTURA],Tabla3[LUGAR ENVÍO],"NA")</f>
        <v xml:space="preserve">Las villas del carmen </v>
      </c>
      <c r="D140" s="167">
        <f>_xlfn.XLOOKUP(Tabla8[[#This Row],[N° FACTURA]],Tabla3[N° FACTURA],Tabla3[DISTANCIA (km)],"NA")</f>
        <v>3.5070000000000001</v>
      </c>
      <c r="E140" s="3">
        <f>_xlfn.XLOOKUP(Tabla8[[#This Row],[N° FACTURA]],Tabla3[N° FACTURA],Tabla3[Numero de Transportes],"NA")</f>
        <v>1</v>
      </c>
      <c r="F140" s="15">
        <f>_xlfn.XLOOKUP(Tabla8[[#This Row],[N° FACTURA]],Tabla3[N° FACTURA],Tabla3[VLR. TRANSPORTE],"NA")</f>
        <v>20000</v>
      </c>
      <c r="G140" s="15">
        <f>Tabla8[[#This Row],[VLR. TRANSPORTE]]/Tabla8[[#This Row],[Numero de Transportes]]</f>
        <v>20000</v>
      </c>
      <c r="H140" s="15">
        <f>_xlfn.XLOOKUP(Tabla8[[#This Row],[N° FACTURA]],Tabla3[N° FACTURA],Tabla3[VLR. TOTAL FACT.],"NA")</f>
        <v>240000</v>
      </c>
      <c r="I140" s="15">
        <f>Tabla8[[#This Row],[VLR. TOTAL FACT.]]-Tabla8[[#This Row],[VLR. TRANSPORTE]]</f>
        <v>220000</v>
      </c>
      <c r="J140" s="140">
        <f>Tabla8[[#This Row],[VLR. PRODUCTOS]]*0.2</f>
        <v>44000</v>
      </c>
      <c r="K140" s="15">
        <f>'ABC COSTEO'!B$11</f>
        <v>40740.427791666669</v>
      </c>
      <c r="L140" s="15">
        <f>Tabla8[[#This Row],[DISTANCIA (km)]]*2*'ABC COSTEO'!B$21</f>
        <v>9541.9319904941603</v>
      </c>
      <c r="M140" s="15">
        <f>Tabla8[[#This Row],[Costo Variable]]+Tabla8[[#This Row],[Costo fijo]]</f>
        <v>50282.359782160827</v>
      </c>
      <c r="N140" s="15">
        <f>Tabla8[[#This Row],[Costo Total]]*Tabla8[[#This Row],[Numero de Transportes]]</f>
        <v>50282.359782160827</v>
      </c>
      <c r="O140" s="15">
        <f>(Tabla8[[#This Row],[VLR. Transporte unitario]]-Tabla8[[#This Row],[Costo Total]])*Tabla8[[#This Row],[Numero de Transportes]]</f>
        <v>-30282.359782160827</v>
      </c>
      <c r="P140" s="15">
        <f>Tabla8[[#This Row],[Margen de productos]]+Tabla8[[#This Row],[Ganancia/Perdida]]</f>
        <v>13717.640217839173</v>
      </c>
      <c r="Q140" s="144">
        <f>(Tabla8[[#This Row],[Margen ]]/Tabla8[[#This Row],[Margen de productos]])-1</f>
        <v>-0.68823544959456417</v>
      </c>
    </row>
    <row r="141" spans="1:17" ht="27.6" thickBot="1" x14ac:dyDescent="0.35">
      <c r="A141" s="146">
        <v>53251</v>
      </c>
      <c r="B141" s="3" t="str">
        <f>_xlfn.XLOOKUP(Tabla8[[#This Row],[N° FACTURA]],Tabla3[N° FACTURA],Tabla3[Corregimiento],"NA")</f>
        <v>El Carmen</v>
      </c>
      <c r="C141" s="3" t="str">
        <f>_xlfn.XLOOKUP(Tabla8[[#This Row],[N° FACTURA]],Tabla3[N° FACTURA],Tabla3[LUGAR ENVÍO],"NA")</f>
        <v>Parcelación El bosque</v>
      </c>
      <c r="D141" s="167">
        <f>_xlfn.XLOOKUP(Tabla8[[#This Row],[N° FACTURA]],Tabla3[N° FACTURA],Tabla3[DISTANCIA (km)],"NA")</f>
        <v>4.8000390000000017</v>
      </c>
      <c r="E141" s="3">
        <f>_xlfn.XLOOKUP(Tabla8[[#This Row],[N° FACTURA]],Tabla3[N° FACTURA],Tabla3[Numero de Transportes],"NA")</f>
        <v>1</v>
      </c>
      <c r="F141" s="15">
        <f>_xlfn.XLOOKUP(Tabla8[[#This Row],[N° FACTURA]],Tabla3[N° FACTURA],Tabla3[VLR. TRANSPORTE],"NA")</f>
        <v>60000</v>
      </c>
      <c r="G141" s="15">
        <f>Tabla8[[#This Row],[VLR. TRANSPORTE]]/Tabla8[[#This Row],[Numero de Transportes]]</f>
        <v>60000</v>
      </c>
      <c r="H141" s="15">
        <f>_xlfn.XLOOKUP(Tabla8[[#This Row],[N° FACTURA]],Tabla3[N° FACTURA],Tabla3[VLR. TOTAL FACT.],"NA")</f>
        <v>717900</v>
      </c>
      <c r="I141" s="15">
        <f>Tabla8[[#This Row],[VLR. TOTAL FACT.]]-Tabla8[[#This Row],[VLR. TRANSPORTE]]</f>
        <v>657900</v>
      </c>
      <c r="J141" s="140">
        <f>Tabla8[[#This Row],[VLR. PRODUCTOS]]*0.2</f>
        <v>131580</v>
      </c>
      <c r="K141" s="15">
        <f>'ABC COSTEO'!B$11</f>
        <v>40740.427791666669</v>
      </c>
      <c r="L141" s="15">
        <f>Tabla8[[#This Row],[DISTANCIA (km)]]*2*'ABC COSTEO'!B$21</f>
        <v>13060.064354068894</v>
      </c>
      <c r="M141" s="15">
        <f>Tabla8[[#This Row],[Costo Variable]]+Tabla8[[#This Row],[Costo fijo]]</f>
        <v>53800.492145735567</v>
      </c>
      <c r="N141" s="15">
        <f>Tabla8[[#This Row],[Costo Total]]*Tabla8[[#This Row],[Numero de Transportes]]</f>
        <v>53800.492145735567</v>
      </c>
      <c r="O141" s="15">
        <f>(Tabla8[[#This Row],[VLR. Transporte unitario]]-Tabla8[[#This Row],[Costo Total]])*Tabla8[[#This Row],[Numero de Transportes]]</f>
        <v>6199.5078542644333</v>
      </c>
      <c r="P141" s="15">
        <f>Tabla8[[#This Row],[Margen de productos]]+Tabla8[[#This Row],[Ganancia/Perdida]]</f>
        <v>137779.50785426443</v>
      </c>
      <c r="Q141" s="144">
        <f>(Tabla8[[#This Row],[Margen ]]/Tabla8[[#This Row],[Margen de productos]])-1</f>
        <v>4.7115882765347505E-2</v>
      </c>
    </row>
    <row r="142" spans="1:17" ht="27.6" thickBot="1" x14ac:dyDescent="0.35">
      <c r="A142" s="3">
        <v>47219</v>
      </c>
      <c r="B142" s="3" t="str">
        <f>_xlfn.XLOOKUP(Tabla8[[#This Row],[N° FACTURA]],Tabla3[N° FACTURA],Tabla3[Corregimiento],"NA")</f>
        <v>El Salado</v>
      </c>
      <c r="C142" s="3" t="str">
        <f>_xlfn.XLOOKUP(Tabla8[[#This Row],[N° FACTURA]],Tabla3[N° FACTURA],Tabla3[LUGAR ENVÍO],"NA")</f>
        <v>San Jose del Salado</v>
      </c>
      <c r="D142" s="167">
        <f>_xlfn.XLOOKUP(Tabla8[[#This Row],[N° FACTURA]],Tabla3[N° FACTURA],Tabla3[DISTANCIA (km)],"NA")</f>
        <v>13.07</v>
      </c>
      <c r="E142" s="3">
        <f>_xlfn.XLOOKUP(Tabla8[[#This Row],[N° FACTURA]],Tabla3[N° FACTURA],Tabla3[Numero de Transportes],"NA")</f>
        <v>1</v>
      </c>
      <c r="F142" s="15">
        <f>_xlfn.XLOOKUP(Tabla8[[#This Row],[N° FACTURA]],Tabla3[N° FACTURA],Tabla3[VLR. TRANSPORTE],"NA")</f>
        <v>40000</v>
      </c>
      <c r="G142" s="15">
        <f>Tabla8[[#This Row],[VLR. TRANSPORTE]]/Tabla8[[#This Row],[Numero de Transportes]]</f>
        <v>40000</v>
      </c>
      <c r="H142" s="15">
        <f>_xlfn.XLOOKUP(Tabla8[[#This Row],[N° FACTURA]],Tabla3[N° FACTURA],Tabla3[VLR. TOTAL FACT.],"NA")</f>
        <v>401900</v>
      </c>
      <c r="I142" s="15">
        <f>Tabla8[[#This Row],[VLR. TOTAL FACT.]]-Tabla8[[#This Row],[VLR. TRANSPORTE]]</f>
        <v>361900</v>
      </c>
      <c r="J142" s="140">
        <f>Tabla8[[#This Row],[VLR. PRODUCTOS]]*0.2</f>
        <v>72380</v>
      </c>
      <c r="K142" s="15">
        <f>'ABC COSTEO'!B$11</f>
        <v>40740.427791666669</v>
      </c>
      <c r="L142" s="15">
        <f>Tabla8[[#This Row],[DISTANCIA (km)]]*2*'ABC COSTEO'!B$21</f>
        <v>35561.177962862464</v>
      </c>
      <c r="M142" s="15">
        <f>Tabla8[[#This Row],[Costo Variable]]+Tabla8[[#This Row],[Costo fijo]]</f>
        <v>76301.605754529126</v>
      </c>
      <c r="N142" s="15">
        <f>Tabla8[[#This Row],[Costo Total]]*Tabla8[[#This Row],[Numero de Transportes]]</f>
        <v>76301.605754529126</v>
      </c>
      <c r="O142" s="15">
        <f>(Tabla8[[#This Row],[VLR. Transporte unitario]]-Tabla8[[#This Row],[Costo Total]])*Tabla8[[#This Row],[Numero de Transportes]]</f>
        <v>-36301.605754529126</v>
      </c>
      <c r="P142" s="15">
        <f>Tabla8[[#This Row],[Margen de productos]]+Tabla8[[#This Row],[Ganancia/Perdida]]</f>
        <v>36078.394245470874</v>
      </c>
      <c r="Q142" s="144">
        <f>(Tabla8[[#This Row],[Margen ]]/Tabla8[[#This Row],[Margen de productos]])-1</f>
        <v>-0.50154194189733525</v>
      </c>
    </row>
    <row r="143" spans="1:17" ht="15" thickBot="1" x14ac:dyDescent="0.35">
      <c r="A143" s="147">
        <v>37328</v>
      </c>
      <c r="B143" s="3" t="str">
        <f>_xlfn.XLOOKUP(Tabla8[[#This Row],[N° FACTURA]],Tabla3[N° FACTURA],Tabla3[Corregimiento],"NA")</f>
        <v>El Limonar</v>
      </c>
      <c r="C143" s="3" t="str">
        <f>_xlfn.XLOOKUP(Tabla8[[#This Row],[N° FACTURA]],Tabla3[N° FACTURA],Tabla3[LUGAR ENVÍO],"NA")</f>
        <v>El limonar</v>
      </c>
      <c r="D143" s="167">
        <f>_xlfn.XLOOKUP(Tabla8[[#This Row],[N° FACTURA]],Tabla3[N° FACTURA],Tabla3[DISTANCIA (km)],"NA")</f>
        <v>4.7129999999999992</v>
      </c>
      <c r="E143" s="3">
        <f>_xlfn.XLOOKUP(Tabla8[[#This Row],[N° FACTURA]],Tabla3[N° FACTURA],Tabla3[Numero de Transportes],"NA")</f>
        <v>1</v>
      </c>
      <c r="F143" s="15">
        <f>_xlfn.XLOOKUP(Tabla8[[#This Row],[N° FACTURA]],Tabla3[N° FACTURA],Tabla3[VLR. TRANSPORTE],"NA")</f>
        <v>15000</v>
      </c>
      <c r="G143" s="15">
        <f>Tabla8[[#This Row],[VLR. TRANSPORTE]]/Tabla8[[#This Row],[Numero de Transportes]]</f>
        <v>15000</v>
      </c>
      <c r="H143" s="15">
        <f>_xlfn.XLOOKUP(Tabla8[[#This Row],[N° FACTURA]],Tabla3[N° FACTURA],Tabla3[VLR. TOTAL FACT.],"NA")</f>
        <v>592000</v>
      </c>
      <c r="I143" s="15">
        <f>Tabla8[[#This Row],[VLR. TOTAL FACT.]]-Tabla8[[#This Row],[VLR. TRANSPORTE]]</f>
        <v>577000</v>
      </c>
      <c r="J143" s="140">
        <f>Tabla8[[#This Row],[VLR. PRODUCTOS]]*0.2</f>
        <v>115400</v>
      </c>
      <c r="K143" s="16">
        <f>'ABC COSTEO'!B$11</f>
        <v>40740.427791666669</v>
      </c>
      <c r="L143" s="16">
        <f>Tabla8[[#This Row],[DISTANCIA (km)]]*2*'ABC COSTEO'!B$21</f>
        <v>12823.246498773586</v>
      </c>
      <c r="M143" s="16">
        <f>Tabla8[[#This Row],[Costo Variable]]+Tabla8[[#This Row],[Costo fijo]]</f>
        <v>53563.674290440256</v>
      </c>
      <c r="N143" s="16">
        <f>Tabla8[[#This Row],[Costo Total]]*Tabla8[[#This Row],[Numero de Transportes]]</f>
        <v>53563.674290440256</v>
      </c>
      <c r="O143" s="16">
        <f>(Tabla8[[#This Row],[VLR. Transporte unitario]]-Tabla8[[#This Row],[Costo Total]])*Tabla8[[#This Row],[Numero de Transportes]]</f>
        <v>-38563.674290440256</v>
      </c>
      <c r="P143" s="16">
        <f>Tabla8[[#This Row],[Margen de productos]]+Tabla8[[#This Row],[Ganancia/Perdida]]</f>
        <v>76836.325709559751</v>
      </c>
      <c r="Q143" s="145">
        <f>(Tabla8[[#This Row],[Margen ]]/Tabla8[[#This Row],[Margen de productos]])-1</f>
        <v>-0.3341739539899502</v>
      </c>
    </row>
    <row r="144" spans="1:17" ht="15" thickBot="1" x14ac:dyDescent="0.35">
      <c r="A144" s="3">
        <v>59047</v>
      </c>
      <c r="B144" s="3" t="str">
        <f>_xlfn.XLOOKUP(Tabla8[[#This Row],[N° FACTURA]],Tabla3[N° FACTURA],Tabla3[Corregimiento],"NA")</f>
        <v>El Carmen</v>
      </c>
      <c r="C144" s="3" t="str">
        <f>_xlfn.XLOOKUP(Tabla8[[#This Row],[N° FACTURA]],Tabla3[N° FACTURA],Tabla3[LUGAR ENVÍO],"NA")</f>
        <v>Tortolas</v>
      </c>
      <c r="D144" s="167">
        <f>_xlfn.XLOOKUP(Tabla8[[#This Row],[N° FACTURA]],Tabla3[N° FACTURA],Tabla3[DISTANCIA (km)],"NA")</f>
        <v>5.7570000000000006</v>
      </c>
      <c r="E144" s="3">
        <f>_xlfn.XLOOKUP(Tabla8[[#This Row],[N° FACTURA]],Tabla3[N° FACTURA],Tabla3[Numero de Transportes],"NA")</f>
        <v>1</v>
      </c>
      <c r="F144" s="15">
        <f>_xlfn.XLOOKUP(Tabla8[[#This Row],[N° FACTURA]],Tabla3[N° FACTURA],Tabla3[VLR. TRANSPORTE],"NA")</f>
        <v>160000</v>
      </c>
      <c r="G144" s="15">
        <f>Tabla8[[#This Row],[VLR. TRANSPORTE]]/Tabla8[[#This Row],[Numero de Transportes]]</f>
        <v>160000</v>
      </c>
      <c r="H144" s="15">
        <f>_xlfn.XLOOKUP(Tabla8[[#This Row],[N° FACTURA]],Tabla3[N° FACTURA],Tabla3[VLR. TOTAL FACT.],"NA")</f>
        <v>1704900</v>
      </c>
      <c r="I144" s="15">
        <f>Tabla8[[#This Row],[VLR. TOTAL FACT.]]-Tabla8[[#This Row],[VLR. TRANSPORTE]]</f>
        <v>1544900</v>
      </c>
      <c r="J144" s="140">
        <f>Tabla8[[#This Row],[VLR. PRODUCTOS]]*0.2</f>
        <v>308980</v>
      </c>
      <c r="K144" s="15">
        <f>'ABC COSTEO'!B$11</f>
        <v>40740.427791666669</v>
      </c>
      <c r="L144" s="15">
        <f>Tabla8[[#This Row],[DISTANCIA (km)]]*2*'ABC COSTEO'!B$21</f>
        <v>15663.787416388619</v>
      </c>
      <c r="M144" s="15">
        <f>Tabla8[[#This Row],[Costo Variable]]+Tabla8[[#This Row],[Costo fijo]]</f>
        <v>56404.215208055291</v>
      </c>
      <c r="N144" s="15">
        <f>Tabla8[[#This Row],[Costo Total]]*Tabla8[[#This Row],[Numero de Transportes]]</f>
        <v>56404.215208055291</v>
      </c>
      <c r="O144" s="15">
        <f>(Tabla8[[#This Row],[VLR. Transporte unitario]]-Tabla8[[#This Row],[Costo Total]])*Tabla8[[#This Row],[Numero de Transportes]]</f>
        <v>103595.78479194471</v>
      </c>
      <c r="P144" s="15">
        <f>Tabla8[[#This Row],[Margen de productos]]+Tabla8[[#This Row],[Ganancia/Perdida]]</f>
        <v>412575.78479194472</v>
      </c>
      <c r="Q144" s="144">
        <f>(Tabla8[[#This Row],[Margen ]]/Tabla8[[#This Row],[Margen de productos]])-1</f>
        <v>0.33528314063028253</v>
      </c>
    </row>
    <row r="145" spans="1:17" ht="15" thickBot="1" x14ac:dyDescent="0.35">
      <c r="A145" s="93">
        <v>48374</v>
      </c>
      <c r="B145" s="3" t="str">
        <f>_xlfn.XLOOKUP(Tabla8[[#This Row],[N° FACTURA]],Tabla3[N° FACTURA],Tabla3[Corregimiento],"NA")</f>
        <v>Borrero Ayerbe</v>
      </c>
      <c r="C145" s="3" t="str">
        <f>_xlfn.XLOOKUP(Tabla8[[#This Row],[N° FACTURA]],Tabla3[N° FACTURA],Tabla3[LUGAR ENVÍO],"NA")</f>
        <v>La Zulia 3</v>
      </c>
      <c r="D145" s="167">
        <f>_xlfn.XLOOKUP(Tabla8[[#This Row],[N° FACTURA]],Tabla3[N° FACTURA],Tabla3[DISTANCIA (km)],"NA")</f>
        <v>1.087</v>
      </c>
      <c r="E145" s="3">
        <f>_xlfn.XLOOKUP(Tabla8[[#This Row],[N° FACTURA]],Tabla3[N° FACTURA],Tabla3[Numero de Transportes],"NA")</f>
        <v>1</v>
      </c>
      <c r="F145" s="15">
        <f>_xlfn.XLOOKUP(Tabla8[[#This Row],[N° FACTURA]],Tabla3[N° FACTURA],Tabla3[VLR. TRANSPORTE],"NA")</f>
        <v>30000</v>
      </c>
      <c r="G145" s="15">
        <f>Tabla8[[#This Row],[VLR. TRANSPORTE]]/Tabla8[[#This Row],[Numero de Transportes]]</f>
        <v>30000</v>
      </c>
      <c r="H145" s="15">
        <f>_xlfn.XLOOKUP(Tabla8[[#This Row],[N° FACTURA]],Tabla3[N° FACTURA],Tabla3[VLR. TOTAL FACT.],"NA")</f>
        <v>215400</v>
      </c>
      <c r="I145" s="15">
        <f>Tabla8[[#This Row],[VLR. TOTAL FACT.]]-Tabla8[[#This Row],[VLR. TRANSPORTE]]</f>
        <v>185400</v>
      </c>
      <c r="J145" s="140">
        <f>Tabla8[[#This Row],[VLR. PRODUCTOS]]*0.2</f>
        <v>37080</v>
      </c>
      <c r="K145" s="15">
        <f>'ABC COSTEO'!B$11</f>
        <v>40740.427791666669</v>
      </c>
      <c r="L145" s="15">
        <f>Tabla8[[#This Row],[DISTANCIA (km)]]*2*'ABC COSTEO'!B$21</f>
        <v>2957.5363768654552</v>
      </c>
      <c r="M145" s="15">
        <f>Tabla8[[#This Row],[Costo Variable]]+Tabla8[[#This Row],[Costo fijo]]</f>
        <v>43697.964168532126</v>
      </c>
      <c r="N145" s="15">
        <f>Tabla8[[#This Row],[Costo Total]]*Tabla8[[#This Row],[Numero de Transportes]]</f>
        <v>43697.964168532126</v>
      </c>
      <c r="O145" s="15">
        <f>(Tabla8[[#This Row],[VLR. Transporte unitario]]-Tabla8[[#This Row],[Costo Total]])*Tabla8[[#This Row],[Numero de Transportes]]</f>
        <v>-13697.964168532126</v>
      </c>
      <c r="P145" s="15">
        <f>Tabla8[[#This Row],[Margen de productos]]+Tabla8[[#This Row],[Ganancia/Perdida]]</f>
        <v>23382.035831467874</v>
      </c>
      <c r="Q145" s="144">
        <f>(Tabla8[[#This Row],[Margen ]]/Tabla8[[#This Row],[Margen de productos]])-1</f>
        <v>-0.36941650939946402</v>
      </c>
    </row>
    <row r="146" spans="1:17" ht="15" thickBot="1" x14ac:dyDescent="0.35">
      <c r="A146" s="3">
        <v>30489</v>
      </c>
      <c r="B146" s="3" t="str">
        <f>_xlfn.XLOOKUP(Tabla8[[#This Row],[N° FACTURA]],Tabla3[N° FACTURA],Tabla3[Corregimiento],"NA")</f>
        <v>El Carmen</v>
      </c>
      <c r="C146" s="3" t="str">
        <f>_xlfn.XLOOKUP(Tabla8[[#This Row],[N° FACTURA]],Tabla3[N° FACTURA],Tabla3[LUGAR ENVÍO],"NA")</f>
        <v>Pirineos</v>
      </c>
      <c r="D146" s="167">
        <f>_xlfn.XLOOKUP(Tabla8[[#This Row],[N° FACTURA]],Tabla3[N° FACTURA],Tabla3[DISTANCIA (km)],"NA")</f>
        <v>2.6666500000000002</v>
      </c>
      <c r="E146" s="3">
        <f>_xlfn.XLOOKUP(Tabla8[[#This Row],[N° FACTURA]],Tabla3[N° FACTURA],Tabla3[Numero de Transportes],"NA")</f>
        <v>1</v>
      </c>
      <c r="F146" s="15">
        <f>_xlfn.XLOOKUP(Tabla8[[#This Row],[N° FACTURA]],Tabla3[N° FACTURA],Tabla3[VLR. TRANSPORTE],"NA")</f>
        <v>30000</v>
      </c>
      <c r="G146" s="15">
        <f>Tabla8[[#This Row],[VLR. TRANSPORTE]]/Tabla8[[#This Row],[Numero de Transportes]]</f>
        <v>30000</v>
      </c>
      <c r="H146" s="15">
        <f>_xlfn.XLOOKUP(Tabla8[[#This Row],[N° FACTURA]],Tabla3[N° FACTURA],Tabla3[VLR. TOTAL FACT.],"NA")</f>
        <v>220000</v>
      </c>
      <c r="I146" s="15">
        <f>Tabla8[[#This Row],[VLR. TOTAL FACT.]]-Tabla8[[#This Row],[VLR. TRANSPORTE]]</f>
        <v>190000</v>
      </c>
      <c r="J146" s="140">
        <f>Tabla8[[#This Row],[VLR. PRODUCTOS]]*0.2</f>
        <v>38000</v>
      </c>
      <c r="K146" s="15">
        <f>'ABC COSTEO'!B$11</f>
        <v>40740.427791666669</v>
      </c>
      <c r="L146" s="15">
        <f>Tabla8[[#This Row],[DISTANCIA (km)]]*2*'ABC COSTEO'!B$21</f>
        <v>7255.487009538424</v>
      </c>
      <c r="M146" s="15">
        <f>Tabla8[[#This Row],[Costo Variable]]+Tabla8[[#This Row],[Costo fijo]]</f>
        <v>47995.914801205094</v>
      </c>
      <c r="N146" s="15">
        <f>Tabla8[[#This Row],[Costo Total]]*Tabla8[[#This Row],[Numero de Transportes]]</f>
        <v>47995.914801205094</v>
      </c>
      <c r="O146" s="15">
        <f>(Tabla8[[#This Row],[VLR. Transporte unitario]]-Tabla8[[#This Row],[Costo Total]])*Tabla8[[#This Row],[Numero de Transportes]]</f>
        <v>-17995.914801205094</v>
      </c>
      <c r="P146" s="15">
        <f>Tabla8[[#This Row],[Margen de productos]]+Tabla8[[#This Row],[Ganancia/Perdida]]</f>
        <v>20004.085198794906</v>
      </c>
      <c r="Q146" s="144">
        <f>(Tabla8[[#This Row],[Margen ]]/Tabla8[[#This Row],[Margen de productos]])-1</f>
        <v>-0.47357670529487084</v>
      </c>
    </row>
    <row r="147" spans="1:17" ht="15" thickBot="1" x14ac:dyDescent="0.35">
      <c r="A147" s="146">
        <v>49224</v>
      </c>
      <c r="B147" s="3" t="str">
        <f>_xlfn.XLOOKUP(Tabla8[[#This Row],[N° FACTURA]],Tabla3[N° FACTURA],Tabla3[Corregimiento],"NA")</f>
        <v>Borrero Ayerbe</v>
      </c>
      <c r="C147" s="3" t="str">
        <f>_xlfn.XLOOKUP(Tabla8[[#This Row],[N° FACTURA]],Tabla3[N° FACTURA],Tabla3[LUGAR ENVÍO],"NA")</f>
        <v>El parque</v>
      </c>
      <c r="D147" s="167">
        <f>_xlfn.XLOOKUP(Tabla8[[#This Row],[N° FACTURA]],Tabla3[N° FACTURA],Tabla3[DISTANCIA (km)],"NA")</f>
        <v>0.83599999999999997</v>
      </c>
      <c r="E147" s="3">
        <f>_xlfn.XLOOKUP(Tabla8[[#This Row],[N° FACTURA]],Tabla3[N° FACTURA],Tabla3[Numero de Transportes],"NA")</f>
        <v>1</v>
      </c>
      <c r="F147" s="15">
        <f>_xlfn.XLOOKUP(Tabla8[[#This Row],[N° FACTURA]],Tabla3[N° FACTURA],Tabla3[VLR. TRANSPORTE],"NA")</f>
        <v>30000</v>
      </c>
      <c r="G147" s="15">
        <f>Tabla8[[#This Row],[VLR. TRANSPORTE]]/Tabla8[[#This Row],[Numero de Transportes]]</f>
        <v>30000</v>
      </c>
      <c r="H147" s="15">
        <f>_xlfn.XLOOKUP(Tabla8[[#This Row],[N° FACTURA]],Tabla3[N° FACTURA],Tabla3[VLR. TOTAL FACT.],"NA")</f>
        <v>392600</v>
      </c>
      <c r="I147" s="15">
        <f>Tabla8[[#This Row],[VLR. TOTAL FACT.]]-Tabla8[[#This Row],[VLR. TRANSPORTE]]</f>
        <v>362600</v>
      </c>
      <c r="J147" s="140">
        <f>Tabla8[[#This Row],[VLR. PRODUCTOS]]*0.2</f>
        <v>72520</v>
      </c>
      <c r="K147" s="15">
        <f>'ABC COSTEO'!B$11</f>
        <v>40740.427791666669</v>
      </c>
      <c r="L147" s="15">
        <f>Tabla8[[#This Row],[DISTANCIA (km)]]*2*'ABC COSTEO'!B$21</f>
        <v>2274.6093937990067</v>
      </c>
      <c r="M147" s="15">
        <f>Tabla8[[#This Row],[Costo Variable]]+Tabla8[[#This Row],[Costo fijo]]</f>
        <v>43015.037185465677</v>
      </c>
      <c r="N147" s="15">
        <f>Tabla8[[#This Row],[Costo Total]]*Tabla8[[#This Row],[Numero de Transportes]]</f>
        <v>43015.037185465677</v>
      </c>
      <c r="O147" s="15">
        <f>(Tabla8[[#This Row],[VLR. Transporte unitario]]-Tabla8[[#This Row],[Costo Total]])*Tabla8[[#This Row],[Numero de Transportes]]</f>
        <v>-13015.037185465677</v>
      </c>
      <c r="P147" s="15">
        <f>Tabla8[[#This Row],[Margen de productos]]+Tabla8[[#This Row],[Ganancia/Perdida]]</f>
        <v>59504.962814534323</v>
      </c>
      <c r="Q147" s="144">
        <f>(Tabla8[[#This Row],[Margen ]]/Tabla8[[#This Row],[Margen de productos]])-1</f>
        <v>-0.17946824580068499</v>
      </c>
    </row>
    <row r="148" spans="1:17" ht="15" thickBot="1" x14ac:dyDescent="0.35">
      <c r="A148" s="3">
        <v>48370</v>
      </c>
      <c r="B148" s="3" t="str">
        <f>_xlfn.XLOOKUP(Tabla8[[#This Row],[N° FACTURA]],Tabla3[N° FACTURA],Tabla3[Corregimiento],"NA")</f>
        <v>El Carmen</v>
      </c>
      <c r="C148" s="3" t="str">
        <f>_xlfn.XLOOKUP(Tabla8[[#This Row],[N° FACTURA]],Tabla3[N° FACTURA],Tabla3[LUGAR ENVÍO],"NA")</f>
        <v>Altos del Carmen</v>
      </c>
      <c r="D148" s="167">
        <f>_xlfn.XLOOKUP(Tabla8[[#This Row],[N° FACTURA]],Tabla3[N° FACTURA],Tabla3[DISTANCIA (km)],"NA")</f>
        <v>5.4639999999999986</v>
      </c>
      <c r="E148" s="3">
        <f>_xlfn.XLOOKUP(Tabla8[[#This Row],[N° FACTURA]],Tabla3[N° FACTURA],Tabla3[Numero de Transportes],"NA")</f>
        <v>1</v>
      </c>
      <c r="F148" s="15">
        <f>_xlfn.XLOOKUP(Tabla8[[#This Row],[N° FACTURA]],Tabla3[N° FACTURA],Tabla3[VLR. TRANSPORTE],"NA")</f>
        <v>40000</v>
      </c>
      <c r="G148" s="15">
        <f>Tabla8[[#This Row],[VLR. TRANSPORTE]]/Tabla8[[#This Row],[Numero de Transportes]]</f>
        <v>40000</v>
      </c>
      <c r="H148" s="15">
        <f>_xlfn.XLOOKUP(Tabla8[[#This Row],[N° FACTURA]],Tabla3[N° FACTURA],Tabla3[VLR. TOTAL FACT.],"NA")</f>
        <v>228200</v>
      </c>
      <c r="I148" s="15">
        <f>Tabla8[[#This Row],[VLR. TOTAL FACT.]]-Tabla8[[#This Row],[VLR. TRANSPORTE]]</f>
        <v>188200</v>
      </c>
      <c r="J148" s="140">
        <f>Tabla8[[#This Row],[VLR. PRODUCTOS]]*0.2</f>
        <v>37640</v>
      </c>
      <c r="K148" s="15">
        <f>'ABC COSTEO'!B$11</f>
        <v>40740.427791666669</v>
      </c>
      <c r="L148" s="15">
        <f>Tabla8[[#This Row],[DISTANCIA (km)]]*2*'ABC COSTEO'!B$21</f>
        <v>14866.585798705468</v>
      </c>
      <c r="M148" s="15">
        <f>Tabla8[[#This Row],[Costo Variable]]+Tabla8[[#This Row],[Costo fijo]]</f>
        <v>55607.013590372138</v>
      </c>
      <c r="N148" s="15">
        <f>Tabla8[[#This Row],[Costo Total]]*Tabla8[[#This Row],[Numero de Transportes]]</f>
        <v>55607.013590372138</v>
      </c>
      <c r="O148" s="15">
        <f>(Tabla8[[#This Row],[VLR. Transporte unitario]]-Tabla8[[#This Row],[Costo Total]])*Tabla8[[#This Row],[Numero de Transportes]]</f>
        <v>-15607.013590372138</v>
      </c>
      <c r="P148" s="15">
        <f>Tabla8[[#This Row],[Margen de productos]]+Tabla8[[#This Row],[Ganancia/Perdida]]</f>
        <v>22032.986409627862</v>
      </c>
      <c r="Q148" s="144">
        <f>(Tabla8[[#This Row],[Margen ]]/Tabla8[[#This Row],[Margen de productos]])-1</f>
        <v>-0.41463904331488144</v>
      </c>
    </row>
    <row r="149" spans="1:17" ht="15" thickBot="1" x14ac:dyDescent="0.35">
      <c r="A149" s="3">
        <v>58924</v>
      </c>
      <c r="B149" s="3" t="str">
        <f>_xlfn.XLOOKUP(Tabla8[[#This Row],[N° FACTURA]],Tabla3[N° FACTURA],Tabla3[Corregimiento],"NA")</f>
        <v>El Carmen</v>
      </c>
      <c r="C149" s="3" t="str">
        <f>_xlfn.XLOOKUP(Tabla8[[#This Row],[N° FACTURA]],Tabla3[N° FACTURA],Tabla3[LUGAR ENVÍO],"NA")</f>
        <v>Tortolas</v>
      </c>
      <c r="D149" s="167">
        <f>_xlfn.XLOOKUP(Tabla8[[#This Row],[N° FACTURA]],Tabla3[N° FACTURA],Tabla3[DISTANCIA (km)],"NA")</f>
        <v>5.7570000000000006</v>
      </c>
      <c r="E149" s="3">
        <f>_xlfn.XLOOKUP(Tabla8[[#This Row],[N° FACTURA]],Tabla3[N° FACTURA],Tabla3[Numero de Transportes],"NA")</f>
        <v>1</v>
      </c>
      <c r="F149" s="15">
        <f>_xlfn.XLOOKUP(Tabla8[[#This Row],[N° FACTURA]],Tabla3[N° FACTURA],Tabla3[VLR. TRANSPORTE],"NA")</f>
        <v>50000</v>
      </c>
      <c r="G149" s="15">
        <f>Tabla8[[#This Row],[VLR. TRANSPORTE]]/Tabla8[[#This Row],[Numero de Transportes]]</f>
        <v>50000</v>
      </c>
      <c r="H149" s="15">
        <f>_xlfn.XLOOKUP(Tabla8[[#This Row],[N° FACTURA]],Tabla3[N° FACTURA],Tabla3[VLR. TOTAL FACT.],"NA")</f>
        <v>242000</v>
      </c>
      <c r="I149" s="15">
        <f>Tabla8[[#This Row],[VLR. TOTAL FACT.]]-Tabla8[[#This Row],[VLR. TRANSPORTE]]</f>
        <v>192000</v>
      </c>
      <c r="J149" s="140">
        <f>Tabla8[[#This Row],[VLR. PRODUCTOS]]*0.2</f>
        <v>38400</v>
      </c>
      <c r="K149" s="15">
        <f>'ABC COSTEO'!B$11</f>
        <v>40740.427791666669</v>
      </c>
      <c r="L149" s="15">
        <f>Tabla8[[#This Row],[DISTANCIA (km)]]*2*'ABC COSTEO'!B$21</f>
        <v>15663.787416388619</v>
      </c>
      <c r="M149" s="15">
        <f>Tabla8[[#This Row],[Costo Variable]]+Tabla8[[#This Row],[Costo fijo]]</f>
        <v>56404.215208055291</v>
      </c>
      <c r="N149" s="15">
        <f>Tabla8[[#This Row],[Costo Total]]*Tabla8[[#This Row],[Numero de Transportes]]</f>
        <v>56404.215208055291</v>
      </c>
      <c r="O149" s="15">
        <f>(Tabla8[[#This Row],[VLR. Transporte unitario]]-Tabla8[[#This Row],[Costo Total]])*Tabla8[[#This Row],[Numero de Transportes]]</f>
        <v>-6404.2152080552914</v>
      </c>
      <c r="P149" s="15">
        <f>Tabla8[[#This Row],[Margen de productos]]+Tabla8[[#This Row],[Ganancia/Perdida]]</f>
        <v>31995.784791944709</v>
      </c>
      <c r="Q149" s="144">
        <f>(Tabla8[[#This Row],[Margen ]]/Tabla8[[#This Row],[Margen de productos]])-1</f>
        <v>-0.16677643770977324</v>
      </c>
    </row>
    <row r="150" spans="1:17" ht="15" thickBot="1" x14ac:dyDescent="0.35">
      <c r="A150" s="3">
        <v>58270</v>
      </c>
      <c r="B150" s="3" t="str">
        <f>_xlfn.XLOOKUP(Tabla8[[#This Row],[N° FACTURA]],Tabla3[N° FACTURA],Tabla3[Corregimiento],"NA")</f>
        <v>Borrero Ayerbe</v>
      </c>
      <c r="C150" s="3" t="str">
        <f>_xlfn.XLOOKUP(Tabla8[[#This Row],[N° FACTURA]],Tabla3[N° FACTURA],Tabla3[LUGAR ENVÍO],"NA")</f>
        <v xml:space="preserve">Salida al carmen </v>
      </c>
      <c r="D150" s="167">
        <f>_xlfn.XLOOKUP(Tabla8[[#This Row],[N° FACTURA]],Tabla3[N° FACTURA],Tabla3[DISTANCIA (km)],"NA")</f>
        <v>2.3290000000000006</v>
      </c>
      <c r="E150" s="3">
        <f>_xlfn.XLOOKUP(Tabla8[[#This Row],[N° FACTURA]],Tabla3[N° FACTURA],Tabla3[Numero de Transportes],"NA")</f>
        <v>1</v>
      </c>
      <c r="F150" s="15">
        <f>_xlfn.XLOOKUP(Tabla8[[#This Row],[N° FACTURA]],Tabla3[N° FACTURA],Tabla3[VLR. TRANSPORTE],"NA")</f>
        <v>30000</v>
      </c>
      <c r="G150" s="15">
        <f>Tabla8[[#This Row],[VLR. TRANSPORTE]]/Tabla8[[#This Row],[Numero de Transportes]]</f>
        <v>30000</v>
      </c>
      <c r="H150" s="15">
        <f>_xlfn.XLOOKUP(Tabla8[[#This Row],[N° FACTURA]],Tabla3[N° FACTURA],Tabla3[VLR. TOTAL FACT.],"NA")</f>
        <v>656000</v>
      </c>
      <c r="I150" s="15">
        <f>Tabla8[[#This Row],[VLR. TOTAL FACT.]]-Tabla8[[#This Row],[VLR. TRANSPORTE]]</f>
        <v>626000</v>
      </c>
      <c r="J150" s="140">
        <f>Tabla8[[#This Row],[VLR. PRODUCTOS]]*0.2</f>
        <v>125200</v>
      </c>
      <c r="K150" s="15">
        <f>'ABC COSTEO'!B$11</f>
        <v>40740.427791666669</v>
      </c>
      <c r="L150" s="15">
        <f>Tabla8[[#This Row],[DISTANCIA (km)]]*2*'ABC COSTEO'!B$21</f>
        <v>6336.8005719591974</v>
      </c>
      <c r="M150" s="15">
        <f>Tabla8[[#This Row],[Costo Variable]]+Tabla8[[#This Row],[Costo fijo]]</f>
        <v>47077.228363625865</v>
      </c>
      <c r="N150" s="15">
        <f>Tabla8[[#This Row],[Costo Total]]*Tabla8[[#This Row],[Numero de Transportes]]</f>
        <v>47077.228363625865</v>
      </c>
      <c r="O150" s="15">
        <f>(Tabla8[[#This Row],[VLR. Transporte unitario]]-Tabla8[[#This Row],[Costo Total]])*Tabla8[[#This Row],[Numero de Transportes]]</f>
        <v>-17077.228363625865</v>
      </c>
      <c r="P150" s="15">
        <f>Tabla8[[#This Row],[Margen de productos]]+Tabla8[[#This Row],[Ganancia/Perdida]]</f>
        <v>108122.77163637413</v>
      </c>
      <c r="Q150" s="144">
        <f>(Tabla8[[#This Row],[Margen ]]/Tabla8[[#This Row],[Margen de productos]])-1</f>
        <v>-0.1363995875688967</v>
      </c>
    </row>
    <row r="151" spans="1:17" ht="27.6" thickBot="1" x14ac:dyDescent="0.35">
      <c r="A151" s="146">
        <v>46966</v>
      </c>
      <c r="B151" s="3" t="str">
        <f>_xlfn.XLOOKUP(Tabla8[[#This Row],[N° FACTURA]],Tabla3[N° FACTURA],Tabla3[Corregimiento],"NA")</f>
        <v>El Salado</v>
      </c>
      <c r="C151" s="3" t="str">
        <f>_xlfn.XLOOKUP(Tabla8[[#This Row],[N° FACTURA]],Tabla3[N° FACTURA],Tabla3[LUGAR ENVÍO],"NA")</f>
        <v>San Jose del Salado</v>
      </c>
      <c r="D151" s="167">
        <f>_xlfn.XLOOKUP(Tabla8[[#This Row],[N° FACTURA]],Tabla3[N° FACTURA],Tabla3[DISTANCIA (km)],"NA")</f>
        <v>13.07</v>
      </c>
      <c r="E151" s="3">
        <f>_xlfn.XLOOKUP(Tabla8[[#This Row],[N° FACTURA]],Tabla3[N° FACTURA],Tabla3[Numero de Transportes],"NA")</f>
        <v>1</v>
      </c>
      <c r="F151" s="15">
        <f>_xlfn.XLOOKUP(Tabla8[[#This Row],[N° FACTURA]],Tabla3[N° FACTURA],Tabla3[VLR. TRANSPORTE],"NA")</f>
        <v>70000</v>
      </c>
      <c r="G151" s="15">
        <f>Tabla8[[#This Row],[VLR. TRANSPORTE]]/Tabla8[[#This Row],[Numero de Transportes]]</f>
        <v>70000</v>
      </c>
      <c r="H151" s="15">
        <f>_xlfn.XLOOKUP(Tabla8[[#This Row],[N° FACTURA]],Tabla3[N° FACTURA],Tabla3[VLR. TOTAL FACT.],"NA")</f>
        <v>1105700</v>
      </c>
      <c r="I151" s="15">
        <f>Tabla8[[#This Row],[VLR. TOTAL FACT.]]-Tabla8[[#This Row],[VLR. TRANSPORTE]]</f>
        <v>1035700</v>
      </c>
      <c r="J151" s="140">
        <f>Tabla8[[#This Row],[VLR. PRODUCTOS]]*0.2</f>
        <v>207140</v>
      </c>
      <c r="K151" s="15">
        <f>'ABC COSTEO'!B$11</f>
        <v>40740.427791666669</v>
      </c>
      <c r="L151" s="15">
        <f>Tabla8[[#This Row],[DISTANCIA (km)]]*2*'ABC COSTEO'!B$21</f>
        <v>35561.177962862464</v>
      </c>
      <c r="M151" s="15">
        <f>Tabla8[[#This Row],[Costo Variable]]+Tabla8[[#This Row],[Costo fijo]]</f>
        <v>76301.605754529126</v>
      </c>
      <c r="N151" s="15">
        <f>Tabla8[[#This Row],[Costo Total]]*Tabla8[[#This Row],[Numero de Transportes]]</f>
        <v>76301.605754529126</v>
      </c>
      <c r="O151" s="15">
        <f>(Tabla8[[#This Row],[VLR. Transporte unitario]]-Tabla8[[#This Row],[Costo Total]])*Tabla8[[#This Row],[Numero de Transportes]]</f>
        <v>-6301.605754529126</v>
      </c>
      <c r="P151" s="15">
        <f>Tabla8[[#This Row],[Margen de productos]]+Tabla8[[#This Row],[Ganancia/Perdida]]</f>
        <v>200838.39424547087</v>
      </c>
      <c r="Q151" s="144">
        <f>(Tabla8[[#This Row],[Margen ]]/Tabla8[[#This Row],[Margen de productos]])-1</f>
        <v>-3.0421964635170107E-2</v>
      </c>
    </row>
    <row r="152" spans="1:17" ht="15" thickBot="1" x14ac:dyDescent="0.35">
      <c r="A152" s="3">
        <v>58656</v>
      </c>
      <c r="B152" s="3" t="str">
        <f>_xlfn.XLOOKUP(Tabla8[[#This Row],[N° FACTURA]],Tabla3[N° FACTURA],Tabla3[Corregimiento],"NA")</f>
        <v>Borrero Ayerbe</v>
      </c>
      <c r="C152" s="3" t="str">
        <f>_xlfn.XLOOKUP(Tabla8[[#This Row],[N° FACTURA]],Tabla3[N° FACTURA],Tabla3[LUGAR ENVÍO],"NA")</f>
        <v>La Zulia 1</v>
      </c>
      <c r="D152" s="167">
        <f>_xlfn.XLOOKUP(Tabla8[[#This Row],[N° FACTURA]],Tabla3[N° FACTURA],Tabla3[DISTANCIA (km)],"NA")</f>
        <v>0.94400000000000039</v>
      </c>
      <c r="E152" s="3">
        <f>_xlfn.XLOOKUP(Tabla8[[#This Row],[N° FACTURA]],Tabla3[N° FACTURA],Tabla3[Numero de Transportes],"NA")</f>
        <v>3</v>
      </c>
      <c r="F152" s="15">
        <f>_xlfn.XLOOKUP(Tabla8[[#This Row],[N° FACTURA]],Tabla3[N° FACTURA],Tabla3[VLR. TRANSPORTE],"NA")</f>
        <v>90000</v>
      </c>
      <c r="G152" s="15">
        <f>Tabla8[[#This Row],[VLR. TRANSPORTE]]/Tabla8[[#This Row],[Numero de Transportes]]</f>
        <v>30000</v>
      </c>
      <c r="H152" s="15">
        <f>_xlfn.XLOOKUP(Tabla8[[#This Row],[N° FACTURA]],Tabla3[N° FACTURA],Tabla3[VLR. TOTAL FACT.],"NA")</f>
        <v>453000</v>
      </c>
      <c r="I152" s="96">
        <f>Tabla8[[#This Row],[VLR. TOTAL FACT.]]-Tabla8[[#This Row],[VLR. TRANSPORTE]]</f>
        <v>363000</v>
      </c>
      <c r="J152" s="140">
        <f>Tabla8[[#This Row],[VLR. PRODUCTOS]]*0.2</f>
        <v>72600</v>
      </c>
      <c r="K152" s="15">
        <f>'ABC COSTEO'!B$11</f>
        <v>40740.427791666669</v>
      </c>
      <c r="L152" s="15">
        <f>Tabla8[[#This Row],[DISTANCIA (km)]]*2*'ABC COSTEO'!B$21</f>
        <v>2568.458454241942</v>
      </c>
      <c r="M152" s="15">
        <f>Tabla8[[#This Row],[Costo Variable]]+Tabla8[[#This Row],[Costo fijo]]</f>
        <v>43308.886245908609</v>
      </c>
      <c r="N152" s="15">
        <f>Tabla8[[#This Row],[Costo Total]]*Tabla8[[#This Row],[Numero de Transportes]]</f>
        <v>129926.65873772583</v>
      </c>
      <c r="O152" s="15">
        <f>(Tabla8[[#This Row],[VLR. Transporte unitario]]-Tabla8[[#This Row],[Costo Total]])*Tabla8[[#This Row],[Numero de Transportes]]</f>
        <v>-39926.658737725826</v>
      </c>
      <c r="P152" s="15">
        <f>Tabla8[[#This Row],[Margen de productos]]+Tabla8[[#This Row],[Ganancia/Perdida]]</f>
        <v>32673.341262274174</v>
      </c>
      <c r="Q152" s="144">
        <f>(Tabla8[[#This Row],[Margen ]]/Tabla8[[#This Row],[Margen de productos]])-1</f>
        <v>-0.54995397710366145</v>
      </c>
    </row>
    <row r="153" spans="1:17" ht="15" thickBot="1" x14ac:dyDescent="0.35">
      <c r="A153" s="3">
        <v>46418</v>
      </c>
      <c r="B153" s="3" t="str">
        <f>_xlfn.XLOOKUP(Tabla8[[#This Row],[N° FACTURA]],Tabla3[N° FACTURA],Tabla3[Corregimiento],"NA")</f>
        <v>El Carmen</v>
      </c>
      <c r="C153" s="3" t="str">
        <f>_xlfn.XLOOKUP(Tabla8[[#This Row],[N° FACTURA]],Tabla3[N° FACTURA],Tabla3[LUGAR ENVÍO],"NA")</f>
        <v>Villa emilia</v>
      </c>
      <c r="D153" s="167">
        <f>_xlfn.XLOOKUP(Tabla8[[#This Row],[N° FACTURA]],Tabla3[N° FACTURA],Tabla3[DISTANCIA (km)],"NA")</f>
        <v>3.4490000000000003</v>
      </c>
      <c r="E153" s="3">
        <f>_xlfn.XLOOKUP(Tabla8[[#This Row],[N° FACTURA]],Tabla3[N° FACTURA],Tabla3[Numero de Transportes],"NA")</f>
        <v>1</v>
      </c>
      <c r="F153" s="15">
        <f>_xlfn.XLOOKUP(Tabla8[[#This Row],[N° FACTURA]],Tabla3[N° FACTURA],Tabla3[VLR. TRANSPORTE],"NA")</f>
        <v>40000</v>
      </c>
      <c r="G153" s="15">
        <f>Tabla8[[#This Row],[VLR. TRANSPORTE]]/Tabla8[[#This Row],[Numero de Transportes]]</f>
        <v>40000</v>
      </c>
      <c r="H153" s="15">
        <f>_xlfn.XLOOKUP(Tabla8[[#This Row],[N° FACTURA]],Tabla3[N° FACTURA],Tabla3[VLR. TOTAL FACT.],"NA")</f>
        <v>233000</v>
      </c>
      <c r="I153" s="15">
        <f>Tabla8[[#This Row],[VLR. TOTAL FACT.]]-Tabla8[[#This Row],[VLR. TRANSPORTE]]</f>
        <v>193000</v>
      </c>
      <c r="J153" s="140">
        <f>Tabla8[[#This Row],[VLR. PRODUCTOS]]*0.2</f>
        <v>38600</v>
      </c>
      <c r="K153" s="15">
        <f>'ABC COSTEO'!B$11</f>
        <v>40740.427791666669</v>
      </c>
      <c r="L153" s="15">
        <f>Tabla8[[#This Row],[DISTANCIA (km)]]*2*'ABC COSTEO'!B$21</f>
        <v>9384.1241617377709</v>
      </c>
      <c r="M153" s="15">
        <f>Tabla8[[#This Row],[Costo Variable]]+Tabla8[[#This Row],[Costo fijo]]</f>
        <v>50124.551953404443</v>
      </c>
      <c r="N153" s="15">
        <f>Tabla8[[#This Row],[Costo Total]]*Tabla8[[#This Row],[Numero de Transportes]]</f>
        <v>50124.551953404443</v>
      </c>
      <c r="O153" s="15">
        <f>(Tabla8[[#This Row],[VLR. Transporte unitario]]-Tabla8[[#This Row],[Costo Total]])*Tabla8[[#This Row],[Numero de Transportes]]</f>
        <v>-10124.551953404443</v>
      </c>
      <c r="P153" s="15">
        <f>Tabla8[[#This Row],[Margen de productos]]+Tabla8[[#This Row],[Ganancia/Perdida]]</f>
        <v>28475.448046595557</v>
      </c>
      <c r="Q153" s="144">
        <f>(Tabla8[[#This Row],[Margen ]]/Tabla8[[#This Row],[Margen de productos]])-1</f>
        <v>-0.26229409205710996</v>
      </c>
    </row>
    <row r="154" spans="1:17" ht="15" thickBot="1" x14ac:dyDescent="0.35">
      <c r="A154" s="3">
        <v>46430</v>
      </c>
      <c r="B154" s="3" t="str">
        <f>_xlfn.XLOOKUP(Tabla8[[#This Row],[N° FACTURA]],Tabla3[N° FACTURA],Tabla3[Corregimiento],"NA")</f>
        <v>Borrero Ayerbe</v>
      </c>
      <c r="C154" s="3" t="str">
        <f>_xlfn.XLOOKUP(Tabla8[[#This Row],[N° FACTURA]],Tabla3[N° FACTURA],Tabla3[LUGAR ENVÍO],"NA")</f>
        <v>Monteredondo</v>
      </c>
      <c r="D154" s="167">
        <f>_xlfn.XLOOKUP(Tabla8[[#This Row],[N° FACTURA]],Tabla3[N° FACTURA],Tabla3[DISTANCIA (km)],"NA")</f>
        <v>0.42800000000000005</v>
      </c>
      <c r="E154" s="3">
        <f>_xlfn.XLOOKUP(Tabla8[[#This Row],[N° FACTURA]],Tabla3[N° FACTURA],Tabla3[Numero de Transportes],"NA")</f>
        <v>1</v>
      </c>
      <c r="F154" s="15">
        <f>_xlfn.XLOOKUP(Tabla8[[#This Row],[N° FACTURA]],Tabla3[N° FACTURA],Tabla3[VLR. TRANSPORTE],"NA")</f>
        <v>30000</v>
      </c>
      <c r="G154" s="15">
        <f>Tabla8[[#This Row],[VLR. TRANSPORTE]]/Tabla8[[#This Row],[Numero de Transportes]]</f>
        <v>30000</v>
      </c>
      <c r="H154" s="15">
        <f>_xlfn.XLOOKUP(Tabla8[[#This Row],[N° FACTURA]],Tabla3[N° FACTURA],Tabla3[VLR. TOTAL FACT.],"NA")</f>
        <v>768000</v>
      </c>
      <c r="I154" s="15">
        <f>Tabla8[[#This Row],[VLR. TOTAL FACT.]]-Tabla8[[#This Row],[VLR. TRANSPORTE]]</f>
        <v>738000</v>
      </c>
      <c r="J154" s="140">
        <f>Tabla8[[#This Row],[VLR. PRODUCTOS]]*0.2</f>
        <v>147600</v>
      </c>
      <c r="K154" s="15">
        <f>'ABC COSTEO'!B$11</f>
        <v>40740.427791666669</v>
      </c>
      <c r="L154" s="15">
        <f>Tabla8[[#This Row],[DISTANCIA (km)]]*2*'ABC COSTEO'!B$21</f>
        <v>1164.5129432368124</v>
      </c>
      <c r="M154" s="15">
        <f>Tabla8[[#This Row],[Costo Variable]]+Tabla8[[#This Row],[Costo fijo]]</f>
        <v>41904.940734903481</v>
      </c>
      <c r="N154" s="15">
        <f>Tabla8[[#This Row],[Costo Total]]*Tabla8[[#This Row],[Numero de Transportes]]</f>
        <v>41904.940734903481</v>
      </c>
      <c r="O154" s="15">
        <f>(Tabla8[[#This Row],[VLR. Transporte unitario]]-Tabla8[[#This Row],[Costo Total]])*Tabla8[[#This Row],[Numero de Transportes]]</f>
        <v>-11904.940734903481</v>
      </c>
      <c r="P154" s="15">
        <f>Tabla8[[#This Row],[Margen de productos]]+Tabla8[[#This Row],[Ganancia/Perdida]]</f>
        <v>135695.05926509653</v>
      </c>
      <c r="Q154" s="144">
        <f>(Tabla8[[#This Row],[Margen ]]/Tabla8[[#This Row],[Margen de productos]])-1</f>
        <v>-8.0656780046771459E-2</v>
      </c>
    </row>
    <row r="155" spans="1:17" ht="15" thickBot="1" x14ac:dyDescent="0.35">
      <c r="A155" s="3">
        <v>58895</v>
      </c>
      <c r="B155" s="3" t="str">
        <f>_xlfn.XLOOKUP(Tabla8[[#This Row],[N° FACTURA]],Tabla3[N° FACTURA],Tabla3[Corregimiento],"NA")</f>
        <v>El Carmen</v>
      </c>
      <c r="C155" s="3" t="str">
        <f>_xlfn.XLOOKUP(Tabla8[[#This Row],[N° FACTURA]],Tabla3[N° FACTURA],Tabla3[LUGAR ENVÍO],"NA")</f>
        <v>Carmen</v>
      </c>
      <c r="D155" s="167">
        <f>_xlfn.XLOOKUP(Tabla8[[#This Row],[N° FACTURA]],Tabla3[N° FACTURA],Tabla3[DISTANCIA (km)],"NA")</f>
        <v>4.2009999999999987</v>
      </c>
      <c r="E155" s="3">
        <f>_xlfn.XLOOKUP(Tabla8[[#This Row],[N° FACTURA]],Tabla3[N° FACTURA],Tabla3[Numero de Transportes],"NA")</f>
        <v>1</v>
      </c>
      <c r="F155" s="15">
        <f>_xlfn.XLOOKUP(Tabla8[[#This Row],[N° FACTURA]],Tabla3[N° FACTURA],Tabla3[VLR. TRANSPORTE],"NA")</f>
        <v>40000</v>
      </c>
      <c r="G155" s="15">
        <f>Tabla8[[#This Row],[VLR. TRANSPORTE]]/Tabla8[[#This Row],[Numero de Transportes]]</f>
        <v>40000</v>
      </c>
      <c r="H155" s="15">
        <f>_xlfn.XLOOKUP(Tabla8[[#This Row],[N° FACTURA]],Tabla3[N° FACTURA],Tabla3[VLR. TOTAL FACT.],"NA")</f>
        <v>233000</v>
      </c>
      <c r="I155" s="15">
        <f>Tabla8[[#This Row],[VLR. TOTAL FACT.]]-Tabla8[[#This Row],[VLR. TRANSPORTE]]</f>
        <v>193000</v>
      </c>
      <c r="J155" s="140">
        <f>Tabla8[[#This Row],[VLR. PRODUCTOS]]*0.2</f>
        <v>38600</v>
      </c>
      <c r="K155" s="15">
        <f>'ABC COSTEO'!B$11</f>
        <v>40740.427791666669</v>
      </c>
      <c r="L155" s="15">
        <f>Tabla8[[#This Row],[DISTANCIA (km)]]*2*'ABC COSTEO'!B$21</f>
        <v>11430.18428630338</v>
      </c>
      <c r="M155" s="15">
        <f>Tabla8[[#This Row],[Costo Variable]]+Tabla8[[#This Row],[Costo fijo]]</f>
        <v>52170.61207797005</v>
      </c>
      <c r="N155" s="15">
        <f>Tabla8[[#This Row],[Costo Total]]*Tabla8[[#This Row],[Numero de Transportes]]</f>
        <v>52170.61207797005</v>
      </c>
      <c r="O155" s="15">
        <f>(Tabla8[[#This Row],[VLR. Transporte unitario]]-Tabla8[[#This Row],[Costo Total]])*Tabla8[[#This Row],[Numero de Transportes]]</f>
        <v>-12170.61207797005</v>
      </c>
      <c r="P155" s="15">
        <f>Tabla8[[#This Row],[Margen de productos]]+Tabla8[[#This Row],[Ganancia/Perdida]]</f>
        <v>26429.38792202995</v>
      </c>
      <c r="Q155" s="144">
        <f>(Tabla8[[#This Row],[Margen ]]/Tabla8[[#This Row],[Margen de productos]])-1</f>
        <v>-0.31530083103549356</v>
      </c>
    </row>
    <row r="156" spans="1:17" ht="15" thickBot="1" x14ac:dyDescent="0.35">
      <c r="A156" s="147">
        <v>58146</v>
      </c>
      <c r="B156" s="3" t="str">
        <f>_xlfn.XLOOKUP(Tabla8[[#This Row],[N° FACTURA]],Tabla3[N° FACTURA],Tabla3[Corregimiento],"NA")</f>
        <v>Borrero Ayerbe</v>
      </c>
      <c r="C156" s="3" t="str">
        <f>_xlfn.XLOOKUP(Tabla8[[#This Row],[N° FACTURA]],Tabla3[N° FACTURA],Tabla3[LUGAR ENVÍO],"NA")</f>
        <v>San miguel</v>
      </c>
      <c r="D156" s="167">
        <f>_xlfn.XLOOKUP(Tabla8[[#This Row],[N° FACTURA]],Tabla3[N° FACTURA],Tabla3[DISTANCIA (km)],"NA")</f>
        <v>2.2689999999999992</v>
      </c>
      <c r="E156" s="3">
        <f>_xlfn.XLOOKUP(Tabla8[[#This Row],[N° FACTURA]],Tabla3[N° FACTURA],Tabla3[Numero de Transportes],"NA")</f>
        <v>1</v>
      </c>
      <c r="F156" s="15">
        <f>_xlfn.XLOOKUP(Tabla8[[#This Row],[N° FACTURA]],Tabla3[N° FACTURA],Tabla3[VLR. TRANSPORTE],"NA")</f>
        <v>70000</v>
      </c>
      <c r="G156" s="15">
        <f>Tabla8[[#This Row],[VLR. TRANSPORTE]]/Tabla8[[#This Row],[Numero de Transportes]]</f>
        <v>70000</v>
      </c>
      <c r="H156" s="15">
        <f>_xlfn.XLOOKUP(Tabla8[[#This Row],[N° FACTURA]],Tabla3[N° FACTURA],Tabla3[VLR. TOTAL FACT.],"NA")</f>
        <v>648300</v>
      </c>
      <c r="I156" s="15">
        <f>Tabla8[[#This Row],[VLR. TOTAL FACT.]]-Tabla8[[#This Row],[VLR. TRANSPORTE]]</f>
        <v>578300</v>
      </c>
      <c r="J156" s="140">
        <f>Tabla8[[#This Row],[VLR. PRODUCTOS]]*0.2</f>
        <v>115660</v>
      </c>
      <c r="K156" s="15">
        <f>'ABC COSTEO'!B$11</f>
        <v>40740.427791666669</v>
      </c>
      <c r="L156" s="15">
        <f>Tabla8[[#This Row],[DISTANCIA (km)]]*2*'ABC COSTEO'!B$21</f>
        <v>6173.5510939353408</v>
      </c>
      <c r="M156" s="15">
        <f>Tabla8[[#This Row],[Costo Variable]]+Tabla8[[#This Row],[Costo fijo]]</f>
        <v>46913.97888560201</v>
      </c>
      <c r="N156" s="15">
        <f>Tabla8[[#This Row],[Costo Total]]*Tabla8[[#This Row],[Numero de Transportes]]</f>
        <v>46913.97888560201</v>
      </c>
      <c r="O156" s="15">
        <f>(Tabla8[[#This Row],[VLR. Transporte unitario]]-Tabla8[[#This Row],[Costo Total]])*Tabla8[[#This Row],[Numero de Transportes]]</f>
        <v>23086.02111439799</v>
      </c>
      <c r="P156" s="15">
        <f>Tabla8[[#This Row],[Margen de productos]]+Tabla8[[#This Row],[Ganancia/Perdida]]</f>
        <v>138746.021114398</v>
      </c>
      <c r="Q156" s="144">
        <f>(Tabla8[[#This Row],[Margen ]]/Tabla8[[#This Row],[Margen de productos]])-1</f>
        <v>0.19960246510805812</v>
      </c>
    </row>
    <row r="157" spans="1:17" ht="15" thickBot="1" x14ac:dyDescent="0.35">
      <c r="A157" s="147">
        <v>34670</v>
      </c>
      <c r="B157" s="3" t="str">
        <f>_xlfn.XLOOKUP(Tabla8[[#This Row],[N° FACTURA]],Tabla3[N° FACTURA],Tabla3[Corregimiento],"NA")</f>
        <v>El Carmen</v>
      </c>
      <c r="C157" s="3" t="str">
        <f>_xlfn.XLOOKUP(Tabla8[[#This Row],[N° FACTURA]],Tabla3[N° FACTURA],Tabla3[LUGAR ENVÍO],"NA")</f>
        <v>villa del toro</v>
      </c>
      <c r="D157" s="167">
        <f>_xlfn.XLOOKUP(Tabla8[[#This Row],[N° FACTURA]],Tabla3[N° FACTURA],Tabla3[DISTANCIA (km)],"NA")</f>
        <v>2.2797620000000003</v>
      </c>
      <c r="E157" s="3">
        <f>_xlfn.XLOOKUP(Tabla8[[#This Row],[N° FACTURA]],Tabla3[N° FACTURA],Tabla3[Numero de Transportes],"NA")</f>
        <v>1</v>
      </c>
      <c r="F157" s="15">
        <f>_xlfn.XLOOKUP(Tabla8[[#This Row],[N° FACTURA]],Tabla3[N° FACTURA],Tabla3[VLR. TRANSPORTE],"NA")</f>
        <v>40000</v>
      </c>
      <c r="G157" s="15">
        <f>Tabla8[[#This Row],[VLR. TRANSPORTE]]/Tabla8[[#This Row],[Numero de Transportes]]</f>
        <v>40000</v>
      </c>
      <c r="H157" s="15">
        <f>_xlfn.XLOOKUP(Tabla8[[#This Row],[N° FACTURA]],Tabla3[N° FACTURA],Tabla3[VLR. TOTAL FACT.],"NA")</f>
        <v>479900</v>
      </c>
      <c r="I157" s="15">
        <f>Tabla8[[#This Row],[VLR. TOTAL FACT.]]-Tabla8[[#This Row],[VLR. TRANSPORTE]]</f>
        <v>439900</v>
      </c>
      <c r="J157" s="140">
        <f>Tabla8[[#This Row],[VLR. PRODUCTOS]]*0.2</f>
        <v>87980</v>
      </c>
      <c r="K157" s="15">
        <f>'ABC COSTEO'!B$11</f>
        <v>40740.427791666669</v>
      </c>
      <c r="L157" s="15">
        <f>Tabla8[[#This Row],[DISTANCIA (km)]]*2*'ABC COSTEO'!B$21</f>
        <v>6202.8326086435554</v>
      </c>
      <c r="M157" s="15">
        <f>Tabla8[[#This Row],[Costo Variable]]+Tabla8[[#This Row],[Costo fijo]]</f>
        <v>46943.260400310224</v>
      </c>
      <c r="N157" s="15">
        <f>Tabla8[[#This Row],[Costo Total]]*Tabla8[[#This Row],[Numero de Transportes]]</f>
        <v>46943.260400310224</v>
      </c>
      <c r="O157" s="15">
        <f>(Tabla8[[#This Row],[VLR. Transporte unitario]]-Tabla8[[#This Row],[Costo Total]])*Tabla8[[#This Row],[Numero de Transportes]]</f>
        <v>-6943.2604003102242</v>
      </c>
      <c r="P157" s="15">
        <f>Tabla8[[#This Row],[Margen de productos]]+Tabla8[[#This Row],[Ganancia/Perdida]]</f>
        <v>81036.739599689783</v>
      </c>
      <c r="Q157" s="144">
        <f>(Tabla8[[#This Row],[Margen ]]/Tabla8[[#This Row],[Margen de productos]])-1</f>
        <v>-7.8918622417711082E-2</v>
      </c>
    </row>
    <row r="158" spans="1:17" ht="15" thickBot="1" x14ac:dyDescent="0.35">
      <c r="A158" s="146">
        <v>48240</v>
      </c>
      <c r="B158" s="3" t="str">
        <f>_xlfn.XLOOKUP(Tabla8[[#This Row],[N° FACTURA]],Tabla3[N° FACTURA],Tabla3[Corregimiento],"NA")</f>
        <v>El Carmen</v>
      </c>
      <c r="C158" s="3" t="str">
        <f>_xlfn.XLOOKUP(Tabla8[[#This Row],[N° FACTURA]],Tabla3[N° FACTURA],Tabla3[LUGAR ENVÍO],"NA")</f>
        <v>villa del toro</v>
      </c>
      <c r="D158" s="167">
        <f>_xlfn.XLOOKUP(Tabla8[[#This Row],[N° FACTURA]],Tabla3[N° FACTURA],Tabla3[DISTANCIA (km)],"NA")</f>
        <v>2.2797620000000003</v>
      </c>
      <c r="E158" s="3">
        <f>_xlfn.XLOOKUP(Tabla8[[#This Row],[N° FACTURA]],Tabla3[N° FACTURA],Tabla3[Numero de Transportes],"NA")</f>
        <v>1</v>
      </c>
      <c r="F158" s="15">
        <f>_xlfn.XLOOKUP(Tabla8[[#This Row],[N° FACTURA]],Tabla3[N° FACTURA],Tabla3[VLR. TRANSPORTE],"NA")</f>
        <v>40000</v>
      </c>
      <c r="G158" s="15">
        <f>Tabla8[[#This Row],[VLR. TRANSPORTE]]/Tabla8[[#This Row],[Numero de Transportes]]</f>
        <v>40000</v>
      </c>
      <c r="H158" s="15">
        <f>_xlfn.XLOOKUP(Tabla8[[#This Row],[N° FACTURA]],Tabla3[N° FACTURA],Tabla3[VLR. TOTAL FACT.],"NA")</f>
        <v>410500</v>
      </c>
      <c r="I158" s="96">
        <f>Tabla8[[#This Row],[VLR. TOTAL FACT.]]-Tabla8[[#This Row],[VLR. TRANSPORTE]]</f>
        <v>370500</v>
      </c>
      <c r="J158" s="140">
        <f>Tabla8[[#This Row],[VLR. PRODUCTOS]]*0.2</f>
        <v>74100</v>
      </c>
      <c r="K158" s="15">
        <f>'ABC COSTEO'!B$11</f>
        <v>40740.427791666669</v>
      </c>
      <c r="L158" s="15">
        <f>Tabla8[[#This Row],[DISTANCIA (km)]]*2*'ABC COSTEO'!B$21</f>
        <v>6202.8326086435554</v>
      </c>
      <c r="M158" s="15">
        <f>Tabla8[[#This Row],[Costo Variable]]+Tabla8[[#This Row],[Costo fijo]]</f>
        <v>46943.260400310224</v>
      </c>
      <c r="N158" s="15">
        <f>Tabla8[[#This Row],[Costo Total]]*Tabla8[[#This Row],[Numero de Transportes]]</f>
        <v>46943.260400310224</v>
      </c>
      <c r="O158" s="15">
        <f>(Tabla8[[#This Row],[VLR. Transporte unitario]]-Tabla8[[#This Row],[Costo Total]])*Tabla8[[#This Row],[Numero de Transportes]]</f>
        <v>-6943.2604003102242</v>
      </c>
      <c r="P158" s="15">
        <f>Tabla8[[#This Row],[Margen de productos]]+Tabla8[[#This Row],[Ganancia/Perdida]]</f>
        <v>67156.739599689783</v>
      </c>
      <c r="Q158" s="144">
        <f>(Tabla8[[#This Row],[Margen ]]/Tabla8[[#This Row],[Margen de productos]])-1</f>
        <v>-9.3701219977195938E-2</v>
      </c>
    </row>
    <row r="159" spans="1:17" ht="27.6" thickBot="1" x14ac:dyDescent="0.35">
      <c r="A159" s="3">
        <v>59128</v>
      </c>
      <c r="B159" s="3" t="str">
        <f>_xlfn.XLOOKUP(Tabla8[[#This Row],[N° FACTURA]],Tabla3[N° FACTURA],Tabla3[Corregimiento],"NA")</f>
        <v>El Carmen</v>
      </c>
      <c r="C159" s="3" t="str">
        <f>_xlfn.XLOOKUP(Tabla8[[#This Row],[N° FACTURA]],Tabla3[N° FACTURA],Tabla3[LUGAR ENVÍO],"NA")</f>
        <v xml:space="preserve">Parcelaón las palmas </v>
      </c>
      <c r="D159" s="167">
        <f>_xlfn.XLOOKUP(Tabla8[[#This Row],[N° FACTURA]],Tabla3[N° FACTURA],Tabla3[DISTANCIA (km)],"NA")</f>
        <v>2.6410000000000009</v>
      </c>
      <c r="E159" s="3">
        <f>_xlfn.XLOOKUP(Tabla8[[#This Row],[N° FACTURA]],Tabla3[N° FACTURA],Tabla3[Numero de Transportes],"NA")</f>
        <v>1</v>
      </c>
      <c r="F159" s="15">
        <f>_xlfn.XLOOKUP(Tabla8[[#This Row],[N° FACTURA]],Tabla3[N° FACTURA],Tabla3[VLR. TRANSPORTE],"NA")</f>
        <v>40000</v>
      </c>
      <c r="G159" s="15">
        <f>Tabla8[[#This Row],[VLR. TRANSPORTE]]/Tabla8[[#This Row],[Numero de Transportes]]</f>
        <v>40000</v>
      </c>
      <c r="H159" s="15">
        <f>_xlfn.XLOOKUP(Tabla8[[#This Row],[N° FACTURA]],Tabla3[N° FACTURA],Tabla3[VLR. TOTAL FACT.],"NA")</f>
        <v>665000</v>
      </c>
      <c r="I159" s="15">
        <f>Tabla8[[#This Row],[VLR. TOTAL FACT.]]-Tabla8[[#This Row],[VLR. TRANSPORTE]]</f>
        <v>625000</v>
      </c>
      <c r="J159" s="140">
        <f>Tabla8[[#This Row],[VLR. PRODUCTOS]]*0.2</f>
        <v>125000</v>
      </c>
      <c r="K159" s="15">
        <f>'ABC COSTEO'!B$11</f>
        <v>40740.427791666669</v>
      </c>
      <c r="L159" s="15">
        <f>Tabla8[[#This Row],[DISTANCIA (km)]]*2*'ABC COSTEO'!B$21</f>
        <v>7185.6978576832289</v>
      </c>
      <c r="M159" s="15">
        <f>Tabla8[[#This Row],[Costo Variable]]+Tabla8[[#This Row],[Costo fijo]]</f>
        <v>47926.125649349895</v>
      </c>
      <c r="N159" s="15">
        <f>Tabla8[[#This Row],[Costo Total]]*Tabla8[[#This Row],[Numero de Transportes]]</f>
        <v>47926.125649349895</v>
      </c>
      <c r="O159" s="15">
        <f>(Tabla8[[#This Row],[VLR. Transporte unitario]]-Tabla8[[#This Row],[Costo Total]])*Tabla8[[#This Row],[Numero de Transportes]]</f>
        <v>-7926.125649349895</v>
      </c>
      <c r="P159" s="15">
        <f>Tabla8[[#This Row],[Margen de productos]]+Tabla8[[#This Row],[Ganancia/Perdida]]</f>
        <v>117073.87435065011</v>
      </c>
      <c r="Q159" s="144">
        <f>(Tabla8[[#This Row],[Margen ]]/Tabla8[[#This Row],[Margen de productos]])-1</f>
        <v>-6.3409005194799195E-2</v>
      </c>
    </row>
    <row r="160" spans="1:17" ht="27.6" thickBot="1" x14ac:dyDescent="0.35">
      <c r="A160" s="3">
        <v>57099</v>
      </c>
      <c r="B160" s="3" t="str">
        <f>_xlfn.XLOOKUP(Tabla8[[#This Row],[N° FACTURA]],Tabla3[N° FACTURA],Tabla3[Corregimiento],"NA")</f>
        <v>El Salado</v>
      </c>
      <c r="C160" s="3" t="str">
        <f>_xlfn.XLOOKUP(Tabla8[[#This Row],[N° FACTURA]],Tabla3[N° FACTURA],Tabla3[LUGAR ENVÍO],"NA")</f>
        <v>San Jose del Salado</v>
      </c>
      <c r="D160" s="167">
        <f>_xlfn.XLOOKUP(Tabla8[[#This Row],[N° FACTURA]],Tabla3[N° FACTURA],Tabla3[DISTANCIA (km)],"NA")</f>
        <v>13.07</v>
      </c>
      <c r="E160" s="3">
        <f>_xlfn.XLOOKUP(Tabla8[[#This Row],[N° FACTURA]],Tabla3[N° FACTURA],Tabla3[Numero de Transportes],"NA")</f>
        <v>2</v>
      </c>
      <c r="F160" s="15">
        <f>_xlfn.XLOOKUP(Tabla8[[#This Row],[N° FACTURA]],Tabla3[N° FACTURA],Tabla3[VLR. TRANSPORTE],"NA")</f>
        <v>120000</v>
      </c>
      <c r="G160" s="15">
        <f>Tabla8[[#This Row],[VLR. TRANSPORTE]]/Tabla8[[#This Row],[Numero de Transportes]]</f>
        <v>60000</v>
      </c>
      <c r="H160" s="15">
        <f>_xlfn.XLOOKUP(Tabla8[[#This Row],[N° FACTURA]],Tabla3[N° FACTURA],Tabla3[VLR. TOTAL FACT.],"NA")</f>
        <v>1605000</v>
      </c>
      <c r="I160" s="15">
        <f>Tabla8[[#This Row],[VLR. TOTAL FACT.]]-Tabla8[[#This Row],[VLR. TRANSPORTE]]</f>
        <v>1485000</v>
      </c>
      <c r="J160" s="140">
        <f>Tabla8[[#This Row],[VLR. PRODUCTOS]]*0.2</f>
        <v>297000</v>
      </c>
      <c r="K160" s="15">
        <f>'ABC COSTEO'!B$11</f>
        <v>40740.427791666669</v>
      </c>
      <c r="L160" s="15">
        <f>Tabla8[[#This Row],[DISTANCIA (km)]]*2*'ABC COSTEO'!B$21</f>
        <v>35561.177962862464</v>
      </c>
      <c r="M160" s="15">
        <f>Tabla8[[#This Row],[Costo Variable]]+Tabla8[[#This Row],[Costo fijo]]</f>
        <v>76301.605754529126</v>
      </c>
      <c r="N160" s="15">
        <f>Tabla8[[#This Row],[Costo Total]]*Tabla8[[#This Row],[Numero de Transportes]]</f>
        <v>152603.21150905825</v>
      </c>
      <c r="O160" s="15">
        <f>(Tabla8[[#This Row],[VLR. Transporte unitario]]-Tabla8[[#This Row],[Costo Total]])*Tabla8[[#This Row],[Numero de Transportes]]</f>
        <v>-32603.211509058252</v>
      </c>
      <c r="P160" s="15">
        <f>Tabla8[[#This Row],[Margen de productos]]+Tabla8[[#This Row],[Ganancia/Perdida]]</f>
        <v>264396.78849094175</v>
      </c>
      <c r="Q160" s="144">
        <f>(Tabla8[[#This Row],[Margen ]]/Tabla8[[#This Row],[Margen de productos]])-1</f>
        <v>-0.10977512292612202</v>
      </c>
    </row>
    <row r="161" spans="1:17" ht="15" thickBot="1" x14ac:dyDescent="0.35">
      <c r="A161" s="3">
        <v>30513</v>
      </c>
      <c r="B161" s="3" t="str">
        <f>_xlfn.XLOOKUP(Tabla8[[#This Row],[N° FACTURA]],Tabla3[N° FACTURA],Tabla3[Corregimiento],"NA")</f>
        <v>El Carmen</v>
      </c>
      <c r="C161" s="3" t="str">
        <f>_xlfn.XLOOKUP(Tabla8[[#This Row],[N° FACTURA]],Tabla3[N° FACTURA],Tabla3[LUGAR ENVÍO],"NA")</f>
        <v>El Coscorron</v>
      </c>
      <c r="D161" s="167">
        <f>_xlfn.XLOOKUP(Tabla8[[#This Row],[N° FACTURA]],Tabla3[N° FACTURA],Tabla3[DISTANCIA (km)],"NA")</f>
        <v>2.649999999999999</v>
      </c>
      <c r="E161" s="3">
        <f>_xlfn.XLOOKUP(Tabla8[[#This Row],[N° FACTURA]],Tabla3[N° FACTURA],Tabla3[Numero de Transportes],"NA")</f>
        <v>2</v>
      </c>
      <c r="F161" s="15">
        <f>_xlfn.XLOOKUP(Tabla8[[#This Row],[N° FACTURA]],Tabla3[N° FACTURA],Tabla3[VLR. TRANSPORTE],"NA")</f>
        <v>160000</v>
      </c>
      <c r="G161" s="15">
        <f>Tabla8[[#This Row],[VLR. TRANSPORTE]]/Tabla8[[#This Row],[Numero de Transportes]]</f>
        <v>80000</v>
      </c>
      <c r="H161" s="15">
        <f>_xlfn.XLOOKUP(Tabla8[[#This Row],[N° FACTURA]],Tabla3[N° FACTURA],Tabla3[VLR. TOTAL FACT.],"NA")</f>
        <v>1595000</v>
      </c>
      <c r="I161" s="15">
        <f>Tabla8[[#This Row],[VLR. TOTAL FACT.]]-Tabla8[[#This Row],[VLR. TRANSPORTE]]</f>
        <v>1435000</v>
      </c>
      <c r="J161" s="140">
        <f>Tabla8[[#This Row],[VLR. PRODUCTOS]]*0.2</f>
        <v>287000</v>
      </c>
      <c r="K161" s="15">
        <f>'ABC COSTEO'!B$11</f>
        <v>40740.427791666669</v>
      </c>
      <c r="L161" s="15">
        <f>Tabla8[[#This Row],[DISTANCIA (km)]]*2*'ABC COSTEO'!B$21</f>
        <v>7210.185279386802</v>
      </c>
      <c r="M161" s="15">
        <f>Tabla8[[#This Row],[Costo Variable]]+Tabla8[[#This Row],[Costo fijo]]</f>
        <v>47950.613071053471</v>
      </c>
      <c r="N161" s="15">
        <f>Tabla8[[#This Row],[Costo Total]]*Tabla8[[#This Row],[Numero de Transportes]]</f>
        <v>95901.226142106942</v>
      </c>
      <c r="O161" s="15">
        <f>(Tabla8[[#This Row],[VLR. Transporte unitario]]-Tabla8[[#This Row],[Costo Total]])*Tabla8[[#This Row],[Numero de Transportes]]</f>
        <v>64098.773857893058</v>
      </c>
      <c r="P161" s="15">
        <f>Tabla8[[#This Row],[Margen de productos]]+Tabla8[[#This Row],[Ganancia/Perdida]]</f>
        <v>351098.77385789307</v>
      </c>
      <c r="Q161" s="144">
        <f>(Tabla8[[#This Row],[Margen ]]/Tabla8[[#This Row],[Margen de productos]])-1</f>
        <v>0.22334067546304204</v>
      </c>
    </row>
    <row r="162" spans="1:17" ht="15" thickBot="1" x14ac:dyDescent="0.35">
      <c r="A162" s="147">
        <v>48630</v>
      </c>
      <c r="B162" s="3" t="str">
        <f>_xlfn.XLOOKUP(Tabla8[[#This Row],[N° FACTURA]],Tabla3[N° FACTURA],Tabla3[Corregimiento],"NA")</f>
        <v>Borrero Ayerbe</v>
      </c>
      <c r="C162" s="3" t="str">
        <f>_xlfn.XLOOKUP(Tabla8[[#This Row],[N° FACTURA]],Tabla3[N° FACTURA],Tabla3[LUGAR ENVÍO],"NA")</f>
        <v>casa verde</v>
      </c>
      <c r="D162" s="167">
        <f>_xlfn.XLOOKUP(Tabla8[[#This Row],[N° FACTURA]],Tabla3[N° FACTURA],Tabla3[DISTANCIA (km)],"NA")</f>
        <v>4.6260000000000003</v>
      </c>
      <c r="E162" s="3">
        <f>_xlfn.XLOOKUP(Tabla8[[#This Row],[N° FACTURA]],Tabla3[N° FACTURA],Tabla3[Numero de Transportes],"NA")</f>
        <v>1</v>
      </c>
      <c r="F162" s="15">
        <f>_xlfn.XLOOKUP(Tabla8[[#This Row],[N° FACTURA]],Tabla3[N° FACTURA],Tabla3[VLR. TRANSPORTE],"NA")</f>
        <v>80000</v>
      </c>
      <c r="G162" s="15">
        <f>Tabla8[[#This Row],[VLR. TRANSPORTE]]/Tabla8[[#This Row],[Numero de Transportes]]</f>
        <v>80000</v>
      </c>
      <c r="H162" s="15">
        <f>_xlfn.XLOOKUP(Tabla8[[#This Row],[N° FACTURA]],Tabla3[N° FACTURA],Tabla3[VLR. TOTAL FACT.],"NA")</f>
        <v>273500</v>
      </c>
      <c r="I162" s="15">
        <f>Tabla8[[#This Row],[VLR. TOTAL FACT.]]-Tabla8[[#This Row],[VLR. TRANSPORTE]]</f>
        <v>193500</v>
      </c>
      <c r="J162" s="140">
        <f>Tabla8[[#This Row],[VLR. PRODUCTOS]]*0.2</f>
        <v>38700</v>
      </c>
      <c r="K162" s="15">
        <f>'ABC COSTEO'!B$11</f>
        <v>40740.427791666669</v>
      </c>
      <c r="L162" s="15">
        <f>Tabla8[[#This Row],[DISTANCIA (km)]]*2*'ABC COSTEO'!B$21</f>
        <v>12586.534755639004</v>
      </c>
      <c r="M162" s="15">
        <f>Tabla8[[#This Row],[Costo Variable]]+Tabla8[[#This Row],[Costo fijo]]</f>
        <v>53326.962547305673</v>
      </c>
      <c r="N162" s="15">
        <f>Tabla8[[#This Row],[Costo Total]]*Tabla8[[#This Row],[Numero de Transportes]]</f>
        <v>53326.962547305673</v>
      </c>
      <c r="O162" s="15">
        <f>(Tabla8[[#This Row],[VLR. Transporte unitario]]-Tabla8[[#This Row],[Costo Total]])*Tabla8[[#This Row],[Numero de Transportes]]</f>
        <v>26673.037452694327</v>
      </c>
      <c r="P162" s="15">
        <f>Tabla8[[#This Row],[Margen de productos]]+Tabla8[[#This Row],[Ganancia/Perdida]]</f>
        <v>65373.037452694327</v>
      </c>
      <c r="Q162" s="144">
        <f>(Tabla8[[#This Row],[Margen ]]/Tabla8[[#This Row],[Margen de productos]])-1</f>
        <v>0.68922577397142959</v>
      </c>
    </row>
    <row r="163" spans="1:17" ht="15" thickBot="1" x14ac:dyDescent="0.35">
      <c r="A163" s="3">
        <v>47250</v>
      </c>
      <c r="B163" s="3" t="str">
        <f>_xlfn.XLOOKUP(Tabla8[[#This Row],[N° FACTURA]],Tabla3[N° FACTURA],Tabla3[Corregimiento],"NA")</f>
        <v>Borrero Ayerbe</v>
      </c>
      <c r="C163" s="3" t="str">
        <f>_xlfn.XLOOKUP(Tabla8[[#This Row],[N° FACTURA]],Tabla3[N° FACTURA],Tabla3[LUGAR ENVÍO],"NA")</f>
        <v xml:space="preserve">KM 24 </v>
      </c>
      <c r="D163" s="167">
        <f>_xlfn.XLOOKUP(Tabla8[[#This Row],[N° FACTURA]],Tabla3[N° FACTURA],Tabla3[DISTANCIA (km)],"NA")</f>
        <v>6.9730000000000016</v>
      </c>
      <c r="E163" s="3">
        <f>_xlfn.XLOOKUP(Tabla8[[#This Row],[N° FACTURA]],Tabla3[N° FACTURA],Tabla3[Numero de Transportes],"NA")</f>
        <v>1</v>
      </c>
      <c r="F163" s="15">
        <f>_xlfn.XLOOKUP(Tabla8[[#This Row],[N° FACTURA]],Tabla3[N° FACTURA],Tabla3[VLR. TRANSPORTE],"NA")</f>
        <v>40000</v>
      </c>
      <c r="G163" s="15">
        <f>Tabla8[[#This Row],[VLR. TRANSPORTE]]/Tabla8[[#This Row],[Numero de Transportes]]</f>
        <v>40000</v>
      </c>
      <c r="H163" s="15">
        <f>_xlfn.XLOOKUP(Tabla8[[#This Row],[N° FACTURA]],Tabla3[N° FACTURA],Tabla3[VLR. TOTAL FACT.],"NA")</f>
        <v>618500</v>
      </c>
      <c r="I163" s="15">
        <f>Tabla8[[#This Row],[VLR. TOTAL FACT.]]-Tabla8[[#This Row],[VLR. TRANSPORTE]]</f>
        <v>578500</v>
      </c>
      <c r="J163" s="140">
        <f>Tabla8[[#This Row],[VLR. PRODUCTOS]]*0.2</f>
        <v>115700</v>
      </c>
      <c r="K163" s="15">
        <f>'ABC COSTEO'!B$11</f>
        <v>40740.427791666669</v>
      </c>
      <c r="L163" s="15">
        <f>Tabla8[[#This Row],[DISTANCIA (km)]]*2*'ABC COSTEO'!B$21</f>
        <v>18972.31017100536</v>
      </c>
      <c r="M163" s="15">
        <f>Tabla8[[#This Row],[Costo Variable]]+Tabla8[[#This Row],[Costo fijo]]</f>
        <v>59712.737962672029</v>
      </c>
      <c r="N163" s="15">
        <f>Tabla8[[#This Row],[Costo Total]]*Tabla8[[#This Row],[Numero de Transportes]]</f>
        <v>59712.737962672029</v>
      </c>
      <c r="O163" s="15">
        <f>(Tabla8[[#This Row],[VLR. Transporte unitario]]-Tabla8[[#This Row],[Costo Total]])*Tabla8[[#This Row],[Numero de Transportes]]</f>
        <v>-19712.737962672029</v>
      </c>
      <c r="P163" s="15">
        <f>Tabla8[[#This Row],[Margen de productos]]+Tabla8[[#This Row],[Ganancia/Perdida]]</f>
        <v>95987.262037327979</v>
      </c>
      <c r="Q163" s="144">
        <f>(Tabla8[[#This Row],[Margen ]]/Tabla8[[#This Row],[Margen de productos]])-1</f>
        <v>-0.17037802906371668</v>
      </c>
    </row>
    <row r="164" spans="1:17" ht="15" thickBot="1" x14ac:dyDescent="0.35">
      <c r="A164" s="3">
        <v>58574</v>
      </c>
      <c r="B164" s="3" t="str">
        <f>_xlfn.XLOOKUP(Tabla8[[#This Row],[N° FACTURA]],Tabla3[N° FACTURA],Tabla3[Corregimiento],"NA")</f>
        <v>Borrero Ayerbe</v>
      </c>
      <c r="C164" s="3" t="str">
        <f>_xlfn.XLOOKUP(Tabla8[[#This Row],[N° FACTURA]],Tabla3[N° FACTURA],Tabla3[LUGAR ENVÍO],"NA")</f>
        <v>Chipre</v>
      </c>
      <c r="D164" s="167">
        <f>_xlfn.XLOOKUP(Tabla8[[#This Row],[N° FACTURA]],Tabla3[N° FACTURA],Tabla3[DISTANCIA (km)],"NA")</f>
        <v>4.7809999999999988</v>
      </c>
      <c r="E164" s="3">
        <f>_xlfn.XLOOKUP(Tabla8[[#This Row],[N° FACTURA]],Tabla3[N° FACTURA],Tabla3[Numero de Transportes],"NA")</f>
        <v>1</v>
      </c>
      <c r="F164" s="15">
        <f>_xlfn.XLOOKUP(Tabla8[[#This Row],[N° FACTURA]],Tabla3[N° FACTURA],Tabla3[VLR. TRANSPORTE],"NA")</f>
        <v>40000</v>
      </c>
      <c r="G164" s="15">
        <f>Tabla8[[#This Row],[VLR. TRANSPORTE]]/Tabla8[[#This Row],[Numero de Transportes]]</f>
        <v>40000</v>
      </c>
      <c r="H164" s="15">
        <f>_xlfn.XLOOKUP(Tabla8[[#This Row],[N° FACTURA]],Tabla3[N° FACTURA],Tabla3[VLR. TOTAL FACT.],"NA")</f>
        <v>482000</v>
      </c>
      <c r="I164" s="15">
        <f>Tabla8[[#This Row],[VLR. TOTAL FACT.]]-Tabla8[[#This Row],[VLR. TRANSPORTE]]</f>
        <v>442000</v>
      </c>
      <c r="J164" s="140">
        <f>Tabla8[[#This Row],[VLR. PRODUCTOS]]*0.2</f>
        <v>88400</v>
      </c>
      <c r="K164" s="15">
        <f>'ABC COSTEO'!B$11</f>
        <v>40740.427791666669</v>
      </c>
      <c r="L164" s="15">
        <f>Tabla8[[#This Row],[DISTANCIA (km)]]*2*'ABC COSTEO'!B$21</f>
        <v>13008.262573867285</v>
      </c>
      <c r="M164" s="15">
        <f>Tabla8[[#This Row],[Costo Variable]]+Tabla8[[#This Row],[Costo fijo]]</f>
        <v>53748.690365533956</v>
      </c>
      <c r="N164" s="15">
        <f>Tabla8[[#This Row],[Costo Total]]*Tabla8[[#This Row],[Numero de Transportes]]</f>
        <v>53748.690365533956</v>
      </c>
      <c r="O164" s="15">
        <f>(Tabla8[[#This Row],[VLR. Transporte unitario]]-Tabla8[[#This Row],[Costo Total]])*Tabla8[[#This Row],[Numero de Transportes]]</f>
        <v>-13748.690365533956</v>
      </c>
      <c r="P164" s="15">
        <f>Tabla8[[#This Row],[Margen de productos]]+Tabla8[[#This Row],[Ganancia/Perdida]]</f>
        <v>74651.309634466044</v>
      </c>
      <c r="Q164" s="144">
        <f>(Tabla8[[#This Row],[Margen ]]/Tabla8[[#This Row],[Margen de productos]])-1</f>
        <v>-0.155528171555814</v>
      </c>
    </row>
    <row r="165" spans="1:17" ht="15" thickBot="1" x14ac:dyDescent="0.35">
      <c r="A165" s="146">
        <v>58344</v>
      </c>
      <c r="B165" s="3" t="str">
        <f>_xlfn.XLOOKUP(Tabla8[[#This Row],[N° FACTURA]],Tabla3[N° FACTURA],Tabla3[Corregimiento],"NA")</f>
        <v>Borrero Ayerbe</v>
      </c>
      <c r="C165" s="3" t="str">
        <f>_xlfn.XLOOKUP(Tabla8[[#This Row],[N° FACTURA]],Tabla3[N° FACTURA],Tabla3[LUGAR ENVÍO],"NA")</f>
        <v xml:space="preserve">Salida al carmen </v>
      </c>
      <c r="D165" s="167">
        <f>_xlfn.XLOOKUP(Tabla8[[#This Row],[N° FACTURA]],Tabla3[N° FACTURA],Tabla3[DISTANCIA (km)],"NA")</f>
        <v>2.3290000000000006</v>
      </c>
      <c r="E165" s="3">
        <f>_xlfn.XLOOKUP(Tabla8[[#This Row],[N° FACTURA]],Tabla3[N° FACTURA],Tabla3[Numero de Transportes],"NA")</f>
        <v>1</v>
      </c>
      <c r="F165" s="15">
        <f>_xlfn.XLOOKUP(Tabla8[[#This Row],[N° FACTURA]],Tabla3[N° FACTURA],Tabla3[VLR. TRANSPORTE],"NA")</f>
        <v>30000</v>
      </c>
      <c r="G165" s="15">
        <f>Tabla8[[#This Row],[VLR. TRANSPORTE]]/Tabla8[[#This Row],[Numero de Transportes]]</f>
        <v>30000</v>
      </c>
      <c r="H165" s="15">
        <f>_xlfn.XLOOKUP(Tabla8[[#This Row],[N° FACTURA]],Tabla3[N° FACTURA],Tabla3[VLR. TOTAL FACT.],"NA")</f>
        <v>612900</v>
      </c>
      <c r="I165" s="96">
        <f>Tabla8[[#This Row],[VLR. TOTAL FACT.]]-Tabla8[[#This Row],[VLR. TRANSPORTE]]</f>
        <v>582900</v>
      </c>
      <c r="J165" s="140">
        <f>Tabla8[[#This Row],[VLR. PRODUCTOS]]*0.2</f>
        <v>116580</v>
      </c>
      <c r="K165" s="15">
        <f>'ABC COSTEO'!B$11</f>
        <v>40740.427791666669</v>
      </c>
      <c r="L165" s="15">
        <f>Tabla8[[#This Row],[DISTANCIA (km)]]*2*'ABC COSTEO'!B$21</f>
        <v>6336.8005719591974</v>
      </c>
      <c r="M165" s="15">
        <f>Tabla8[[#This Row],[Costo Variable]]+Tabla8[[#This Row],[Costo fijo]]</f>
        <v>47077.228363625865</v>
      </c>
      <c r="N165" s="15">
        <f>Tabla8[[#This Row],[Costo Total]]*Tabla8[[#This Row],[Numero de Transportes]]</f>
        <v>47077.228363625865</v>
      </c>
      <c r="O165" s="15">
        <f>(Tabla8[[#This Row],[VLR. Transporte unitario]]-Tabla8[[#This Row],[Costo Total]])*Tabla8[[#This Row],[Numero de Transportes]]</f>
        <v>-17077.228363625865</v>
      </c>
      <c r="P165" s="15">
        <f>Tabla8[[#This Row],[Margen de productos]]+Tabla8[[#This Row],[Ganancia/Perdida]]</f>
        <v>99502.771636374135</v>
      </c>
      <c r="Q165" s="144">
        <f>(Tabla8[[#This Row],[Margen ]]/Tabla8[[#This Row],[Margen de productos]])-1</f>
        <v>-0.14648506059037458</v>
      </c>
    </row>
    <row r="166" spans="1:17" ht="15" thickBot="1" x14ac:dyDescent="0.35">
      <c r="A166" s="3">
        <v>46906</v>
      </c>
      <c r="B166" s="3" t="str">
        <f>_xlfn.XLOOKUP(Tabla8[[#This Row],[N° FACTURA]],Tabla3[N° FACTURA],Tabla3[Corregimiento],"NA")</f>
        <v>El Carmen</v>
      </c>
      <c r="C166" s="3" t="str">
        <f>_xlfn.XLOOKUP(Tabla8[[#This Row],[N° FACTURA]],Tabla3[N° FACTURA],Tabla3[LUGAR ENVÍO],"NA")</f>
        <v>Tortolas</v>
      </c>
      <c r="D166" s="167">
        <f>_xlfn.XLOOKUP(Tabla8[[#This Row],[N° FACTURA]],Tabla3[N° FACTURA],Tabla3[DISTANCIA (km)],"NA")</f>
        <v>5.7570000000000006</v>
      </c>
      <c r="E166" s="3">
        <f>_xlfn.XLOOKUP(Tabla8[[#This Row],[N° FACTURA]],Tabla3[N° FACTURA],Tabla3[Numero de Transportes],"NA")</f>
        <v>2</v>
      </c>
      <c r="F166" s="15">
        <f>_xlfn.XLOOKUP(Tabla8[[#This Row],[N° FACTURA]],Tabla3[N° FACTURA],Tabla3[VLR. TRANSPORTE],"NA")</f>
        <v>160000</v>
      </c>
      <c r="G166" s="15">
        <f>Tabla8[[#This Row],[VLR. TRANSPORTE]]/Tabla8[[#This Row],[Numero de Transportes]]</f>
        <v>80000</v>
      </c>
      <c r="H166" s="15">
        <f>_xlfn.XLOOKUP(Tabla8[[#This Row],[N° FACTURA]],Tabla3[N° FACTURA],Tabla3[VLR. TOTAL FACT.],"NA")</f>
        <v>1915000</v>
      </c>
      <c r="I166" s="15">
        <f>Tabla8[[#This Row],[VLR. TOTAL FACT.]]-Tabla8[[#This Row],[VLR. TRANSPORTE]]</f>
        <v>1755000</v>
      </c>
      <c r="J166" s="140">
        <f>Tabla8[[#This Row],[VLR. PRODUCTOS]]*0.2</f>
        <v>351000</v>
      </c>
      <c r="K166" s="15">
        <f>'ABC COSTEO'!B$11</f>
        <v>40740.427791666669</v>
      </c>
      <c r="L166" s="15">
        <f>Tabla8[[#This Row],[DISTANCIA (km)]]*2*'ABC COSTEO'!B$21</f>
        <v>15663.787416388619</v>
      </c>
      <c r="M166" s="15">
        <f>Tabla8[[#This Row],[Costo Variable]]+Tabla8[[#This Row],[Costo fijo]]</f>
        <v>56404.215208055291</v>
      </c>
      <c r="N166" s="15">
        <f>Tabla8[[#This Row],[Costo Total]]*Tabla8[[#This Row],[Numero de Transportes]]</f>
        <v>112808.43041611058</v>
      </c>
      <c r="O166" s="15">
        <f>(Tabla8[[#This Row],[VLR. Transporte unitario]]-Tabla8[[#This Row],[Costo Total]])*Tabla8[[#This Row],[Numero de Transportes]]</f>
        <v>47191.569583889417</v>
      </c>
      <c r="P166" s="15">
        <f>Tabla8[[#This Row],[Margen de productos]]+Tabla8[[#This Row],[Ganancia/Perdida]]</f>
        <v>398191.56958388945</v>
      </c>
      <c r="Q166" s="144">
        <f>(Tabla8[[#This Row],[Margen ]]/Tabla8[[#This Row],[Margen de productos]])-1</f>
        <v>0.13444891619341726</v>
      </c>
    </row>
    <row r="167" spans="1:17" ht="15" thickBot="1" x14ac:dyDescent="0.35">
      <c r="A167" s="93">
        <v>52272</v>
      </c>
      <c r="B167" s="3" t="str">
        <f>_xlfn.XLOOKUP(Tabla8[[#This Row],[N° FACTURA]],Tabla3[N° FACTURA],Tabla3[Corregimiento],"NA")</f>
        <v>Borrero Ayerbe</v>
      </c>
      <c r="C167" s="3" t="str">
        <f>_xlfn.XLOOKUP(Tabla8[[#This Row],[N° FACTURA]],Tabla3[N° FACTURA],Tabla3[LUGAR ENVÍO],"NA")</f>
        <v>la florida</v>
      </c>
      <c r="D167" s="167">
        <f>_xlfn.XLOOKUP(Tabla8[[#This Row],[N° FACTURA]],Tabla3[N° FACTURA],Tabla3[DISTANCIA (km)],"NA")</f>
        <v>1.4669269999999999</v>
      </c>
      <c r="E167" s="3">
        <f>_xlfn.XLOOKUP(Tabla8[[#This Row],[N° FACTURA]],Tabla3[N° FACTURA],Tabla3[Numero de Transportes],"NA")</f>
        <v>1</v>
      </c>
      <c r="F167" s="15">
        <f>_xlfn.XLOOKUP(Tabla8[[#This Row],[N° FACTURA]],Tabla3[N° FACTURA],Tabla3[VLR. TRANSPORTE],"NA")</f>
        <v>20000</v>
      </c>
      <c r="G167" s="15">
        <f>Tabla8[[#This Row],[VLR. TRANSPORTE]]/Tabla8[[#This Row],[Numero de Transportes]]</f>
        <v>20000</v>
      </c>
      <c r="H167" s="15">
        <f>_xlfn.XLOOKUP(Tabla8[[#This Row],[N° FACTURA]],Tabla3[N° FACTURA],Tabla3[VLR. TOTAL FACT.],"NA")</f>
        <v>386650</v>
      </c>
      <c r="I167" s="15">
        <f>Tabla8[[#This Row],[VLR. TOTAL FACT.]]-Tabla8[[#This Row],[VLR. TRANSPORTE]]</f>
        <v>366650</v>
      </c>
      <c r="J167" s="140">
        <f>Tabla8[[#This Row],[VLR. PRODUCTOS]]*0.2</f>
        <v>73330</v>
      </c>
      <c r="K167" s="15">
        <f>'ABC COSTEO'!B$11</f>
        <v>40740.427791666669</v>
      </c>
      <c r="L167" s="15">
        <f>Tabla8[[#This Row],[DISTANCIA (km)]]*2*'ABC COSTEO'!B$21</f>
        <v>3991.2511174849233</v>
      </c>
      <c r="M167" s="15">
        <f>Tabla8[[#This Row],[Costo Variable]]+Tabla8[[#This Row],[Costo fijo]]</f>
        <v>44731.678909151589</v>
      </c>
      <c r="N167" s="15">
        <f>Tabla8[[#This Row],[Costo Total]]*Tabla8[[#This Row],[Numero de Transportes]]</f>
        <v>44731.678909151589</v>
      </c>
      <c r="O167" s="15">
        <f>(Tabla8[[#This Row],[VLR. Transporte unitario]]-Tabla8[[#This Row],[Costo Total]])*Tabla8[[#This Row],[Numero de Transportes]]</f>
        <v>-24731.678909151589</v>
      </c>
      <c r="P167" s="15">
        <f>Tabla8[[#This Row],[Margen de productos]]+Tabla8[[#This Row],[Ganancia/Perdida]]</f>
        <v>48598.321090848411</v>
      </c>
      <c r="Q167" s="144">
        <f>(Tabla8[[#This Row],[Margen ]]/Tabla8[[#This Row],[Margen de productos]])-1</f>
        <v>-0.3372654971928486</v>
      </c>
    </row>
    <row r="168" spans="1:17" ht="15" thickBot="1" x14ac:dyDescent="0.35">
      <c r="A168" s="3">
        <v>57376</v>
      </c>
      <c r="B168" s="3" t="str">
        <f>_xlfn.XLOOKUP(Tabla8[[#This Row],[N° FACTURA]],Tabla3[N° FACTURA],Tabla3[Corregimiento],"NA")</f>
        <v>Borrero Ayerbe</v>
      </c>
      <c r="C168" s="3" t="str">
        <f>_xlfn.XLOOKUP(Tabla8[[#This Row],[N° FACTURA]],Tabla3[N° FACTURA],Tabla3[LUGAR ENVÍO],"NA")</f>
        <v>KM 27</v>
      </c>
      <c r="D168" s="167">
        <f>_xlfn.XLOOKUP(Tabla8[[#This Row],[N° FACTURA]],Tabla3[N° FACTURA],Tabla3[DISTANCIA (km)],"NA")</f>
        <v>4.5839430000000005</v>
      </c>
      <c r="E168" s="3">
        <f>_xlfn.XLOOKUP(Tabla8[[#This Row],[N° FACTURA]],Tabla3[N° FACTURA],Tabla3[Numero de Transportes],"NA")</f>
        <v>1</v>
      </c>
      <c r="F168" s="15">
        <f>_xlfn.XLOOKUP(Tabla8[[#This Row],[N° FACTURA]],Tabla3[N° FACTURA],Tabla3[VLR. TRANSPORTE],"NA")</f>
        <v>20000</v>
      </c>
      <c r="G168" s="15">
        <f>Tabla8[[#This Row],[VLR. TRANSPORTE]]/Tabla8[[#This Row],[Numero de Transportes]]</f>
        <v>20000</v>
      </c>
      <c r="H168" s="15">
        <f>_xlfn.XLOOKUP(Tabla8[[#This Row],[N° FACTURA]],Tabla3[N° FACTURA],Tabla3[VLR. TOTAL FACT.],"NA")</f>
        <v>615300</v>
      </c>
      <c r="I168" s="15">
        <f>Tabla8[[#This Row],[VLR. TOTAL FACT.]]-Tabla8[[#This Row],[VLR. TRANSPORTE]]</f>
        <v>595300</v>
      </c>
      <c r="J168" s="140">
        <f>Tabla8[[#This Row],[VLR. PRODUCTOS]]*0.2</f>
        <v>119060</v>
      </c>
      <c r="K168" s="15">
        <f>'ABC COSTEO'!B$11</f>
        <v>40740.427791666669</v>
      </c>
      <c r="L168" s="15">
        <f>Tabla8[[#This Row],[DISTANCIA (km)]]*2*'ABC COSTEO'!B$21</f>
        <v>12472.105034018185</v>
      </c>
      <c r="M168" s="15">
        <f>Tabla8[[#This Row],[Costo Variable]]+Tabla8[[#This Row],[Costo fijo]]</f>
        <v>53212.532825684852</v>
      </c>
      <c r="N168" s="15">
        <f>Tabla8[[#This Row],[Costo Total]]*Tabla8[[#This Row],[Numero de Transportes]]</f>
        <v>53212.532825684852</v>
      </c>
      <c r="O168" s="15">
        <f>(Tabla8[[#This Row],[VLR. Transporte unitario]]-Tabla8[[#This Row],[Costo Total]])*Tabla8[[#This Row],[Numero de Transportes]]</f>
        <v>-33212.532825684852</v>
      </c>
      <c r="P168" s="15">
        <f>Tabla8[[#This Row],[Margen de productos]]+Tabla8[[#This Row],[Ganancia/Perdida]]</f>
        <v>85847.467174315156</v>
      </c>
      <c r="Q168" s="144">
        <f>(Tabla8[[#This Row],[Margen ]]/Tabla8[[#This Row],[Margen de productos]])-1</f>
        <v>-0.27895626428426712</v>
      </c>
    </row>
    <row r="169" spans="1:17" ht="15" thickBot="1" x14ac:dyDescent="0.35">
      <c r="A169" s="3">
        <v>59254</v>
      </c>
      <c r="B169" s="3" t="str">
        <f>_xlfn.XLOOKUP(Tabla8[[#This Row],[N° FACTURA]],Tabla3[N° FACTURA],Tabla3[Corregimiento],"NA")</f>
        <v>El Carmen</v>
      </c>
      <c r="C169" s="3" t="str">
        <f>_xlfn.XLOOKUP(Tabla8[[#This Row],[N° FACTURA]],Tabla3[N° FACTURA],Tabla3[LUGAR ENVÍO],"NA")</f>
        <v>El Coscorron</v>
      </c>
      <c r="D169" s="167">
        <f>_xlfn.XLOOKUP(Tabla8[[#This Row],[N° FACTURA]],Tabla3[N° FACTURA],Tabla3[DISTANCIA (km)],"NA")</f>
        <v>2.649999999999999</v>
      </c>
      <c r="E169" s="3">
        <f>_xlfn.XLOOKUP(Tabla8[[#This Row],[N° FACTURA]],Tabla3[N° FACTURA],Tabla3[Numero de Transportes],"NA")</f>
        <v>1</v>
      </c>
      <c r="F169" s="15">
        <f>_xlfn.XLOOKUP(Tabla8[[#This Row],[N° FACTURA]],Tabla3[N° FACTURA],Tabla3[VLR. TRANSPORTE],"NA")</f>
        <v>80000</v>
      </c>
      <c r="G169" s="15">
        <f>Tabla8[[#This Row],[VLR. TRANSPORTE]]/Tabla8[[#This Row],[Numero de Transportes]]</f>
        <v>80000</v>
      </c>
      <c r="H169" s="15">
        <f>_xlfn.XLOOKUP(Tabla8[[#This Row],[N° FACTURA]],Tabla3[N° FACTURA],Tabla3[VLR. TOTAL FACT.],"NA")</f>
        <v>932200</v>
      </c>
      <c r="I169" s="15">
        <f>Tabla8[[#This Row],[VLR. TOTAL FACT.]]-Tabla8[[#This Row],[VLR. TRANSPORTE]]</f>
        <v>852200</v>
      </c>
      <c r="J169" s="140">
        <f>Tabla8[[#This Row],[VLR. PRODUCTOS]]*0.2</f>
        <v>170440</v>
      </c>
      <c r="K169" s="15">
        <f>'ABC COSTEO'!B$11</f>
        <v>40740.427791666669</v>
      </c>
      <c r="L169" s="15">
        <f>Tabla8[[#This Row],[DISTANCIA (km)]]*2*'ABC COSTEO'!B$21</f>
        <v>7210.185279386802</v>
      </c>
      <c r="M169" s="15">
        <f>Tabla8[[#This Row],[Costo Variable]]+Tabla8[[#This Row],[Costo fijo]]</f>
        <v>47950.613071053471</v>
      </c>
      <c r="N169" s="15">
        <f>Tabla8[[#This Row],[Costo Total]]*Tabla8[[#This Row],[Numero de Transportes]]</f>
        <v>47950.613071053471</v>
      </c>
      <c r="O169" s="15">
        <f>(Tabla8[[#This Row],[VLR. Transporte unitario]]-Tabla8[[#This Row],[Costo Total]])*Tabla8[[#This Row],[Numero de Transportes]]</f>
        <v>32049.386928946529</v>
      </c>
      <c r="P169" s="15">
        <f>Tabla8[[#This Row],[Margen de productos]]+Tabla8[[#This Row],[Ganancia/Perdida]]</f>
        <v>202489.38692894654</v>
      </c>
      <c r="Q169" s="144">
        <f>(Tabla8[[#This Row],[Margen ]]/Tabla8[[#This Row],[Margen de productos]])-1</f>
        <v>0.18803911598771728</v>
      </c>
    </row>
    <row r="170" spans="1:17" ht="27.6" thickBot="1" x14ac:dyDescent="0.35">
      <c r="A170" s="3">
        <v>48216</v>
      </c>
      <c r="B170" s="3" t="str">
        <f>_xlfn.XLOOKUP(Tabla8[[#This Row],[N° FACTURA]],Tabla3[N° FACTURA],Tabla3[Corregimiento],"NA")</f>
        <v>El Carmen</v>
      </c>
      <c r="C170" s="3" t="str">
        <f>_xlfn.XLOOKUP(Tabla8[[#This Row],[N° FACTURA]],Tabla3[N° FACTURA],Tabla3[LUGAR ENVÍO],"NA")</f>
        <v xml:space="preserve">Las villas del carmen </v>
      </c>
      <c r="D170" s="167">
        <f>_xlfn.XLOOKUP(Tabla8[[#This Row],[N° FACTURA]],Tabla3[N° FACTURA],Tabla3[DISTANCIA (km)],"NA")</f>
        <v>3.5070000000000001</v>
      </c>
      <c r="E170" s="3">
        <f>_xlfn.XLOOKUP(Tabla8[[#This Row],[N° FACTURA]],Tabla3[N° FACTURA],Tabla3[Numero de Transportes],"NA")</f>
        <v>1</v>
      </c>
      <c r="F170" s="15">
        <f>_xlfn.XLOOKUP(Tabla8[[#This Row],[N° FACTURA]],Tabla3[N° FACTURA],Tabla3[VLR. TRANSPORTE],"NA")</f>
        <v>30000</v>
      </c>
      <c r="G170" s="15">
        <f>Tabla8[[#This Row],[VLR. TRANSPORTE]]/Tabla8[[#This Row],[Numero de Transportes]]</f>
        <v>30000</v>
      </c>
      <c r="H170" s="15">
        <f>_xlfn.XLOOKUP(Tabla8[[#This Row],[N° FACTURA]],Tabla3[N° FACTURA],Tabla3[VLR. TOTAL FACT.],"NA")</f>
        <v>660000</v>
      </c>
      <c r="I170" s="15">
        <f>Tabla8[[#This Row],[VLR. TOTAL FACT.]]-Tabla8[[#This Row],[VLR. TRANSPORTE]]</f>
        <v>630000</v>
      </c>
      <c r="J170" s="140">
        <f>Tabla8[[#This Row],[VLR. PRODUCTOS]]*0.2</f>
        <v>126000</v>
      </c>
      <c r="K170" s="15">
        <f>'ABC COSTEO'!B$11</f>
        <v>40740.427791666669</v>
      </c>
      <c r="L170" s="15">
        <f>Tabla8[[#This Row],[DISTANCIA (km)]]*2*'ABC COSTEO'!B$21</f>
        <v>9541.9319904941603</v>
      </c>
      <c r="M170" s="15">
        <f>Tabla8[[#This Row],[Costo Variable]]+Tabla8[[#This Row],[Costo fijo]]</f>
        <v>50282.359782160827</v>
      </c>
      <c r="N170" s="15">
        <f>Tabla8[[#This Row],[Costo Total]]*Tabla8[[#This Row],[Numero de Transportes]]</f>
        <v>50282.359782160827</v>
      </c>
      <c r="O170" s="15">
        <f>(Tabla8[[#This Row],[VLR. Transporte unitario]]-Tabla8[[#This Row],[Costo Total]])*Tabla8[[#This Row],[Numero de Transportes]]</f>
        <v>-20282.359782160827</v>
      </c>
      <c r="P170" s="15">
        <f>Tabla8[[#This Row],[Margen de productos]]+Tabla8[[#This Row],[Ganancia/Perdida]]</f>
        <v>105717.64021783917</v>
      </c>
      <c r="Q170" s="144">
        <f>(Tabla8[[#This Row],[Margen ]]/Tabla8[[#This Row],[Margen de productos]])-1</f>
        <v>-0.16097110938222881</v>
      </c>
    </row>
    <row r="171" spans="1:17" ht="15" thickBot="1" x14ac:dyDescent="0.35">
      <c r="A171" s="146">
        <v>41501</v>
      </c>
      <c r="B171" s="3" t="str">
        <f>_xlfn.XLOOKUP(Tabla8[[#This Row],[N° FACTURA]],Tabla3[N° FACTURA],Tabla3[Corregimiento],"NA")</f>
        <v>El Limonar</v>
      </c>
      <c r="C171" s="3" t="str">
        <f>_xlfn.XLOOKUP(Tabla8[[#This Row],[N° FACTURA]],Tabla3[N° FACTURA],Tabla3[LUGAR ENVÍO],"NA")</f>
        <v>palo alto</v>
      </c>
      <c r="D171" s="167">
        <f>_xlfn.XLOOKUP(Tabla8[[#This Row],[N° FACTURA]],Tabla3[N° FACTURA],Tabla3[DISTANCIA (km)],"NA")</f>
        <v>4.4759999999999982</v>
      </c>
      <c r="E171" s="3">
        <f>_xlfn.XLOOKUP(Tabla8[[#This Row],[N° FACTURA]],Tabla3[N° FACTURA],Tabla3[Numero de Transportes],"NA")</f>
        <v>3</v>
      </c>
      <c r="F171" s="15">
        <f>_xlfn.XLOOKUP(Tabla8[[#This Row],[N° FACTURA]],Tabla3[N° FACTURA],Tabla3[VLR. TRANSPORTE],"NA")</f>
        <v>225000</v>
      </c>
      <c r="G171" s="15">
        <f>Tabla8[[#This Row],[VLR. TRANSPORTE]]/Tabla8[[#This Row],[Numero de Transportes]]</f>
        <v>75000</v>
      </c>
      <c r="H171" s="15">
        <f>_xlfn.XLOOKUP(Tabla8[[#This Row],[N° FACTURA]],Tabla3[N° FACTURA],Tabla3[VLR. TOTAL FACT.],"NA")</f>
        <v>593900</v>
      </c>
      <c r="I171" s="15">
        <f>Tabla8[[#This Row],[VLR. TOTAL FACT.]]-Tabla8[[#This Row],[VLR. TRANSPORTE]]</f>
        <v>368900</v>
      </c>
      <c r="J171" s="140">
        <f>Tabla8[[#This Row],[VLR. PRODUCTOS]]*0.2</f>
        <v>73780</v>
      </c>
      <c r="K171" s="15">
        <f>'ABC COSTEO'!B$11</f>
        <v>40740.427791666669</v>
      </c>
      <c r="L171" s="15">
        <f>Tabla8[[#This Row],[DISTANCIA (km)]]*2*'ABC COSTEO'!B$21</f>
        <v>12178.411060579368</v>
      </c>
      <c r="M171" s="15">
        <f>Tabla8[[#This Row],[Costo Variable]]+Tabla8[[#This Row],[Costo fijo]]</f>
        <v>52918.838852246037</v>
      </c>
      <c r="N171" s="15">
        <f>Tabla8[[#This Row],[Costo Total]]*Tabla8[[#This Row],[Numero de Transportes]]</f>
        <v>158756.51655673812</v>
      </c>
      <c r="O171" s="15">
        <f>(Tabla8[[#This Row],[VLR. Transporte unitario]]-Tabla8[[#This Row],[Costo Total]])*Tabla8[[#This Row],[Numero de Transportes]]</f>
        <v>66243.483443261881</v>
      </c>
      <c r="P171" s="15">
        <f>Tabla8[[#This Row],[Margen de productos]]+Tabla8[[#This Row],[Ganancia/Perdida]]</f>
        <v>140023.48344326188</v>
      </c>
      <c r="Q171" s="144">
        <f>(Tabla8[[#This Row],[Margen ]]/Tabla8[[#This Row],[Margen de productos]])-1</f>
        <v>0.89785149692683497</v>
      </c>
    </row>
    <row r="172" spans="1:17" ht="15" thickBot="1" x14ac:dyDescent="0.35">
      <c r="A172" s="93">
        <v>59040</v>
      </c>
      <c r="B172" s="3" t="str">
        <f>_xlfn.XLOOKUP(Tabla8[[#This Row],[N° FACTURA]],Tabla3[N° FACTURA],Tabla3[Corregimiento],"NA")</f>
        <v>Borrero Ayerbe</v>
      </c>
      <c r="C172" s="3" t="str">
        <f>_xlfn.XLOOKUP(Tabla8[[#This Row],[N° FACTURA]],Tabla3[N° FACTURA],Tabla3[LUGAR ENVÍO],"NA")</f>
        <v>Panamericano</v>
      </c>
      <c r="D172" s="167">
        <f>_xlfn.XLOOKUP(Tabla8[[#This Row],[N° FACTURA]],Tabla3[N° FACTURA],Tabla3[DISTANCIA (km)],"NA")</f>
        <v>1.1270000000000002</v>
      </c>
      <c r="E172" s="3">
        <f>_xlfn.XLOOKUP(Tabla8[[#This Row],[N° FACTURA]],Tabla3[N° FACTURA],Tabla3[Numero de Transportes],"NA")</f>
        <v>1</v>
      </c>
      <c r="F172" s="15">
        <f>_xlfn.XLOOKUP(Tabla8[[#This Row],[N° FACTURA]],Tabla3[N° FACTURA],Tabla3[VLR. TRANSPORTE],"NA")</f>
        <v>10000</v>
      </c>
      <c r="G172" s="15">
        <f>Tabla8[[#This Row],[VLR. TRANSPORTE]]/Tabla8[[#This Row],[Numero de Transportes]]</f>
        <v>10000</v>
      </c>
      <c r="H172" s="15">
        <f>_xlfn.XLOOKUP(Tabla8[[#This Row],[N° FACTURA]],Tabla3[N° FACTURA],Tabla3[VLR. TOTAL FACT.],"NA")</f>
        <v>207000</v>
      </c>
      <c r="I172" s="15">
        <f>Tabla8[[#This Row],[VLR. TOTAL FACT.]]-Tabla8[[#This Row],[VLR. TRANSPORTE]]</f>
        <v>197000</v>
      </c>
      <c r="J172" s="140">
        <f>Tabla8[[#This Row],[VLR. PRODUCTOS]]*0.2</f>
        <v>39400</v>
      </c>
      <c r="K172" s="15">
        <f>'ABC COSTEO'!B$11</f>
        <v>40740.427791666669</v>
      </c>
      <c r="L172" s="15">
        <f>Tabla8[[#This Row],[DISTANCIA (km)]]*2*'ABC COSTEO'!B$21</f>
        <v>3066.3693622146907</v>
      </c>
      <c r="M172" s="15">
        <f>Tabla8[[#This Row],[Costo Variable]]+Tabla8[[#This Row],[Costo fijo]]</f>
        <v>43806.797153881358</v>
      </c>
      <c r="N172" s="15">
        <f>Tabla8[[#This Row],[Costo Total]]*Tabla8[[#This Row],[Numero de Transportes]]</f>
        <v>43806.797153881358</v>
      </c>
      <c r="O172" s="15">
        <f>(Tabla8[[#This Row],[VLR. Transporte unitario]]-Tabla8[[#This Row],[Costo Total]])*Tabla8[[#This Row],[Numero de Transportes]]</f>
        <v>-33806.797153881358</v>
      </c>
      <c r="P172" s="15">
        <f>Tabla8[[#This Row],[Margen de productos]]+Tabla8[[#This Row],[Ganancia/Perdida]]</f>
        <v>5593.2028461186419</v>
      </c>
      <c r="Q172" s="144">
        <f>(Tabla8[[#This Row],[Margen ]]/Tabla8[[#This Row],[Margen de productos]])-1</f>
        <v>-0.85804053690054205</v>
      </c>
    </row>
    <row r="173" spans="1:17" ht="15" thickBot="1" x14ac:dyDescent="0.35">
      <c r="A173" s="147">
        <v>46572</v>
      </c>
      <c r="B173" s="3" t="str">
        <f>_xlfn.XLOOKUP(Tabla8[[#This Row],[N° FACTURA]],Tabla3[N° FACTURA],Tabla3[Corregimiento],"NA")</f>
        <v>Borrero Ayerbe</v>
      </c>
      <c r="C173" s="3" t="str">
        <f>_xlfn.XLOOKUP(Tabla8[[#This Row],[N° FACTURA]],Tabla3[N° FACTURA],Tabla3[LUGAR ENVÍO],"NA")</f>
        <v>San miguel</v>
      </c>
      <c r="D173" s="167">
        <f>_xlfn.XLOOKUP(Tabla8[[#This Row],[N° FACTURA]],Tabla3[N° FACTURA],Tabla3[DISTANCIA (km)],"NA")</f>
        <v>2.2689999999999992</v>
      </c>
      <c r="E173" s="3">
        <f>_xlfn.XLOOKUP(Tabla8[[#This Row],[N° FACTURA]],Tabla3[N° FACTURA],Tabla3[Numero de Transportes],"NA")</f>
        <v>1</v>
      </c>
      <c r="F173" s="15">
        <f>_xlfn.XLOOKUP(Tabla8[[#This Row],[N° FACTURA]],Tabla3[N° FACTURA],Tabla3[VLR. TRANSPORTE],"NA")</f>
        <v>70000</v>
      </c>
      <c r="G173" s="15">
        <f>Tabla8[[#This Row],[VLR. TRANSPORTE]]/Tabla8[[#This Row],[Numero de Transportes]]</f>
        <v>70000</v>
      </c>
      <c r="H173" s="15">
        <f>_xlfn.XLOOKUP(Tabla8[[#This Row],[N° FACTURA]],Tabla3[N° FACTURA],Tabla3[VLR. TOTAL FACT.],"NA")</f>
        <v>441600</v>
      </c>
      <c r="I173" s="96">
        <f>Tabla8[[#This Row],[VLR. TOTAL FACT.]]-Tabla8[[#This Row],[VLR. TRANSPORTE]]</f>
        <v>371600</v>
      </c>
      <c r="J173" s="140">
        <f>Tabla8[[#This Row],[VLR. PRODUCTOS]]*0.2</f>
        <v>74320</v>
      </c>
      <c r="K173" s="15">
        <f>'ABC COSTEO'!B$11</f>
        <v>40740.427791666669</v>
      </c>
      <c r="L173" s="15">
        <f>Tabla8[[#This Row],[DISTANCIA (km)]]*2*'ABC COSTEO'!B$21</f>
        <v>6173.5510939353408</v>
      </c>
      <c r="M173" s="15">
        <f>Tabla8[[#This Row],[Costo Variable]]+Tabla8[[#This Row],[Costo fijo]]</f>
        <v>46913.97888560201</v>
      </c>
      <c r="N173" s="15">
        <f>Tabla8[[#This Row],[Costo Total]]*Tabla8[[#This Row],[Numero de Transportes]]</f>
        <v>46913.97888560201</v>
      </c>
      <c r="O173" s="15">
        <f>(Tabla8[[#This Row],[VLR. Transporte unitario]]-Tabla8[[#This Row],[Costo Total]])*Tabla8[[#This Row],[Numero de Transportes]]</f>
        <v>23086.02111439799</v>
      </c>
      <c r="P173" s="15">
        <f>Tabla8[[#This Row],[Margen de productos]]+Tabla8[[#This Row],[Ganancia/Perdida]]</f>
        <v>97406.021114397998</v>
      </c>
      <c r="Q173" s="144">
        <f>(Tabla8[[#This Row],[Margen ]]/Tabla8[[#This Row],[Margen de productos]])-1</f>
        <v>0.31062999346606568</v>
      </c>
    </row>
    <row r="174" spans="1:17" ht="15" thickBot="1" x14ac:dyDescent="0.35">
      <c r="A174" s="3">
        <v>30532</v>
      </c>
      <c r="B174" s="3" t="str">
        <f>_xlfn.XLOOKUP(Tabla8[[#This Row],[N° FACTURA]],Tabla3[N° FACTURA],Tabla3[Corregimiento],"NA")</f>
        <v>San Bernardo</v>
      </c>
      <c r="C174" s="3" t="str">
        <f>_xlfn.XLOOKUP(Tabla8[[#This Row],[N° FACTURA]],Tabla3[N° FACTURA],Tabla3[LUGAR ENVÍO],"NA")</f>
        <v>El diviso</v>
      </c>
      <c r="D174" s="167">
        <f>_xlfn.XLOOKUP(Tabla8[[#This Row],[N° FACTURA]],Tabla3[N° FACTURA],Tabla3[DISTANCIA (km)],"NA")</f>
        <v>8.4710000000000001</v>
      </c>
      <c r="E174" s="3">
        <f>_xlfn.XLOOKUP(Tabla8[[#This Row],[N° FACTURA]],Tabla3[N° FACTURA],Tabla3[Numero de Transportes],"NA")</f>
        <v>1</v>
      </c>
      <c r="F174" s="15">
        <f>_xlfn.XLOOKUP(Tabla8[[#This Row],[N° FACTURA]],Tabla3[N° FACTURA],Tabla3[VLR. TRANSPORTE],"NA")</f>
        <v>40000</v>
      </c>
      <c r="G174" s="15">
        <f>Tabla8[[#This Row],[VLR. TRANSPORTE]]/Tabla8[[#This Row],[Numero de Transportes]]</f>
        <v>40000</v>
      </c>
      <c r="H174" s="15">
        <f>_xlfn.XLOOKUP(Tabla8[[#This Row],[N° FACTURA]],Tabla3[N° FACTURA],Tabla3[VLR. TOTAL FACT.],"NA")</f>
        <v>635000</v>
      </c>
      <c r="I174" s="96">
        <f>Tabla8[[#This Row],[VLR. TOTAL FACT.]]-Tabla8[[#This Row],[VLR. TRANSPORTE]]</f>
        <v>595000</v>
      </c>
      <c r="J174" s="140">
        <f>Tabla8[[#This Row],[VLR. PRODUCTOS]]*0.2</f>
        <v>119000</v>
      </c>
      <c r="K174" s="15">
        <f>'ABC COSTEO'!B$11</f>
        <v>40740.427791666669</v>
      </c>
      <c r="L174" s="15">
        <f>Tabla8[[#This Row],[DISTANCIA (km)]]*2*'ABC COSTEO'!B$21</f>
        <v>23048.105472334199</v>
      </c>
      <c r="M174" s="15">
        <f>Tabla8[[#This Row],[Costo Variable]]+Tabla8[[#This Row],[Costo fijo]]</f>
        <v>63788.533264000871</v>
      </c>
      <c r="N174" s="15">
        <f>Tabla8[[#This Row],[Costo Total]]*Tabla8[[#This Row],[Numero de Transportes]]</f>
        <v>63788.533264000871</v>
      </c>
      <c r="O174" s="15">
        <f>(Tabla8[[#This Row],[VLR. Transporte unitario]]-Tabla8[[#This Row],[Costo Total]])*Tabla8[[#This Row],[Numero de Transportes]]</f>
        <v>-23788.533264000871</v>
      </c>
      <c r="P174" s="15">
        <f>Tabla8[[#This Row],[Margen de productos]]+Tabla8[[#This Row],[Ganancia/Perdida]]</f>
        <v>95211.466735999129</v>
      </c>
      <c r="Q174" s="144">
        <f>(Tabla8[[#This Row],[Margen ]]/Tabla8[[#This Row],[Margen de productos]])-1</f>
        <v>-0.19990364087395684</v>
      </c>
    </row>
    <row r="175" spans="1:17" ht="27.6" thickBot="1" x14ac:dyDescent="0.35">
      <c r="A175" s="3">
        <v>30441</v>
      </c>
      <c r="B175" s="3" t="str">
        <f>_xlfn.XLOOKUP(Tabla8[[#This Row],[N° FACTURA]],Tabla3[N° FACTURA],Tabla3[Corregimiento],"NA")</f>
        <v>El Carmen</v>
      </c>
      <c r="C175" s="3" t="str">
        <f>_xlfn.XLOOKUP(Tabla8[[#This Row],[N° FACTURA]],Tabla3[N° FACTURA],Tabla3[LUGAR ENVÍO],"NA")</f>
        <v>Parcelacion la Cristalina</v>
      </c>
      <c r="D175" s="167">
        <f>_xlfn.XLOOKUP(Tabla8[[#This Row],[N° FACTURA]],Tabla3[N° FACTURA],Tabla3[DISTANCIA (km)],"NA")</f>
        <v>2.7099999999999986</v>
      </c>
      <c r="E175" s="3">
        <f>_xlfn.XLOOKUP(Tabla8[[#This Row],[N° FACTURA]],Tabla3[N° FACTURA],Tabla3[Numero de Transportes],"NA")</f>
        <v>1</v>
      </c>
      <c r="F175" s="15">
        <f>_xlfn.XLOOKUP(Tabla8[[#This Row],[N° FACTURA]],Tabla3[N° FACTURA],Tabla3[VLR. TRANSPORTE],"NA")</f>
        <v>60000</v>
      </c>
      <c r="G175" s="15">
        <f>Tabla8[[#This Row],[VLR. TRANSPORTE]]/Tabla8[[#This Row],[Numero de Transportes]]</f>
        <v>60000</v>
      </c>
      <c r="H175" s="15">
        <f>_xlfn.XLOOKUP(Tabla8[[#This Row],[N° FACTURA]],Tabla3[N° FACTURA],Tabla3[VLR. TOTAL FACT.],"NA")</f>
        <v>258000</v>
      </c>
      <c r="I175" s="15">
        <f>Tabla8[[#This Row],[VLR. TOTAL FACT.]]-Tabla8[[#This Row],[VLR. TRANSPORTE]]</f>
        <v>198000</v>
      </c>
      <c r="J175" s="140">
        <f>Tabla8[[#This Row],[VLR. PRODUCTOS]]*0.2</f>
        <v>39600</v>
      </c>
      <c r="K175" s="15">
        <f>'ABC COSTEO'!B$11</f>
        <v>40740.427791666669</v>
      </c>
      <c r="L175" s="15">
        <f>Tabla8[[#This Row],[DISTANCIA (km)]]*2*'ABC COSTEO'!B$21</f>
        <v>7373.4347574106532</v>
      </c>
      <c r="M175" s="15">
        <f>Tabla8[[#This Row],[Costo Variable]]+Tabla8[[#This Row],[Costo fijo]]</f>
        <v>48113.862549077319</v>
      </c>
      <c r="N175" s="15">
        <f>Tabla8[[#This Row],[Costo Total]]*Tabla8[[#This Row],[Numero de Transportes]]</f>
        <v>48113.862549077319</v>
      </c>
      <c r="O175" s="15">
        <f>(Tabla8[[#This Row],[VLR. Transporte unitario]]-Tabla8[[#This Row],[Costo Total]])*Tabla8[[#This Row],[Numero de Transportes]]</f>
        <v>11886.137450922681</v>
      </c>
      <c r="P175" s="15">
        <f>Tabla8[[#This Row],[Margen de productos]]+Tabla8[[#This Row],[Ganancia/Perdida]]</f>
        <v>51486.137450922681</v>
      </c>
      <c r="Q175" s="144">
        <f>(Tabla8[[#This Row],[Margen ]]/Tabla8[[#This Row],[Margen de productos]])-1</f>
        <v>0.30015498613441105</v>
      </c>
    </row>
    <row r="176" spans="1:17" ht="15" thickBot="1" x14ac:dyDescent="0.35">
      <c r="A176" s="3">
        <v>48553</v>
      </c>
      <c r="B176" s="3" t="str">
        <f>_xlfn.XLOOKUP(Tabla8[[#This Row],[N° FACTURA]],Tabla3[N° FACTURA],Tabla3[Corregimiento],"NA")</f>
        <v>El Carmen</v>
      </c>
      <c r="C176" s="3" t="str">
        <f>_xlfn.XLOOKUP(Tabla8[[#This Row],[N° FACTURA]],Tabla3[N° FACTURA],Tabla3[LUGAR ENVÍO],"NA")</f>
        <v>El Coscorron</v>
      </c>
      <c r="D176" s="167">
        <f>_xlfn.XLOOKUP(Tabla8[[#This Row],[N° FACTURA]],Tabla3[N° FACTURA],Tabla3[DISTANCIA (km)],"NA")</f>
        <v>2.649999999999999</v>
      </c>
      <c r="E176" s="3">
        <f>_xlfn.XLOOKUP(Tabla8[[#This Row],[N° FACTURA]],Tabla3[N° FACTURA],Tabla3[Numero de Transportes],"NA")</f>
        <v>1</v>
      </c>
      <c r="F176" s="15">
        <f>_xlfn.XLOOKUP(Tabla8[[#This Row],[N° FACTURA]],Tabla3[N° FACTURA],Tabla3[VLR. TRANSPORTE],"NA")</f>
        <v>70000</v>
      </c>
      <c r="G176" s="15">
        <f>Tabla8[[#This Row],[VLR. TRANSPORTE]]/Tabla8[[#This Row],[Numero de Transportes]]</f>
        <v>70000</v>
      </c>
      <c r="H176" s="15">
        <f>_xlfn.XLOOKUP(Tabla8[[#This Row],[N° FACTURA]],Tabla3[N° FACTURA],Tabla3[VLR. TOTAL FACT.],"NA")</f>
        <v>270500</v>
      </c>
      <c r="I176" s="15">
        <f>Tabla8[[#This Row],[VLR. TOTAL FACT.]]-Tabla8[[#This Row],[VLR. TRANSPORTE]]</f>
        <v>200500</v>
      </c>
      <c r="J176" s="140">
        <f>Tabla8[[#This Row],[VLR. PRODUCTOS]]*0.2</f>
        <v>40100</v>
      </c>
      <c r="K176" s="15">
        <f>'ABC COSTEO'!B$11</f>
        <v>40740.427791666669</v>
      </c>
      <c r="L176" s="15">
        <f>Tabla8[[#This Row],[DISTANCIA (km)]]*2*'ABC COSTEO'!B$21</f>
        <v>7210.185279386802</v>
      </c>
      <c r="M176" s="15">
        <f>Tabla8[[#This Row],[Costo Variable]]+Tabla8[[#This Row],[Costo fijo]]</f>
        <v>47950.613071053471</v>
      </c>
      <c r="N176" s="15">
        <f>Tabla8[[#This Row],[Costo Total]]*Tabla8[[#This Row],[Numero de Transportes]]</f>
        <v>47950.613071053471</v>
      </c>
      <c r="O176" s="15">
        <f>(Tabla8[[#This Row],[VLR. Transporte unitario]]-Tabla8[[#This Row],[Costo Total]])*Tabla8[[#This Row],[Numero de Transportes]]</f>
        <v>22049.386928946529</v>
      </c>
      <c r="P176" s="15">
        <f>Tabla8[[#This Row],[Margen de productos]]+Tabla8[[#This Row],[Ganancia/Perdida]]</f>
        <v>62149.386928946529</v>
      </c>
      <c r="Q176" s="144">
        <f>(Tabla8[[#This Row],[Margen ]]/Tabla8[[#This Row],[Margen de productos]])-1</f>
        <v>0.54986002316574889</v>
      </c>
    </row>
    <row r="177" spans="1:17" ht="15" thickBot="1" x14ac:dyDescent="0.35">
      <c r="A177" s="146">
        <v>57933</v>
      </c>
      <c r="B177" s="3" t="str">
        <f>_xlfn.XLOOKUP(Tabla8[[#This Row],[N° FACTURA]],Tabla3[N° FACTURA],Tabla3[Corregimiento],"NA")</f>
        <v>Borrero Ayerbe</v>
      </c>
      <c r="C177" s="3" t="str">
        <f>_xlfn.XLOOKUP(Tabla8[[#This Row],[N° FACTURA]],Tabla3[N° FACTURA],Tabla3[LUGAR ENVÍO],"NA")</f>
        <v>La Zulia 2</v>
      </c>
      <c r="D177" s="167">
        <f>_xlfn.XLOOKUP(Tabla8[[#This Row],[N° FACTURA]],Tabla3[N° FACTURA],Tabla3[DISTANCIA (km)],"NA")</f>
        <v>1.2480000000000002</v>
      </c>
      <c r="E177" s="3">
        <f>_xlfn.XLOOKUP(Tabla8[[#This Row],[N° FACTURA]],Tabla3[N° FACTURA],Tabla3[Numero de Transportes],"NA")</f>
        <v>1</v>
      </c>
      <c r="F177" s="15">
        <f>_xlfn.XLOOKUP(Tabla8[[#This Row],[N° FACTURA]],Tabla3[N° FACTURA],Tabla3[VLR. TRANSPORTE],"NA")</f>
        <v>40000</v>
      </c>
      <c r="G177" s="15">
        <f>Tabla8[[#This Row],[VLR. TRANSPORTE]]/Tabla8[[#This Row],[Numero de Transportes]]</f>
        <v>40000</v>
      </c>
      <c r="H177" s="15">
        <f>_xlfn.XLOOKUP(Tabla8[[#This Row],[N° FACTURA]],Tabla3[N° FACTURA],Tabla3[VLR. TOTAL FACT.],"NA")</f>
        <v>676500</v>
      </c>
      <c r="I177" s="15">
        <f>Tabla8[[#This Row],[VLR. TOTAL FACT.]]-Tabla8[[#This Row],[VLR. TRANSPORTE]]</f>
        <v>636500</v>
      </c>
      <c r="J177" s="140">
        <f>Tabla8[[#This Row],[VLR. PRODUCTOS]]*0.2</f>
        <v>127300</v>
      </c>
      <c r="K177" s="15">
        <f>'ABC COSTEO'!B$11</f>
        <v>40740.427791666669</v>
      </c>
      <c r="L177" s="15">
        <f>Tabla8[[#This Row],[DISTANCIA (km)]]*2*'ABC COSTEO'!B$21</f>
        <v>3395.5891428961258</v>
      </c>
      <c r="M177" s="15">
        <f>Tabla8[[#This Row],[Costo Variable]]+Tabla8[[#This Row],[Costo fijo]]</f>
        <v>44136.016934562795</v>
      </c>
      <c r="N177" s="15">
        <f>Tabla8[[#This Row],[Costo Total]]*Tabla8[[#This Row],[Numero de Transportes]]</f>
        <v>44136.016934562795</v>
      </c>
      <c r="O177" s="15">
        <f>(Tabla8[[#This Row],[VLR. Transporte unitario]]-Tabla8[[#This Row],[Costo Total]])*Tabla8[[#This Row],[Numero de Transportes]]</f>
        <v>-4136.0169345627946</v>
      </c>
      <c r="P177" s="15">
        <f>Tabla8[[#This Row],[Margen de productos]]+Tabla8[[#This Row],[Ganancia/Perdida]]</f>
        <v>123163.98306543721</v>
      </c>
      <c r="Q177" s="144">
        <f>(Tabla8[[#This Row],[Margen ]]/Tabla8[[#This Row],[Margen de productos]])-1</f>
        <v>-3.2490313704342411E-2</v>
      </c>
    </row>
    <row r="178" spans="1:17" ht="15" thickBot="1" x14ac:dyDescent="0.35">
      <c r="A178" s="3">
        <v>30630</v>
      </c>
      <c r="B178" s="3" t="str">
        <f>_xlfn.XLOOKUP(Tabla8[[#This Row],[N° FACTURA]],Tabla3[N° FACTURA],Tabla3[Corregimiento],"NA")</f>
        <v>El Limonar</v>
      </c>
      <c r="C178" s="3" t="str">
        <f>_xlfn.XLOOKUP(Tabla8[[#This Row],[N° FACTURA]],Tabla3[N° FACTURA],Tabla3[LUGAR ENVÍO],"NA")</f>
        <v>El limonar</v>
      </c>
      <c r="D178" s="167">
        <f>_xlfn.XLOOKUP(Tabla8[[#This Row],[N° FACTURA]],Tabla3[N° FACTURA],Tabla3[DISTANCIA (km)],"NA")</f>
        <v>4.7129999999999992</v>
      </c>
      <c r="E178" s="3">
        <f>_xlfn.XLOOKUP(Tabla8[[#This Row],[N° FACTURA]],Tabla3[N° FACTURA],Tabla3[Numero de Transportes],"NA")</f>
        <v>1</v>
      </c>
      <c r="F178" s="15">
        <f>_xlfn.XLOOKUP(Tabla8[[#This Row],[N° FACTURA]],Tabla3[N° FACTURA],Tabla3[VLR. TRANSPORTE],"NA")</f>
        <v>70000</v>
      </c>
      <c r="G178" s="15">
        <f>Tabla8[[#This Row],[VLR. TRANSPORTE]]/Tabla8[[#This Row],[Numero de Transportes]]</f>
        <v>70000</v>
      </c>
      <c r="H178" s="15">
        <f>_xlfn.XLOOKUP(Tabla8[[#This Row],[N° FACTURA]],Tabla3[N° FACTURA],Tabla3[VLR. TOTAL FACT.],"NA")</f>
        <v>785000</v>
      </c>
      <c r="I178" s="15">
        <f>Tabla8[[#This Row],[VLR. TOTAL FACT.]]-Tabla8[[#This Row],[VLR. TRANSPORTE]]</f>
        <v>715000</v>
      </c>
      <c r="J178" s="140">
        <f>Tabla8[[#This Row],[VLR. PRODUCTOS]]*0.2</f>
        <v>143000</v>
      </c>
      <c r="K178" s="15">
        <f>'ABC COSTEO'!B$11</f>
        <v>40740.427791666669</v>
      </c>
      <c r="L178" s="15">
        <f>Tabla8[[#This Row],[DISTANCIA (km)]]*2*'ABC COSTEO'!B$21</f>
        <v>12823.246498773586</v>
      </c>
      <c r="M178" s="15">
        <f>Tabla8[[#This Row],[Costo Variable]]+Tabla8[[#This Row],[Costo fijo]]</f>
        <v>53563.674290440256</v>
      </c>
      <c r="N178" s="15">
        <f>Tabla8[[#This Row],[Costo Total]]*Tabla8[[#This Row],[Numero de Transportes]]</f>
        <v>53563.674290440256</v>
      </c>
      <c r="O178" s="15">
        <f>(Tabla8[[#This Row],[VLR. Transporte unitario]]-Tabla8[[#This Row],[Costo Total]])*Tabla8[[#This Row],[Numero de Transportes]]</f>
        <v>16436.325709559744</v>
      </c>
      <c r="P178" s="15">
        <f>Tabla8[[#This Row],[Margen de productos]]+Tabla8[[#This Row],[Ganancia/Perdida]]</f>
        <v>159436.32570955975</v>
      </c>
      <c r="Q178" s="144">
        <f>(Tabla8[[#This Row],[Margen ]]/Tabla8[[#This Row],[Margen de productos]])-1</f>
        <v>0.11493934062629196</v>
      </c>
    </row>
    <row r="179" spans="1:17" ht="15" thickBot="1" x14ac:dyDescent="0.35">
      <c r="A179" s="3">
        <v>48569</v>
      </c>
      <c r="B179" s="3" t="str">
        <f>_xlfn.XLOOKUP(Tabla8[[#This Row],[N° FACTURA]],Tabla3[N° FACTURA],Tabla3[Corregimiento],"NA")</f>
        <v>El Carmen</v>
      </c>
      <c r="C179" s="3" t="str">
        <f>_xlfn.XLOOKUP(Tabla8[[#This Row],[N° FACTURA]],Tabla3[N° FACTURA],Tabla3[LUGAR ENVÍO],"NA")</f>
        <v>El Coscorron</v>
      </c>
      <c r="D179" s="167">
        <f>_xlfn.XLOOKUP(Tabla8[[#This Row],[N° FACTURA]],Tabla3[N° FACTURA],Tabla3[DISTANCIA (km)],"NA")</f>
        <v>2.649999999999999</v>
      </c>
      <c r="E179" s="3">
        <f>_xlfn.XLOOKUP(Tabla8[[#This Row],[N° FACTURA]],Tabla3[N° FACTURA],Tabla3[Numero de Transportes],"NA")</f>
        <v>1</v>
      </c>
      <c r="F179" s="15">
        <f>_xlfn.XLOOKUP(Tabla8[[#This Row],[N° FACTURA]],Tabla3[N° FACTURA],Tabla3[VLR. TRANSPORTE],"NA")</f>
        <v>80000</v>
      </c>
      <c r="G179" s="15">
        <f>Tabla8[[#This Row],[VLR. TRANSPORTE]]/Tabla8[[#This Row],[Numero de Transportes]]</f>
        <v>80000</v>
      </c>
      <c r="H179" s="15">
        <f>_xlfn.XLOOKUP(Tabla8[[#This Row],[N° FACTURA]],Tabla3[N° FACTURA],Tabla3[VLR. TOTAL FACT.],"NA")</f>
        <v>1219500</v>
      </c>
      <c r="I179" s="15">
        <f>Tabla8[[#This Row],[VLR. TOTAL FACT.]]-Tabla8[[#This Row],[VLR. TRANSPORTE]]</f>
        <v>1139500</v>
      </c>
      <c r="J179" s="140">
        <f>Tabla8[[#This Row],[VLR. PRODUCTOS]]*0.2</f>
        <v>227900</v>
      </c>
      <c r="K179" s="15">
        <f>'ABC COSTEO'!B$11</f>
        <v>40740.427791666669</v>
      </c>
      <c r="L179" s="15">
        <f>Tabla8[[#This Row],[DISTANCIA (km)]]*2*'ABC COSTEO'!B$21</f>
        <v>7210.185279386802</v>
      </c>
      <c r="M179" s="15">
        <f>Tabla8[[#This Row],[Costo Variable]]+Tabla8[[#This Row],[Costo fijo]]</f>
        <v>47950.613071053471</v>
      </c>
      <c r="N179" s="15">
        <f>Tabla8[[#This Row],[Costo Total]]*Tabla8[[#This Row],[Numero de Transportes]]</f>
        <v>47950.613071053471</v>
      </c>
      <c r="O179" s="15">
        <f>(Tabla8[[#This Row],[VLR. Transporte unitario]]-Tabla8[[#This Row],[Costo Total]])*Tabla8[[#This Row],[Numero de Transportes]]</f>
        <v>32049.386928946529</v>
      </c>
      <c r="P179" s="15">
        <f>Tabla8[[#This Row],[Margen de productos]]+Tabla8[[#This Row],[Ganancia/Perdida]]</f>
        <v>259949.38692894654</v>
      </c>
      <c r="Q179" s="144">
        <f>(Tabla8[[#This Row],[Margen ]]/Tabla8[[#This Row],[Margen de productos]])-1</f>
        <v>0.14062916598923447</v>
      </c>
    </row>
    <row r="180" spans="1:17" ht="15" thickBot="1" x14ac:dyDescent="0.35">
      <c r="A180" s="3">
        <v>58055</v>
      </c>
      <c r="B180" s="3" t="str">
        <f>_xlfn.XLOOKUP(Tabla8[[#This Row],[N° FACTURA]],Tabla3[N° FACTURA],Tabla3[Corregimiento],"NA")</f>
        <v>Borrero Ayerbe</v>
      </c>
      <c r="C180" s="3" t="str">
        <f>_xlfn.XLOOKUP(Tabla8[[#This Row],[N° FACTURA]],Tabla3[N° FACTURA],Tabla3[LUGAR ENVÍO],"NA")</f>
        <v>KM 26</v>
      </c>
      <c r="D180" s="167">
        <f>_xlfn.XLOOKUP(Tabla8[[#This Row],[N° FACTURA]],Tabla3[N° FACTURA],Tabla3[DISTANCIA (km)],"NA")</f>
        <v>5.3780000000000001</v>
      </c>
      <c r="E180" s="3">
        <f>_xlfn.XLOOKUP(Tabla8[[#This Row],[N° FACTURA]],Tabla3[N° FACTURA],Tabla3[Numero de Transportes],"NA")</f>
        <v>1</v>
      </c>
      <c r="F180" s="15">
        <f>_xlfn.XLOOKUP(Tabla8[[#This Row],[N° FACTURA]],Tabla3[N° FACTURA],Tabla3[VLR. TRANSPORTE],"NA")</f>
        <v>30000</v>
      </c>
      <c r="G180" s="15">
        <f>Tabla8[[#This Row],[VLR. TRANSPORTE]]/Tabla8[[#This Row],[Numero de Transportes]]</f>
        <v>30000</v>
      </c>
      <c r="H180" s="15">
        <f>_xlfn.XLOOKUP(Tabla8[[#This Row],[N° FACTURA]],Tabla3[N° FACTURA],Tabla3[VLR. TOTAL FACT.],"NA")</f>
        <v>473300</v>
      </c>
      <c r="I180" s="15">
        <f>Tabla8[[#This Row],[VLR. TOTAL FACT.]]-Tabla8[[#This Row],[VLR. TRANSPORTE]]</f>
        <v>443300</v>
      </c>
      <c r="J180" s="140">
        <f>Tabla8[[#This Row],[VLR. PRODUCTOS]]*0.2</f>
        <v>88660</v>
      </c>
      <c r="K180" s="15">
        <f>'ABC COSTEO'!B$11</f>
        <v>40740.427791666669</v>
      </c>
      <c r="L180" s="15">
        <f>Tabla8[[#This Row],[DISTANCIA (km)]]*2*'ABC COSTEO'!B$21</f>
        <v>14632.594880204617</v>
      </c>
      <c r="M180" s="15">
        <f>Tabla8[[#This Row],[Costo Variable]]+Tabla8[[#This Row],[Costo fijo]]</f>
        <v>55373.022671871287</v>
      </c>
      <c r="N180" s="15">
        <f>Tabla8[[#This Row],[Costo Total]]*Tabla8[[#This Row],[Numero de Transportes]]</f>
        <v>55373.022671871287</v>
      </c>
      <c r="O180" s="15">
        <f>(Tabla8[[#This Row],[VLR. Transporte unitario]]-Tabla8[[#This Row],[Costo Total]])*Tabla8[[#This Row],[Numero de Transportes]]</f>
        <v>-25373.022671871287</v>
      </c>
      <c r="P180" s="15">
        <f>Tabla8[[#This Row],[Margen de productos]]+Tabla8[[#This Row],[Ganancia/Perdida]]</f>
        <v>63286.977328128713</v>
      </c>
      <c r="Q180" s="144">
        <f>(Tabla8[[#This Row],[Margen ]]/Tabla8[[#This Row],[Margen de productos]])-1</f>
        <v>-0.28618342738406599</v>
      </c>
    </row>
    <row r="181" spans="1:17" ht="15" thickBot="1" x14ac:dyDescent="0.35">
      <c r="A181" s="3">
        <v>48607</v>
      </c>
      <c r="B181" s="3" t="str">
        <f>_xlfn.XLOOKUP(Tabla8[[#This Row],[N° FACTURA]],Tabla3[N° FACTURA],Tabla3[Corregimiento],"NA")</f>
        <v>El Carmen</v>
      </c>
      <c r="C181" s="3" t="str">
        <f>_xlfn.XLOOKUP(Tabla8[[#This Row],[N° FACTURA]],Tabla3[N° FACTURA],Tabla3[LUGAR ENVÍO],"NA")</f>
        <v>El Coscorron</v>
      </c>
      <c r="D181" s="167">
        <f>_xlfn.XLOOKUP(Tabla8[[#This Row],[N° FACTURA]],Tabla3[N° FACTURA],Tabla3[DISTANCIA (km)],"NA")</f>
        <v>2.649999999999999</v>
      </c>
      <c r="E181" s="3">
        <f>_xlfn.XLOOKUP(Tabla8[[#This Row],[N° FACTURA]],Tabla3[N° FACTURA],Tabla3[Numero de Transportes],"NA")</f>
        <v>2</v>
      </c>
      <c r="F181" s="15">
        <f>_xlfn.XLOOKUP(Tabla8[[#This Row],[N° FACTURA]],Tabla3[N° FACTURA],Tabla3[VLR. TRANSPORTE],"NA")</f>
        <v>80000</v>
      </c>
      <c r="G181" s="15">
        <f>Tabla8[[#This Row],[VLR. TRANSPORTE]]/Tabla8[[#This Row],[Numero de Transportes]]</f>
        <v>40000</v>
      </c>
      <c r="H181" s="15">
        <f>_xlfn.XLOOKUP(Tabla8[[#This Row],[N° FACTURA]],Tabla3[N° FACTURA],Tabla3[VLR. TOTAL FACT.],"NA")</f>
        <v>1495000</v>
      </c>
      <c r="I181" s="15">
        <f>Tabla8[[#This Row],[VLR. TOTAL FACT.]]-Tabla8[[#This Row],[VLR. TRANSPORTE]]</f>
        <v>1415000</v>
      </c>
      <c r="J181" s="140">
        <f>Tabla8[[#This Row],[VLR. PRODUCTOS]]*0.2</f>
        <v>283000</v>
      </c>
      <c r="K181" s="15">
        <f>'ABC COSTEO'!B$11</f>
        <v>40740.427791666669</v>
      </c>
      <c r="L181" s="15">
        <f>Tabla8[[#This Row],[DISTANCIA (km)]]*2*'ABC COSTEO'!B$21</f>
        <v>7210.185279386802</v>
      </c>
      <c r="M181" s="15">
        <f>Tabla8[[#This Row],[Costo Variable]]+Tabla8[[#This Row],[Costo fijo]]</f>
        <v>47950.613071053471</v>
      </c>
      <c r="N181" s="15">
        <f>Tabla8[[#This Row],[Costo Total]]*Tabla8[[#This Row],[Numero de Transportes]]</f>
        <v>95901.226142106942</v>
      </c>
      <c r="O181" s="15">
        <f>(Tabla8[[#This Row],[VLR. Transporte unitario]]-Tabla8[[#This Row],[Costo Total]])*Tabla8[[#This Row],[Numero de Transportes]]</f>
        <v>-15901.226142106942</v>
      </c>
      <c r="P181" s="15">
        <f>Tabla8[[#This Row],[Margen de productos]]+Tabla8[[#This Row],[Ganancia/Perdida]]</f>
        <v>267098.77385789307</v>
      </c>
      <c r="Q181" s="144">
        <f>(Tabla8[[#This Row],[Margen ]]/Tabla8[[#This Row],[Margen de productos]])-1</f>
        <v>-5.6188078240660522E-2</v>
      </c>
    </row>
    <row r="182" spans="1:17" ht="15" thickBot="1" x14ac:dyDescent="0.35">
      <c r="A182" s="3">
        <v>58326</v>
      </c>
      <c r="B182" s="3" t="str">
        <f>_xlfn.XLOOKUP(Tabla8[[#This Row],[N° FACTURA]],Tabla3[N° FACTURA],Tabla3[Corregimiento],"NA")</f>
        <v>Borrero Ayerbe</v>
      </c>
      <c r="C182" s="3" t="str">
        <f>_xlfn.XLOOKUP(Tabla8[[#This Row],[N° FACTURA]],Tabla3[N° FACTURA],Tabla3[LUGAR ENVÍO],"NA")</f>
        <v>Mirador Bellavista</v>
      </c>
      <c r="D182" s="167">
        <f>_xlfn.XLOOKUP(Tabla8[[#This Row],[N° FACTURA]],Tabla3[N° FACTURA],Tabla3[DISTANCIA (km)],"NA")</f>
        <v>1.2010000000000001</v>
      </c>
      <c r="E182" s="3">
        <f>_xlfn.XLOOKUP(Tabla8[[#This Row],[N° FACTURA]],Tabla3[N° FACTURA],Tabla3[Numero de Transportes],"NA")</f>
        <v>1</v>
      </c>
      <c r="F182" s="15">
        <f>_xlfn.XLOOKUP(Tabla8[[#This Row],[N° FACTURA]],Tabla3[N° FACTURA],Tabla3[VLR. TRANSPORTE],"NA")</f>
        <v>40000</v>
      </c>
      <c r="G182" s="15">
        <f>Tabla8[[#This Row],[VLR. TRANSPORTE]]/Tabla8[[#This Row],[Numero de Transportes]]</f>
        <v>40000</v>
      </c>
      <c r="H182" s="15">
        <f>_xlfn.XLOOKUP(Tabla8[[#This Row],[N° FACTURA]],Tabla3[N° FACTURA],Tabla3[VLR. TOTAL FACT.],"NA")</f>
        <v>436000</v>
      </c>
      <c r="I182" s="15">
        <f>Tabla8[[#This Row],[VLR. TOTAL FACT.]]-Tabla8[[#This Row],[VLR. TRANSPORTE]]</f>
        <v>396000</v>
      </c>
      <c r="J182" s="140">
        <f>Tabla8[[#This Row],[VLR. PRODUCTOS]]*0.2</f>
        <v>79200</v>
      </c>
      <c r="K182" s="15">
        <f>'ABC COSTEO'!B$11</f>
        <v>40740.427791666669</v>
      </c>
      <c r="L182" s="15">
        <f>Tabla8[[#This Row],[DISTANCIA (km)]]*2*'ABC COSTEO'!B$21</f>
        <v>3267.7103851107745</v>
      </c>
      <c r="M182" s="15">
        <f>Tabla8[[#This Row],[Costo Variable]]+Tabla8[[#This Row],[Costo fijo]]</f>
        <v>44008.138176777444</v>
      </c>
      <c r="N182" s="15">
        <f>Tabla8[[#This Row],[Costo Total]]*Tabla8[[#This Row],[Numero de Transportes]]</f>
        <v>44008.138176777444</v>
      </c>
      <c r="O182" s="15">
        <f>(Tabla8[[#This Row],[VLR. Transporte unitario]]-Tabla8[[#This Row],[Costo Total]])*Tabla8[[#This Row],[Numero de Transportes]]</f>
        <v>-4008.1381767774437</v>
      </c>
      <c r="P182" s="15">
        <f>Tabla8[[#This Row],[Margen de productos]]+Tabla8[[#This Row],[Ganancia/Perdida]]</f>
        <v>75191.861823222556</v>
      </c>
      <c r="Q182" s="144">
        <f>(Tabla8[[#This Row],[Margen ]]/Tabla8[[#This Row],[Margen de productos]])-1</f>
        <v>-5.0607805262341432E-2</v>
      </c>
    </row>
    <row r="183" spans="1:17" ht="15" thickBot="1" x14ac:dyDescent="0.35">
      <c r="A183" s="146">
        <v>48122</v>
      </c>
      <c r="B183" s="3" t="str">
        <f>_xlfn.XLOOKUP(Tabla8[[#This Row],[N° FACTURA]],Tabla3[N° FACTURA],Tabla3[Corregimiento],"NA")</f>
        <v>El Carmen</v>
      </c>
      <c r="C183" s="3" t="str">
        <f>_xlfn.XLOOKUP(Tabla8[[#This Row],[N° FACTURA]],Tabla3[N° FACTURA],Tabla3[LUGAR ENVÍO],"NA")</f>
        <v>villa del toro</v>
      </c>
      <c r="D183" s="167">
        <f>_xlfn.XLOOKUP(Tabla8[[#This Row],[N° FACTURA]],Tabla3[N° FACTURA],Tabla3[DISTANCIA (km)],"NA")</f>
        <v>2.2797620000000003</v>
      </c>
      <c r="E183" s="3">
        <f>_xlfn.XLOOKUP(Tabla8[[#This Row],[N° FACTURA]],Tabla3[N° FACTURA],Tabla3[Numero de Transportes],"NA")</f>
        <v>1</v>
      </c>
      <c r="F183" s="15">
        <f>_xlfn.XLOOKUP(Tabla8[[#This Row],[N° FACTURA]],Tabla3[N° FACTURA],Tabla3[VLR. TRANSPORTE],"NA")</f>
        <v>40000</v>
      </c>
      <c r="G183" s="15">
        <f>Tabla8[[#This Row],[VLR. TRANSPORTE]]/Tabla8[[#This Row],[Numero de Transportes]]</f>
        <v>40000</v>
      </c>
      <c r="H183" s="15">
        <f>_xlfn.XLOOKUP(Tabla8[[#This Row],[N° FACTURA]],Tabla3[N° FACTURA],Tabla3[VLR. TOTAL FACT.],"NA")</f>
        <v>412700</v>
      </c>
      <c r="I183" s="96">
        <f>Tabla8[[#This Row],[VLR. TOTAL FACT.]]-Tabla8[[#This Row],[VLR. TRANSPORTE]]</f>
        <v>372700</v>
      </c>
      <c r="J183" s="140">
        <f>Tabla8[[#This Row],[VLR. PRODUCTOS]]*0.2</f>
        <v>74540</v>
      </c>
      <c r="K183" s="15">
        <f>'ABC COSTEO'!B$11</f>
        <v>40740.427791666669</v>
      </c>
      <c r="L183" s="15">
        <f>Tabla8[[#This Row],[DISTANCIA (km)]]*2*'ABC COSTEO'!B$21</f>
        <v>6202.8326086435554</v>
      </c>
      <c r="M183" s="15">
        <f>Tabla8[[#This Row],[Costo Variable]]+Tabla8[[#This Row],[Costo fijo]]</f>
        <v>46943.260400310224</v>
      </c>
      <c r="N183" s="15">
        <f>Tabla8[[#This Row],[Costo Total]]*Tabla8[[#This Row],[Numero de Transportes]]</f>
        <v>46943.260400310224</v>
      </c>
      <c r="O183" s="15">
        <f>(Tabla8[[#This Row],[VLR. Transporte unitario]]-Tabla8[[#This Row],[Costo Total]])*Tabla8[[#This Row],[Numero de Transportes]]</f>
        <v>-6943.2604003102242</v>
      </c>
      <c r="P183" s="15">
        <f>Tabla8[[#This Row],[Margen de productos]]+Tabla8[[#This Row],[Ganancia/Perdida]]</f>
        <v>67596.739599689783</v>
      </c>
      <c r="Q183" s="144">
        <f>(Tabla8[[#This Row],[Margen ]]/Tabla8[[#This Row],[Margen de productos]])-1</f>
        <v>-9.3148113768583563E-2</v>
      </c>
    </row>
    <row r="184" spans="1:17" ht="15" thickBot="1" x14ac:dyDescent="0.35">
      <c r="A184" s="147">
        <v>58977</v>
      </c>
      <c r="B184" s="3" t="str">
        <f>_xlfn.XLOOKUP(Tabla8[[#This Row],[N° FACTURA]],Tabla3[N° FACTURA],Tabla3[Corregimiento],"NA")</f>
        <v>Borrero Ayerbe</v>
      </c>
      <c r="C184" s="3" t="str">
        <f>_xlfn.XLOOKUP(Tabla8[[#This Row],[N° FACTURA]],Tabla3[N° FACTURA],Tabla3[LUGAR ENVÍO],"NA")</f>
        <v>Tierras blancas</v>
      </c>
      <c r="D184" s="167">
        <f>_xlfn.XLOOKUP(Tabla8[[#This Row],[N° FACTURA]],Tabla3[N° FACTURA],Tabla3[DISTANCIA (km)],"NA")</f>
        <v>0.44900000000000007</v>
      </c>
      <c r="E184" s="3">
        <f>_xlfn.XLOOKUP(Tabla8[[#This Row],[N° FACTURA]],Tabla3[N° FACTURA],Tabla3[Numero de Transportes],"NA")</f>
        <v>1</v>
      </c>
      <c r="F184" s="15">
        <f>_xlfn.XLOOKUP(Tabla8[[#This Row],[N° FACTURA]],Tabla3[N° FACTURA],Tabla3[VLR. TRANSPORTE],"NA")</f>
        <v>30000</v>
      </c>
      <c r="G184" s="15">
        <f>Tabla8[[#This Row],[VLR. TRANSPORTE]]/Tabla8[[#This Row],[Numero de Transportes]]</f>
        <v>30000</v>
      </c>
      <c r="H184" s="15">
        <f>_xlfn.XLOOKUP(Tabla8[[#This Row],[N° FACTURA]],Tabla3[N° FACTURA],Tabla3[VLR. TOTAL FACT.],"NA")</f>
        <v>627100</v>
      </c>
      <c r="I184" s="15">
        <f>Tabla8[[#This Row],[VLR. TOTAL FACT.]]-Tabla8[[#This Row],[VLR. TRANSPORTE]]</f>
        <v>597100</v>
      </c>
      <c r="J184" s="140">
        <f>Tabla8[[#This Row],[VLR. PRODUCTOS]]*0.2</f>
        <v>119420</v>
      </c>
      <c r="K184" s="15">
        <f>'ABC COSTEO'!B$11</f>
        <v>40740.427791666669</v>
      </c>
      <c r="L184" s="15">
        <f>Tabla8[[#This Row],[DISTANCIA (km)]]*2*'ABC COSTEO'!B$21</f>
        <v>1221.6502605451606</v>
      </c>
      <c r="M184" s="15">
        <f>Tabla8[[#This Row],[Costo Variable]]+Tabla8[[#This Row],[Costo fijo]]</f>
        <v>41962.078052211829</v>
      </c>
      <c r="N184" s="15">
        <f>Tabla8[[#This Row],[Costo Total]]*Tabla8[[#This Row],[Numero de Transportes]]</f>
        <v>41962.078052211829</v>
      </c>
      <c r="O184" s="15">
        <f>(Tabla8[[#This Row],[VLR. Transporte unitario]]-Tabla8[[#This Row],[Costo Total]])*Tabla8[[#This Row],[Numero de Transportes]]</f>
        <v>-11962.078052211829</v>
      </c>
      <c r="P184" s="15">
        <f>Tabla8[[#This Row],[Margen de productos]]+Tabla8[[#This Row],[Ganancia/Perdida]]</f>
        <v>107457.92194778817</v>
      </c>
      <c r="Q184" s="144">
        <f>(Tabla8[[#This Row],[Margen ]]/Tabla8[[#This Row],[Margen de productos]])-1</f>
        <v>-0.10016812972878775</v>
      </c>
    </row>
    <row r="185" spans="1:17" ht="15" thickBot="1" x14ac:dyDescent="0.35">
      <c r="A185" s="3">
        <v>48367</v>
      </c>
      <c r="B185" s="3" t="str">
        <f>_xlfn.XLOOKUP(Tabla8[[#This Row],[N° FACTURA]],Tabla3[N° FACTURA],Tabla3[Corregimiento],"NA")</f>
        <v>El Limonar</v>
      </c>
      <c r="C185" s="3" t="str">
        <f>_xlfn.XLOOKUP(Tabla8[[#This Row],[N° FACTURA]],Tabla3[N° FACTURA],Tabla3[LUGAR ENVÍO],"NA")</f>
        <v>KM 34</v>
      </c>
      <c r="D185" s="167">
        <f>_xlfn.XLOOKUP(Tabla8[[#This Row],[N° FACTURA]],Tabla3[N° FACTURA],Tabla3[DISTANCIA (km)],"NA")</f>
        <v>4.3159999999999989</v>
      </c>
      <c r="E185" s="3">
        <f>_xlfn.XLOOKUP(Tabla8[[#This Row],[N° FACTURA]],Tabla3[N° FACTURA],Tabla3[Numero de Transportes],"NA")</f>
        <v>3</v>
      </c>
      <c r="F185" s="15">
        <f>_xlfn.XLOOKUP(Tabla8[[#This Row],[N° FACTURA]],Tabla3[N° FACTURA],Tabla3[VLR. TRANSPORTE],"NA")</f>
        <v>30000</v>
      </c>
      <c r="G185" s="15">
        <f>Tabla8[[#This Row],[VLR. TRANSPORTE]]/Tabla8[[#This Row],[Numero de Transportes]]</f>
        <v>10000</v>
      </c>
      <c r="H185" s="15">
        <f>_xlfn.XLOOKUP(Tabla8[[#This Row],[N° FACTURA]],Tabla3[N° FACTURA],Tabla3[VLR. TOTAL FACT.],"NA")</f>
        <v>232000</v>
      </c>
      <c r="I185" s="15">
        <f>Tabla8[[#This Row],[VLR. TOTAL FACT.]]-Tabla8[[#This Row],[VLR. TRANSPORTE]]</f>
        <v>202000</v>
      </c>
      <c r="J185" s="140">
        <f>Tabla8[[#This Row],[VLR. PRODUCTOS]]*0.2</f>
        <v>40400</v>
      </c>
      <c r="K185" s="15">
        <f>'ABC COSTEO'!B$11</f>
        <v>40740.427791666669</v>
      </c>
      <c r="L185" s="15">
        <f>Tabla8[[#This Row],[DISTANCIA (km)]]*2*'ABC COSTEO'!B$21</f>
        <v>11743.07911918243</v>
      </c>
      <c r="M185" s="15">
        <f>Tabla8[[#This Row],[Costo Variable]]+Tabla8[[#This Row],[Costo fijo]]</f>
        <v>52483.506910849101</v>
      </c>
      <c r="N185" s="15">
        <f>Tabla8[[#This Row],[Costo Total]]*Tabla8[[#This Row],[Numero de Transportes]]</f>
        <v>157450.5207325473</v>
      </c>
      <c r="O185" s="15">
        <f>(Tabla8[[#This Row],[VLR. Transporte unitario]]-Tabla8[[#This Row],[Costo Total]])*Tabla8[[#This Row],[Numero de Transportes]]</f>
        <v>-127450.5207325473</v>
      </c>
      <c r="P185" s="15">
        <f>Tabla8[[#This Row],[Margen de productos]]+Tabla8[[#This Row],[Ganancia/Perdida]]</f>
        <v>-87050.520732547302</v>
      </c>
      <c r="Q185" s="144">
        <f>(Tabla8[[#This Row],[Margen ]]/Tabla8[[#This Row],[Margen de productos]])-1</f>
        <v>-3.1547158597165175</v>
      </c>
    </row>
    <row r="186" spans="1:17" ht="27.6" thickBot="1" x14ac:dyDescent="0.35">
      <c r="A186" s="3">
        <v>58619</v>
      </c>
      <c r="B186" s="3" t="str">
        <f>_xlfn.XLOOKUP(Tabla8[[#This Row],[N° FACTURA]],Tabla3[N° FACTURA],Tabla3[Corregimiento],"NA")</f>
        <v>El Carmen</v>
      </c>
      <c r="C186" s="3" t="str">
        <f>_xlfn.XLOOKUP(Tabla8[[#This Row],[N° FACTURA]],Tabla3[N° FACTURA],Tabla3[LUGAR ENVÍO],"NA")</f>
        <v xml:space="preserve">Las villas del carmen </v>
      </c>
      <c r="D186" s="167">
        <f>_xlfn.XLOOKUP(Tabla8[[#This Row],[N° FACTURA]],Tabla3[N° FACTURA],Tabla3[DISTANCIA (km)],"NA")</f>
        <v>3.5070000000000001</v>
      </c>
      <c r="E186" s="3">
        <f>_xlfn.XLOOKUP(Tabla8[[#This Row],[N° FACTURA]],Tabla3[N° FACTURA],Tabla3[Numero de Transportes],"NA")</f>
        <v>1</v>
      </c>
      <c r="F186" s="15">
        <f>_xlfn.XLOOKUP(Tabla8[[#This Row],[N° FACTURA]],Tabla3[N° FACTURA],Tabla3[VLR. TRANSPORTE],"NA")</f>
        <v>20000</v>
      </c>
      <c r="G186" s="15">
        <f>Tabla8[[#This Row],[VLR. TRANSPORTE]]/Tabla8[[#This Row],[Numero de Transportes]]</f>
        <v>20000</v>
      </c>
      <c r="H186" s="15">
        <f>_xlfn.XLOOKUP(Tabla8[[#This Row],[N° FACTURA]],Tabla3[N° FACTURA],Tabla3[VLR. TOTAL FACT.],"NA")</f>
        <v>392000</v>
      </c>
      <c r="I186" s="15">
        <f>Tabla8[[#This Row],[VLR. TOTAL FACT.]]-Tabla8[[#This Row],[VLR. TRANSPORTE]]</f>
        <v>372000</v>
      </c>
      <c r="J186" s="140">
        <f>Tabla8[[#This Row],[VLR. PRODUCTOS]]*0.2</f>
        <v>74400</v>
      </c>
      <c r="K186" s="15">
        <f>'ABC COSTEO'!B$11</f>
        <v>40740.427791666669</v>
      </c>
      <c r="L186" s="15">
        <f>Tabla8[[#This Row],[DISTANCIA (km)]]*2*'ABC COSTEO'!B$21</f>
        <v>9541.9319904941603</v>
      </c>
      <c r="M186" s="15">
        <f>Tabla8[[#This Row],[Costo Variable]]+Tabla8[[#This Row],[Costo fijo]]</f>
        <v>50282.359782160827</v>
      </c>
      <c r="N186" s="15">
        <f>Tabla8[[#This Row],[Costo Total]]*Tabla8[[#This Row],[Numero de Transportes]]</f>
        <v>50282.359782160827</v>
      </c>
      <c r="O186" s="15">
        <f>(Tabla8[[#This Row],[VLR. Transporte unitario]]-Tabla8[[#This Row],[Costo Total]])*Tabla8[[#This Row],[Numero de Transportes]]</f>
        <v>-30282.359782160827</v>
      </c>
      <c r="P186" s="15">
        <f>Tabla8[[#This Row],[Margen de productos]]+Tabla8[[#This Row],[Ganancia/Perdida]]</f>
        <v>44117.640217839173</v>
      </c>
      <c r="Q186" s="144">
        <f>(Tabla8[[#This Row],[Margen ]]/Tabla8[[#This Row],[Margen de productos]])-1</f>
        <v>-0.40702096481398964</v>
      </c>
    </row>
    <row r="187" spans="1:17" ht="15" thickBot="1" x14ac:dyDescent="0.35">
      <c r="A187" s="93">
        <v>30747</v>
      </c>
      <c r="B187" s="3" t="str">
        <f>_xlfn.XLOOKUP(Tabla8[[#This Row],[N° FACTURA]],Tabla3[N° FACTURA],Tabla3[Corregimiento],"NA")</f>
        <v>Borrero Ayerbe</v>
      </c>
      <c r="C187" s="3" t="str">
        <f>_xlfn.XLOOKUP(Tabla8[[#This Row],[N° FACTURA]],Tabla3[N° FACTURA],Tabla3[LUGAR ENVÍO],"NA")</f>
        <v>azul y verde</v>
      </c>
      <c r="D187" s="167">
        <f>_xlfn.XLOOKUP(Tabla8[[#This Row],[N° FACTURA]],Tabla3[N° FACTURA],Tabla3[DISTANCIA (km)],"NA")</f>
        <v>2.31</v>
      </c>
      <c r="E187" s="3">
        <f>_xlfn.XLOOKUP(Tabla8[[#This Row],[N° FACTURA]],Tabla3[N° FACTURA],Tabla3[Numero de Transportes],"NA")</f>
        <v>1</v>
      </c>
      <c r="F187" s="15">
        <f>_xlfn.XLOOKUP(Tabla8[[#This Row],[N° FACTURA]],Tabla3[N° FACTURA],Tabla3[VLR. TRANSPORTE],"NA")</f>
        <v>30000</v>
      </c>
      <c r="G187" s="15">
        <f>Tabla8[[#This Row],[VLR. TRANSPORTE]]/Tabla8[[#This Row],[Numero de Transportes]]</f>
        <v>30000</v>
      </c>
      <c r="H187" s="15">
        <f>_xlfn.XLOOKUP(Tabla8[[#This Row],[N° FACTURA]],Tabla3[N° FACTURA],Tabla3[VLR. TOTAL FACT.],"NA")</f>
        <v>232000</v>
      </c>
      <c r="I187" s="15">
        <f>Tabla8[[#This Row],[VLR. TOTAL FACT.]]-Tabla8[[#This Row],[VLR. TRANSPORTE]]</f>
        <v>202000</v>
      </c>
      <c r="J187" s="140">
        <f>Tabla8[[#This Row],[VLR. PRODUCTOS]]*0.2</f>
        <v>40400</v>
      </c>
      <c r="K187" s="15">
        <f>'ABC COSTEO'!B$11</f>
        <v>40740.427791666669</v>
      </c>
      <c r="L187" s="15">
        <f>Tabla8[[#This Row],[DISTANCIA (km)]]*2*'ABC COSTEO'!B$21</f>
        <v>6285.104903918309</v>
      </c>
      <c r="M187" s="15">
        <f>Tabla8[[#This Row],[Costo Variable]]+Tabla8[[#This Row],[Costo fijo]]</f>
        <v>47025.532695584974</v>
      </c>
      <c r="N187" s="15">
        <f>Tabla8[[#This Row],[Costo Total]]*Tabla8[[#This Row],[Numero de Transportes]]</f>
        <v>47025.532695584974</v>
      </c>
      <c r="O187" s="15">
        <f>(Tabla8[[#This Row],[VLR. Transporte unitario]]-Tabla8[[#This Row],[Costo Total]])*Tabla8[[#This Row],[Numero de Transportes]]</f>
        <v>-17025.532695584974</v>
      </c>
      <c r="P187" s="15">
        <f>Tabla8[[#This Row],[Margen de productos]]+Tabla8[[#This Row],[Ganancia/Perdida]]</f>
        <v>23374.467304415026</v>
      </c>
      <c r="Q187" s="144">
        <f>(Tabla8[[#This Row],[Margen ]]/Tabla8[[#This Row],[Margen de productos]])-1</f>
        <v>-0.42142407662339043</v>
      </c>
    </row>
    <row r="188" spans="1:17" ht="15" thickBot="1" x14ac:dyDescent="0.35">
      <c r="A188" s="3">
        <v>46903</v>
      </c>
      <c r="B188" s="3" t="str">
        <f>_xlfn.XLOOKUP(Tabla8[[#This Row],[N° FACTURA]],Tabla3[N° FACTURA],Tabla3[Corregimiento],"NA")</f>
        <v>San Bernardo</v>
      </c>
      <c r="C188" s="3" t="str">
        <f>_xlfn.XLOOKUP(Tabla8[[#This Row],[N° FACTURA]],Tabla3[N° FACTURA],Tabla3[LUGAR ENVÍO],"NA")</f>
        <v>Tocota</v>
      </c>
      <c r="D188" s="167">
        <f>_xlfn.XLOOKUP(Tabla8[[#This Row],[N° FACTURA]],Tabla3[N° FACTURA],Tabla3[DISTANCIA (km)],"NA")</f>
        <v>9.4380000000000024</v>
      </c>
      <c r="E188" s="3">
        <f>_xlfn.XLOOKUP(Tabla8[[#This Row],[N° FACTURA]],Tabla3[N° FACTURA],Tabla3[Numero de Transportes],"NA")</f>
        <v>1</v>
      </c>
      <c r="F188" s="15">
        <f>_xlfn.XLOOKUP(Tabla8[[#This Row],[N° FACTURA]],Tabla3[N° FACTURA],Tabla3[VLR. TRANSPORTE],"NA")</f>
        <v>50000</v>
      </c>
      <c r="G188" s="15">
        <f>Tabla8[[#This Row],[VLR. TRANSPORTE]]/Tabla8[[#This Row],[Numero de Transportes]]</f>
        <v>50000</v>
      </c>
      <c r="H188" s="15">
        <f>_xlfn.XLOOKUP(Tabla8[[#This Row],[N° FACTURA]],Tabla3[N° FACTURA],Tabla3[VLR. TOTAL FACT.],"NA")</f>
        <v>428000</v>
      </c>
      <c r="I188" s="15">
        <f>Tabla8[[#This Row],[VLR. TOTAL FACT.]]-Tabla8[[#This Row],[VLR. TRANSPORTE]]</f>
        <v>378000</v>
      </c>
      <c r="J188" s="140">
        <f>Tabla8[[#This Row],[VLR. PRODUCTOS]]*0.2</f>
        <v>75600</v>
      </c>
      <c r="K188" s="15">
        <f>'ABC COSTEO'!B$11</f>
        <v>40740.427791666669</v>
      </c>
      <c r="L188" s="15">
        <f>Tabla8[[#This Row],[DISTANCIA (km)]]*2*'ABC COSTEO'!B$21</f>
        <v>25679.142893151955</v>
      </c>
      <c r="M188" s="15">
        <f>Tabla8[[#This Row],[Costo Variable]]+Tabla8[[#This Row],[Costo fijo]]</f>
        <v>66419.570684818624</v>
      </c>
      <c r="N188" s="15">
        <f>Tabla8[[#This Row],[Costo Total]]*Tabla8[[#This Row],[Numero de Transportes]]</f>
        <v>66419.570684818624</v>
      </c>
      <c r="O188" s="15">
        <f>(Tabla8[[#This Row],[VLR. Transporte unitario]]-Tabla8[[#This Row],[Costo Total]])*Tabla8[[#This Row],[Numero de Transportes]]</f>
        <v>-16419.570684818624</v>
      </c>
      <c r="P188" s="15">
        <f>Tabla8[[#This Row],[Margen de productos]]+Tabla8[[#This Row],[Ganancia/Perdida]]</f>
        <v>59180.429315181376</v>
      </c>
      <c r="Q188" s="144">
        <f>(Tabla8[[#This Row],[Margen ]]/Tabla8[[#This Row],[Margen de productos]])-1</f>
        <v>-0.21719008842352672</v>
      </c>
    </row>
    <row r="189" spans="1:17" ht="27.6" thickBot="1" x14ac:dyDescent="0.35">
      <c r="A189" s="3">
        <v>48324</v>
      </c>
      <c r="B189" s="3" t="str">
        <f>_xlfn.XLOOKUP(Tabla8[[#This Row],[N° FACTURA]],Tabla3[N° FACTURA],Tabla3[Corregimiento],"NA")</f>
        <v>El Carmen</v>
      </c>
      <c r="C189" s="3" t="str">
        <f>_xlfn.XLOOKUP(Tabla8[[#This Row],[N° FACTURA]],Tabla3[N° FACTURA],Tabla3[LUGAR ENVÍO],"NA")</f>
        <v>Parcelacion la Cristalina</v>
      </c>
      <c r="D189" s="167">
        <f>_xlfn.XLOOKUP(Tabla8[[#This Row],[N° FACTURA]],Tabla3[N° FACTURA],Tabla3[DISTANCIA (km)],"NA")</f>
        <v>2.7099999999999986</v>
      </c>
      <c r="E189" s="3">
        <f>_xlfn.XLOOKUP(Tabla8[[#This Row],[N° FACTURA]],Tabla3[N° FACTURA],Tabla3[Numero de Transportes],"NA")</f>
        <v>1</v>
      </c>
      <c r="F189" s="15">
        <f>_xlfn.XLOOKUP(Tabla8[[#This Row],[N° FACTURA]],Tabla3[N° FACTURA],Tabla3[VLR. TRANSPORTE],"NA")</f>
        <v>50000</v>
      </c>
      <c r="G189" s="15">
        <f>Tabla8[[#This Row],[VLR. TRANSPORTE]]/Tabla8[[#This Row],[Numero de Transportes]]</f>
        <v>50000</v>
      </c>
      <c r="H189" s="15">
        <f>_xlfn.XLOOKUP(Tabla8[[#This Row],[N° FACTURA]],Tabla3[N° FACTURA],Tabla3[VLR. TOTAL FACT.],"NA")</f>
        <v>515000</v>
      </c>
      <c r="I189" s="15">
        <f>Tabla8[[#This Row],[VLR. TOTAL FACT.]]-Tabla8[[#This Row],[VLR. TRANSPORTE]]</f>
        <v>465000</v>
      </c>
      <c r="J189" s="140">
        <f>Tabla8[[#This Row],[VLR. PRODUCTOS]]*0.2</f>
        <v>93000</v>
      </c>
      <c r="K189" s="15">
        <f>'ABC COSTEO'!B$11</f>
        <v>40740.427791666669</v>
      </c>
      <c r="L189" s="15">
        <f>Tabla8[[#This Row],[DISTANCIA (km)]]*2*'ABC COSTEO'!B$21</f>
        <v>7373.4347574106532</v>
      </c>
      <c r="M189" s="15">
        <f>Tabla8[[#This Row],[Costo Variable]]+Tabla8[[#This Row],[Costo fijo]]</f>
        <v>48113.862549077319</v>
      </c>
      <c r="N189" s="15">
        <f>Tabla8[[#This Row],[Costo Total]]*Tabla8[[#This Row],[Numero de Transportes]]</f>
        <v>48113.862549077319</v>
      </c>
      <c r="O189" s="15">
        <f>(Tabla8[[#This Row],[VLR. Transporte unitario]]-Tabla8[[#This Row],[Costo Total]])*Tabla8[[#This Row],[Numero de Transportes]]</f>
        <v>1886.1374509226807</v>
      </c>
      <c r="P189" s="15">
        <f>Tabla8[[#This Row],[Margen de productos]]+Tabla8[[#This Row],[Ganancia/Perdida]]</f>
        <v>94886.137450922688</v>
      </c>
      <c r="Q189" s="144">
        <f>(Tabla8[[#This Row],[Margen ]]/Tabla8[[#This Row],[Margen de productos]])-1</f>
        <v>2.0281047859383783E-2</v>
      </c>
    </row>
    <row r="190" spans="1:17" ht="15" thickBot="1" x14ac:dyDescent="0.35">
      <c r="A190" s="3">
        <v>58857</v>
      </c>
      <c r="B190" s="3" t="str">
        <f>_xlfn.XLOOKUP(Tabla8[[#This Row],[N° FACTURA]],Tabla3[N° FACTURA],Tabla3[Corregimiento],"NA")</f>
        <v>Borrero Ayerbe</v>
      </c>
      <c r="C190" s="3" t="str">
        <f>_xlfn.XLOOKUP(Tabla8[[#This Row],[N° FACTURA]],Tabla3[N° FACTURA],Tabla3[LUGAR ENVÍO],"NA")</f>
        <v>la florida</v>
      </c>
      <c r="D190" s="167">
        <f>_xlfn.XLOOKUP(Tabla8[[#This Row],[N° FACTURA]],Tabla3[N° FACTURA],Tabla3[DISTANCIA (km)],"NA")</f>
        <v>1.4669269999999999</v>
      </c>
      <c r="E190" s="3">
        <f>_xlfn.XLOOKUP(Tabla8[[#This Row],[N° FACTURA]],Tabla3[N° FACTURA],Tabla3[Numero de Transportes],"NA")</f>
        <v>3</v>
      </c>
      <c r="F190" s="15">
        <f>_xlfn.XLOOKUP(Tabla8[[#This Row],[N° FACTURA]],Tabla3[N° FACTURA],Tabla3[VLR. TRANSPORTE],"NA")</f>
        <v>120000</v>
      </c>
      <c r="G190" s="15">
        <f>Tabla8[[#This Row],[VLR. TRANSPORTE]]/Tabla8[[#This Row],[Numero de Transportes]]</f>
        <v>40000</v>
      </c>
      <c r="H190" s="15">
        <f>_xlfn.XLOOKUP(Tabla8[[#This Row],[N° FACTURA]],Tabla3[N° FACTURA],Tabla3[VLR. TOTAL FACT.],"NA")</f>
        <v>720000</v>
      </c>
      <c r="I190" s="15">
        <f>Tabla8[[#This Row],[VLR. TOTAL FACT.]]-Tabla8[[#This Row],[VLR. TRANSPORTE]]</f>
        <v>600000</v>
      </c>
      <c r="J190" s="140">
        <f>Tabla8[[#This Row],[VLR. PRODUCTOS]]*0.2</f>
        <v>120000</v>
      </c>
      <c r="K190" s="15">
        <f>'ABC COSTEO'!B$11</f>
        <v>40740.427791666669</v>
      </c>
      <c r="L190" s="15">
        <f>Tabla8[[#This Row],[DISTANCIA (km)]]*2*'ABC COSTEO'!B$21</f>
        <v>3991.2511174849233</v>
      </c>
      <c r="M190" s="15">
        <f>Tabla8[[#This Row],[Costo Variable]]+Tabla8[[#This Row],[Costo fijo]]</f>
        <v>44731.678909151589</v>
      </c>
      <c r="N190" s="15">
        <f>Tabla8[[#This Row],[Costo Total]]*Tabla8[[#This Row],[Numero de Transportes]]</f>
        <v>134195.03672745478</v>
      </c>
      <c r="O190" s="15">
        <f>(Tabla8[[#This Row],[VLR. Transporte unitario]]-Tabla8[[#This Row],[Costo Total]])*Tabla8[[#This Row],[Numero de Transportes]]</f>
        <v>-14195.036727454768</v>
      </c>
      <c r="P190" s="15">
        <f>Tabla8[[#This Row],[Margen de productos]]+Tabla8[[#This Row],[Ganancia/Perdida]]</f>
        <v>105804.96327254522</v>
      </c>
      <c r="Q190" s="144">
        <f>(Tabla8[[#This Row],[Margen ]]/Tabla8[[#This Row],[Margen de productos]])-1</f>
        <v>-0.11829197272878977</v>
      </c>
    </row>
    <row r="191" spans="1:17" ht="15" thickBot="1" x14ac:dyDescent="0.35">
      <c r="A191" s="3">
        <v>58771</v>
      </c>
      <c r="B191" s="3" t="str">
        <f>_xlfn.XLOOKUP(Tabla8[[#This Row],[N° FACTURA]],Tabla3[N° FACTURA],Tabla3[Corregimiento],"NA")</f>
        <v>Borrero Ayerbe</v>
      </c>
      <c r="C191" s="3" t="str">
        <f>_xlfn.XLOOKUP(Tabla8[[#This Row],[N° FACTURA]],Tabla3[N° FACTURA],Tabla3[LUGAR ENVÍO],"NA")</f>
        <v>La recta</v>
      </c>
      <c r="D191" s="167">
        <f>_xlfn.XLOOKUP(Tabla8[[#This Row],[N° FACTURA]],Tabla3[N° FACTURA],Tabla3[DISTANCIA (km)],"NA")</f>
        <v>0.93500000000000016</v>
      </c>
      <c r="E191" s="3">
        <f>_xlfn.XLOOKUP(Tabla8[[#This Row],[N° FACTURA]],Tabla3[N° FACTURA],Tabla3[Numero de Transportes],"NA")</f>
        <v>1</v>
      </c>
      <c r="F191" s="15">
        <f>_xlfn.XLOOKUP(Tabla8[[#This Row],[N° FACTURA]],Tabla3[N° FACTURA],Tabla3[VLR. TRANSPORTE],"NA")</f>
        <v>30000</v>
      </c>
      <c r="G191" s="15">
        <f>Tabla8[[#This Row],[VLR. TRANSPORTE]]/Tabla8[[#This Row],[Numero de Transportes]]</f>
        <v>30000</v>
      </c>
      <c r="H191" s="15">
        <f>_xlfn.XLOOKUP(Tabla8[[#This Row],[N° FACTURA]],Tabla3[N° FACTURA],Tabla3[VLR. TOTAL FACT.],"NA")</f>
        <v>234000</v>
      </c>
      <c r="I191" s="15">
        <f>Tabla8[[#This Row],[VLR. TOTAL FACT.]]-Tabla8[[#This Row],[VLR. TRANSPORTE]]</f>
        <v>204000</v>
      </c>
      <c r="J191" s="140">
        <f>Tabla8[[#This Row],[VLR. PRODUCTOS]]*0.2</f>
        <v>40800</v>
      </c>
      <c r="K191" s="15">
        <f>'ABC COSTEO'!B$11</f>
        <v>40740.427791666669</v>
      </c>
      <c r="L191" s="15">
        <f>Tabla8[[#This Row],[DISTANCIA (km)]]*2*'ABC COSTEO'!B$21</f>
        <v>2543.9710325383635</v>
      </c>
      <c r="M191" s="15">
        <f>Tabla8[[#This Row],[Costo Variable]]+Tabla8[[#This Row],[Costo fijo]]</f>
        <v>43284.398824205033</v>
      </c>
      <c r="N191" s="15">
        <f>Tabla8[[#This Row],[Costo Total]]*Tabla8[[#This Row],[Numero de Transportes]]</f>
        <v>43284.398824205033</v>
      </c>
      <c r="O191" s="15">
        <f>(Tabla8[[#This Row],[VLR. Transporte unitario]]-Tabla8[[#This Row],[Costo Total]])*Tabla8[[#This Row],[Numero de Transportes]]</f>
        <v>-13284.398824205033</v>
      </c>
      <c r="P191" s="15">
        <f>Tabla8[[#This Row],[Margen de productos]]+Tabla8[[#This Row],[Ganancia/Perdida]]</f>
        <v>27515.601175794967</v>
      </c>
      <c r="Q191" s="144">
        <f>(Tabla8[[#This Row],[Margen ]]/Tabla8[[#This Row],[Margen de productos]])-1</f>
        <v>-0.32559801039718217</v>
      </c>
    </row>
    <row r="192" spans="1:17" ht="27.6" thickBot="1" x14ac:dyDescent="0.35">
      <c r="A192" s="91">
        <v>58517</v>
      </c>
      <c r="B192" s="3" t="str">
        <f>_xlfn.XLOOKUP(Tabla8[[#This Row],[N° FACTURA]],Tabla3[N° FACTURA],Tabla3[Corregimiento],"NA")</f>
        <v>El Carmen</v>
      </c>
      <c r="C192" s="3" t="str">
        <f>_xlfn.XLOOKUP(Tabla8[[#This Row],[N° FACTURA]],Tabla3[N° FACTURA],Tabla3[LUGAR ENVÍO],"NA")</f>
        <v xml:space="preserve">Las villas del carmen </v>
      </c>
      <c r="D192" s="167">
        <f>_xlfn.XLOOKUP(Tabla8[[#This Row],[N° FACTURA]],Tabla3[N° FACTURA],Tabla3[DISTANCIA (km)],"NA")</f>
        <v>3.5070000000000001</v>
      </c>
      <c r="E192" s="3">
        <f>_xlfn.XLOOKUP(Tabla8[[#This Row],[N° FACTURA]],Tabla3[N° FACTURA],Tabla3[Numero de Transportes],"NA")</f>
        <v>1</v>
      </c>
      <c r="F192" s="15">
        <f>_xlfn.XLOOKUP(Tabla8[[#This Row],[N° FACTURA]],Tabla3[N° FACTURA],Tabla3[VLR. TRANSPORTE],"NA")</f>
        <v>30000</v>
      </c>
      <c r="G192" s="15">
        <f>Tabla8[[#This Row],[VLR. TRANSPORTE]]/Tabla8[[#This Row],[Numero de Transportes]]</f>
        <v>30000</v>
      </c>
      <c r="H192" s="15">
        <f>_xlfn.XLOOKUP(Tabla8[[#This Row],[N° FACTURA]],Tabla3[N° FACTURA],Tabla3[VLR. TOTAL FACT.],"NA")</f>
        <v>408500</v>
      </c>
      <c r="I192" s="15">
        <f>Tabla8[[#This Row],[VLR. TOTAL FACT.]]-Tabla8[[#This Row],[VLR. TRANSPORTE]]</f>
        <v>378500</v>
      </c>
      <c r="J192" s="140">
        <f>Tabla8[[#This Row],[VLR. PRODUCTOS]]*0.2</f>
        <v>75700</v>
      </c>
      <c r="K192" s="15">
        <f>'ABC COSTEO'!B$11</f>
        <v>40740.427791666669</v>
      </c>
      <c r="L192" s="15">
        <f>Tabla8[[#This Row],[DISTANCIA (km)]]*2*'ABC COSTEO'!B$21</f>
        <v>9541.9319904941603</v>
      </c>
      <c r="M192" s="15">
        <f>Tabla8[[#This Row],[Costo Variable]]+Tabla8[[#This Row],[Costo fijo]]</f>
        <v>50282.359782160827</v>
      </c>
      <c r="N192" s="15">
        <f>Tabla8[[#This Row],[Costo Total]]*Tabla8[[#This Row],[Numero de Transportes]]</f>
        <v>50282.359782160827</v>
      </c>
      <c r="O192" s="15">
        <f>(Tabla8[[#This Row],[VLR. Transporte unitario]]-Tabla8[[#This Row],[Costo Total]])*Tabla8[[#This Row],[Numero de Transportes]]</f>
        <v>-20282.359782160827</v>
      </c>
      <c r="P192" s="15">
        <f>Tabla8[[#This Row],[Margen de productos]]+Tabla8[[#This Row],[Ganancia/Perdida]]</f>
        <v>55417.640217839173</v>
      </c>
      <c r="Q192" s="144">
        <f>(Tabla8[[#This Row],[Margen ]]/Tabla8[[#This Row],[Margen de productos]])-1</f>
        <v>-0.26793077651467412</v>
      </c>
    </row>
    <row r="193" spans="1:17" ht="15" thickBot="1" x14ac:dyDescent="0.35">
      <c r="A193" s="3">
        <v>58760</v>
      </c>
      <c r="B193" s="3" t="str">
        <f>_xlfn.XLOOKUP(Tabla8[[#This Row],[N° FACTURA]],Tabla3[N° FACTURA],Tabla3[Corregimiento],"NA")</f>
        <v>Borrero Ayerbe</v>
      </c>
      <c r="C193" s="3" t="str">
        <f>_xlfn.XLOOKUP(Tabla8[[#This Row],[N° FACTURA]],Tabla3[N° FACTURA],Tabla3[LUGAR ENVÍO],"NA")</f>
        <v>casa verde</v>
      </c>
      <c r="D193" s="167">
        <f>_xlfn.XLOOKUP(Tabla8[[#This Row],[N° FACTURA]],Tabla3[N° FACTURA],Tabla3[DISTANCIA (km)],"NA")</f>
        <v>4.6260000000000003</v>
      </c>
      <c r="E193" s="3">
        <f>_xlfn.XLOOKUP(Tabla8[[#This Row],[N° FACTURA]],Tabla3[N° FACTURA],Tabla3[Numero de Transportes],"NA")</f>
        <v>1</v>
      </c>
      <c r="F193" s="15">
        <f>_xlfn.XLOOKUP(Tabla8[[#This Row],[N° FACTURA]],Tabla3[N° FACTURA],Tabla3[VLR. TRANSPORTE],"NA")</f>
        <v>80000</v>
      </c>
      <c r="G193" s="15">
        <f>Tabla8[[#This Row],[VLR. TRANSPORTE]]/Tabla8[[#This Row],[Numero de Transportes]]</f>
        <v>80000</v>
      </c>
      <c r="H193" s="15">
        <f>_xlfn.XLOOKUP(Tabla8[[#This Row],[N° FACTURA]],Tabla3[N° FACTURA],Tabla3[VLR. TOTAL FACT.],"NA")</f>
        <v>284000</v>
      </c>
      <c r="I193" s="15">
        <f>Tabla8[[#This Row],[VLR. TOTAL FACT.]]-Tabla8[[#This Row],[VLR. TRANSPORTE]]</f>
        <v>204000</v>
      </c>
      <c r="J193" s="140">
        <f>Tabla8[[#This Row],[VLR. PRODUCTOS]]*0.2</f>
        <v>40800</v>
      </c>
      <c r="K193" s="15">
        <f>'ABC COSTEO'!B$11</f>
        <v>40740.427791666669</v>
      </c>
      <c r="L193" s="15">
        <f>Tabla8[[#This Row],[DISTANCIA (km)]]*2*'ABC COSTEO'!B$21</f>
        <v>12586.534755639004</v>
      </c>
      <c r="M193" s="15">
        <f>Tabla8[[#This Row],[Costo Variable]]+Tabla8[[#This Row],[Costo fijo]]</f>
        <v>53326.962547305673</v>
      </c>
      <c r="N193" s="15">
        <f>Tabla8[[#This Row],[Costo Total]]*Tabla8[[#This Row],[Numero de Transportes]]</f>
        <v>53326.962547305673</v>
      </c>
      <c r="O193" s="15">
        <f>(Tabla8[[#This Row],[VLR. Transporte unitario]]-Tabla8[[#This Row],[Costo Total]])*Tabla8[[#This Row],[Numero de Transportes]]</f>
        <v>26673.037452694327</v>
      </c>
      <c r="P193" s="15">
        <f>Tabla8[[#This Row],[Margen de productos]]+Tabla8[[#This Row],[Ganancia/Perdida]]</f>
        <v>67473.03745269432</v>
      </c>
      <c r="Q193" s="144">
        <f>(Tabla8[[#This Row],[Margen ]]/Tabla8[[#This Row],[Margen de productos]])-1</f>
        <v>0.65375091795819418</v>
      </c>
    </row>
    <row r="194" spans="1:17" ht="15" thickBot="1" x14ac:dyDescent="0.35">
      <c r="A194" s="3">
        <v>58345</v>
      </c>
      <c r="B194" s="3" t="str">
        <f>_xlfn.XLOOKUP(Tabla8[[#This Row],[N° FACTURA]],Tabla3[N° FACTURA],Tabla3[Corregimiento],"NA")</f>
        <v>El Carmen</v>
      </c>
      <c r="C194" s="3" t="str">
        <f>_xlfn.XLOOKUP(Tabla8[[#This Row],[N° FACTURA]],Tabla3[N° FACTURA],Tabla3[LUGAR ENVÍO],"NA")</f>
        <v>Altos del Carmen</v>
      </c>
      <c r="D194" s="167">
        <f>_xlfn.XLOOKUP(Tabla8[[#This Row],[N° FACTURA]],Tabla3[N° FACTURA],Tabla3[DISTANCIA (km)],"NA")</f>
        <v>5.4639999999999986</v>
      </c>
      <c r="E194" s="3">
        <f>_xlfn.XLOOKUP(Tabla8[[#This Row],[N° FACTURA]],Tabla3[N° FACTURA],Tabla3[Numero de Transportes],"NA")</f>
        <v>1</v>
      </c>
      <c r="F194" s="15">
        <f>_xlfn.XLOOKUP(Tabla8[[#This Row],[N° FACTURA]],Tabla3[N° FACTURA],Tabla3[VLR. TRANSPORTE],"NA")</f>
        <v>50000</v>
      </c>
      <c r="G194" s="15">
        <f>Tabla8[[#This Row],[VLR. TRANSPORTE]]/Tabla8[[#This Row],[Numero de Transportes]]</f>
        <v>50000</v>
      </c>
      <c r="H194" s="15">
        <f>_xlfn.XLOOKUP(Tabla8[[#This Row],[N° FACTURA]],Tabla3[N° FACTURA],Tabla3[VLR. TOTAL FACT.],"NA")</f>
        <v>694000</v>
      </c>
      <c r="I194" s="15">
        <f>Tabla8[[#This Row],[VLR. TOTAL FACT.]]-Tabla8[[#This Row],[VLR. TRANSPORTE]]</f>
        <v>644000</v>
      </c>
      <c r="J194" s="140">
        <f>Tabla8[[#This Row],[VLR. PRODUCTOS]]*0.2</f>
        <v>128800</v>
      </c>
      <c r="K194" s="15">
        <f>'ABC COSTEO'!B$11</f>
        <v>40740.427791666669</v>
      </c>
      <c r="L194" s="15">
        <f>Tabla8[[#This Row],[DISTANCIA (km)]]*2*'ABC COSTEO'!B$21</f>
        <v>14866.585798705468</v>
      </c>
      <c r="M194" s="15">
        <f>Tabla8[[#This Row],[Costo Variable]]+Tabla8[[#This Row],[Costo fijo]]</f>
        <v>55607.013590372138</v>
      </c>
      <c r="N194" s="15">
        <f>Tabla8[[#This Row],[Costo Total]]*Tabla8[[#This Row],[Numero de Transportes]]</f>
        <v>55607.013590372138</v>
      </c>
      <c r="O194" s="15">
        <f>(Tabla8[[#This Row],[VLR. Transporte unitario]]-Tabla8[[#This Row],[Costo Total]])*Tabla8[[#This Row],[Numero de Transportes]]</f>
        <v>-5607.0135903721384</v>
      </c>
      <c r="P194" s="15">
        <f>Tabla8[[#This Row],[Margen de productos]]+Tabla8[[#This Row],[Ganancia/Perdida]]</f>
        <v>123192.98640962786</v>
      </c>
      <c r="Q194" s="144">
        <f>(Tabla8[[#This Row],[Margen ]]/Tabla8[[#This Row],[Margen de productos]])-1</f>
        <v>-4.353271421096383E-2</v>
      </c>
    </row>
    <row r="195" spans="1:17" ht="15" thickBot="1" x14ac:dyDescent="0.35">
      <c r="A195" s="3">
        <v>46458</v>
      </c>
      <c r="B195" s="3" t="str">
        <f>_xlfn.XLOOKUP(Tabla8[[#This Row],[N° FACTURA]],Tabla3[N° FACTURA],Tabla3[Corregimiento],"NA")</f>
        <v>Borrero Ayerbe</v>
      </c>
      <c r="C195" s="3" t="str">
        <f>_xlfn.XLOOKUP(Tabla8[[#This Row],[N° FACTURA]],Tabla3[N° FACTURA],Tabla3[LUGAR ENVÍO],"NA")</f>
        <v>KM 25</v>
      </c>
      <c r="D195" s="167">
        <f>_xlfn.XLOOKUP(Tabla8[[#This Row],[N° FACTURA]],Tabla3[N° FACTURA],Tabla3[DISTANCIA (km)],"NA")</f>
        <v>6.4665800000000022</v>
      </c>
      <c r="E195" s="3">
        <f>_xlfn.XLOOKUP(Tabla8[[#This Row],[N° FACTURA]],Tabla3[N° FACTURA],Tabla3[Numero de Transportes],"NA")</f>
        <v>1</v>
      </c>
      <c r="F195" s="15">
        <f>_xlfn.XLOOKUP(Tabla8[[#This Row],[N° FACTURA]],Tabla3[N° FACTURA],Tabla3[VLR. TRANSPORTE],"NA")</f>
        <v>30000</v>
      </c>
      <c r="G195" s="15">
        <f>Tabla8[[#This Row],[VLR. TRANSPORTE]]/Tabla8[[#This Row],[Numero de Transportes]]</f>
        <v>30000</v>
      </c>
      <c r="H195" s="15">
        <f>_xlfn.XLOOKUP(Tabla8[[#This Row],[N° FACTURA]],Tabla3[N° FACTURA],Tabla3[VLR. TOTAL FACT.],"NA")</f>
        <v>994000</v>
      </c>
      <c r="I195" s="15">
        <f>Tabla8[[#This Row],[VLR. TOTAL FACT.]]-Tabla8[[#This Row],[VLR. TRANSPORTE]]</f>
        <v>964000</v>
      </c>
      <c r="J195" s="140">
        <f>Tabla8[[#This Row],[VLR. PRODUCTOS]]*0.2</f>
        <v>192800</v>
      </c>
      <c r="K195" s="15">
        <f>'ABC COSTEO'!B$11</f>
        <v>40740.427791666669</v>
      </c>
      <c r="L195" s="15">
        <f>Tabla8[[#This Row],[DISTANCIA (km)]]*2*'ABC COSTEO'!B$21</f>
        <v>17594.430159991374</v>
      </c>
      <c r="M195" s="15">
        <f>Tabla8[[#This Row],[Costo Variable]]+Tabla8[[#This Row],[Costo fijo]]</f>
        <v>58334.857951658043</v>
      </c>
      <c r="N195" s="15">
        <f>Tabla8[[#This Row],[Costo Total]]*Tabla8[[#This Row],[Numero de Transportes]]</f>
        <v>58334.857951658043</v>
      </c>
      <c r="O195" s="15">
        <f>(Tabla8[[#This Row],[VLR. Transporte unitario]]-Tabla8[[#This Row],[Costo Total]])*Tabla8[[#This Row],[Numero de Transportes]]</f>
        <v>-28334.857951658043</v>
      </c>
      <c r="P195" s="15">
        <f>Tabla8[[#This Row],[Margen de productos]]+Tabla8[[#This Row],[Ganancia/Perdida]]</f>
        <v>164465.14204834195</v>
      </c>
      <c r="Q195" s="144">
        <f>(Tabla8[[#This Row],[Margen ]]/Tabla8[[#This Row],[Margen de productos]])-1</f>
        <v>-0.14696503086959567</v>
      </c>
    </row>
    <row r="196" spans="1:17" ht="15" thickBot="1" x14ac:dyDescent="0.35">
      <c r="A196" s="146">
        <v>47342</v>
      </c>
      <c r="B196" s="3" t="str">
        <f>_xlfn.XLOOKUP(Tabla8[[#This Row],[N° FACTURA]],Tabla3[N° FACTURA],Tabla3[Corregimiento],"NA")</f>
        <v>Borrero Ayerbe</v>
      </c>
      <c r="C196" s="3" t="str">
        <f>_xlfn.XLOOKUP(Tabla8[[#This Row],[N° FACTURA]],Tabla3[N° FACTURA],Tabla3[LUGAR ENVÍO],"NA")</f>
        <v xml:space="preserve">Salida al carmen </v>
      </c>
      <c r="D196" s="167">
        <f>_xlfn.XLOOKUP(Tabla8[[#This Row],[N° FACTURA]],Tabla3[N° FACTURA],Tabla3[DISTANCIA (km)],"NA")</f>
        <v>2.3290000000000006</v>
      </c>
      <c r="E196" s="3">
        <f>_xlfn.XLOOKUP(Tabla8[[#This Row],[N° FACTURA]],Tabla3[N° FACTURA],Tabla3[Numero de Transportes],"NA")</f>
        <v>1</v>
      </c>
      <c r="F196" s="15">
        <f>_xlfn.XLOOKUP(Tabla8[[#This Row],[N° FACTURA]],Tabla3[N° FACTURA],Tabla3[VLR. TRANSPORTE],"NA")</f>
        <v>30000</v>
      </c>
      <c r="G196" s="15">
        <f>Tabla8[[#This Row],[VLR. TRANSPORTE]]/Tabla8[[#This Row],[Numero de Transportes]]</f>
        <v>30000</v>
      </c>
      <c r="H196" s="15">
        <f>_xlfn.XLOOKUP(Tabla8[[#This Row],[N° FACTURA]],Tabla3[N° FACTURA],Tabla3[VLR. TOTAL FACT.],"NA")</f>
        <v>637600</v>
      </c>
      <c r="I196" s="15">
        <f>Tabla8[[#This Row],[VLR. TOTAL FACT.]]-Tabla8[[#This Row],[VLR. TRANSPORTE]]</f>
        <v>607600</v>
      </c>
      <c r="J196" s="140">
        <f>Tabla8[[#This Row],[VLR. PRODUCTOS]]*0.2</f>
        <v>121520</v>
      </c>
      <c r="K196" s="15">
        <f>'ABC COSTEO'!B$11</f>
        <v>40740.427791666669</v>
      </c>
      <c r="L196" s="15">
        <f>Tabla8[[#This Row],[DISTANCIA (km)]]*2*'ABC COSTEO'!B$21</f>
        <v>6336.8005719591974</v>
      </c>
      <c r="M196" s="15">
        <f>Tabla8[[#This Row],[Costo Variable]]+Tabla8[[#This Row],[Costo fijo]]</f>
        <v>47077.228363625865</v>
      </c>
      <c r="N196" s="15">
        <f>Tabla8[[#This Row],[Costo Total]]*Tabla8[[#This Row],[Numero de Transportes]]</f>
        <v>47077.228363625865</v>
      </c>
      <c r="O196" s="15">
        <f>(Tabla8[[#This Row],[VLR. Transporte unitario]]-Tabla8[[#This Row],[Costo Total]])*Tabla8[[#This Row],[Numero de Transportes]]</f>
        <v>-17077.228363625865</v>
      </c>
      <c r="P196" s="15">
        <f>Tabla8[[#This Row],[Margen de productos]]+Tabla8[[#This Row],[Ganancia/Perdida]]</f>
        <v>104442.77163637413</v>
      </c>
      <c r="Q196" s="144">
        <f>(Tabla8[[#This Row],[Margen ]]/Tabla8[[#This Row],[Margen de productos]])-1</f>
        <v>-0.14053018732411016</v>
      </c>
    </row>
    <row r="197" spans="1:17" ht="15" thickBot="1" x14ac:dyDescent="0.35">
      <c r="A197" s="93">
        <v>58126</v>
      </c>
      <c r="B197" s="3" t="str">
        <f>_xlfn.XLOOKUP(Tabla8[[#This Row],[N° FACTURA]],Tabla3[N° FACTURA],Tabla3[Corregimiento],"NA")</f>
        <v>Borrero Ayerbe</v>
      </c>
      <c r="C197" s="3" t="str">
        <f>_xlfn.XLOOKUP(Tabla8[[#This Row],[N° FACTURA]],Tabla3[N° FACTURA],Tabla3[LUGAR ENVÍO],"NA")</f>
        <v>El parque</v>
      </c>
      <c r="D197" s="167">
        <f>_xlfn.XLOOKUP(Tabla8[[#This Row],[N° FACTURA]],Tabla3[N° FACTURA],Tabla3[DISTANCIA (km)],"NA")</f>
        <v>0.83599999999999997</v>
      </c>
      <c r="E197" s="3">
        <f>_xlfn.XLOOKUP(Tabla8[[#This Row],[N° FACTURA]],Tabla3[N° FACTURA],Tabla3[Numero de Transportes],"NA")</f>
        <v>1</v>
      </c>
      <c r="F197" s="15">
        <f>_xlfn.XLOOKUP(Tabla8[[#This Row],[N° FACTURA]],Tabla3[N° FACTURA],Tabla3[VLR. TRANSPORTE],"NA")</f>
        <v>30000</v>
      </c>
      <c r="G197" s="15">
        <f>Tabla8[[#This Row],[VLR. TRANSPORTE]]/Tabla8[[#This Row],[Numero de Transportes]]</f>
        <v>30000</v>
      </c>
      <c r="H197" s="15">
        <f>_xlfn.XLOOKUP(Tabla8[[#This Row],[N° FACTURA]],Tabla3[N° FACTURA],Tabla3[VLR. TOTAL FACT.],"NA")</f>
        <v>412000</v>
      </c>
      <c r="I197" s="15">
        <f>Tabla8[[#This Row],[VLR. TOTAL FACT.]]-Tabla8[[#This Row],[VLR. TRANSPORTE]]</f>
        <v>382000</v>
      </c>
      <c r="J197" s="140">
        <f>Tabla8[[#This Row],[VLR. PRODUCTOS]]*0.2</f>
        <v>76400</v>
      </c>
      <c r="K197" s="15">
        <f>'ABC COSTEO'!B$11</f>
        <v>40740.427791666669</v>
      </c>
      <c r="L197" s="15">
        <f>Tabla8[[#This Row],[DISTANCIA (km)]]*2*'ABC COSTEO'!B$21</f>
        <v>2274.6093937990067</v>
      </c>
      <c r="M197" s="15">
        <f>Tabla8[[#This Row],[Costo Variable]]+Tabla8[[#This Row],[Costo fijo]]</f>
        <v>43015.037185465677</v>
      </c>
      <c r="N197" s="15">
        <f>Tabla8[[#This Row],[Costo Total]]*Tabla8[[#This Row],[Numero de Transportes]]</f>
        <v>43015.037185465677</v>
      </c>
      <c r="O197" s="15">
        <f>(Tabla8[[#This Row],[VLR. Transporte unitario]]-Tabla8[[#This Row],[Costo Total]])*Tabla8[[#This Row],[Numero de Transportes]]</f>
        <v>-13015.037185465677</v>
      </c>
      <c r="P197" s="15">
        <f>Tabla8[[#This Row],[Margen de productos]]+Tabla8[[#This Row],[Ganancia/Perdida]]</f>
        <v>63384.962814534323</v>
      </c>
      <c r="Q197" s="144">
        <f>(Tabla8[[#This Row],[Margen ]]/Tabla8[[#This Row],[Margen de productos]])-1</f>
        <v>-0.17035388986211619</v>
      </c>
    </row>
    <row r="198" spans="1:17" ht="15" thickBot="1" x14ac:dyDescent="0.35">
      <c r="A198" s="147">
        <v>59099</v>
      </c>
      <c r="B198" s="3" t="str">
        <f>_xlfn.XLOOKUP(Tabla8[[#This Row],[N° FACTURA]],Tabla3[N° FACTURA],Tabla3[Corregimiento],"NA")</f>
        <v>El Carmen</v>
      </c>
      <c r="C198" s="3" t="str">
        <f>_xlfn.XLOOKUP(Tabla8[[#This Row],[N° FACTURA]],Tabla3[N° FACTURA],Tabla3[LUGAR ENVÍO],"NA")</f>
        <v>La Clorinda</v>
      </c>
      <c r="D198" s="167">
        <f>_xlfn.XLOOKUP(Tabla8[[#This Row],[N° FACTURA]],Tabla3[N° FACTURA],Tabla3[DISTANCIA (km)],"NA")</f>
        <v>5.2639999999999967</v>
      </c>
      <c r="E198" s="3">
        <f>_xlfn.XLOOKUP(Tabla8[[#This Row],[N° FACTURA]],Tabla3[N° FACTURA],Tabla3[Numero de Transportes],"NA")</f>
        <v>1</v>
      </c>
      <c r="F198" s="15">
        <f>_xlfn.XLOOKUP(Tabla8[[#This Row],[N° FACTURA]],Tabla3[N° FACTURA],Tabla3[VLR. TRANSPORTE],"NA")</f>
        <v>40000</v>
      </c>
      <c r="G198" s="15">
        <f>Tabla8[[#This Row],[VLR. TRANSPORTE]]/Tabla8[[#This Row],[Numero de Transportes]]</f>
        <v>40000</v>
      </c>
      <c r="H198" s="15">
        <f>_xlfn.XLOOKUP(Tabla8[[#This Row],[N° FACTURA]],Tabla3[N° FACTURA],Tabla3[VLR. TOTAL FACT.],"NA")</f>
        <v>244400</v>
      </c>
      <c r="I198" s="15">
        <f>Tabla8[[#This Row],[VLR. TOTAL FACT.]]-Tabla8[[#This Row],[VLR. TRANSPORTE]]</f>
        <v>204400</v>
      </c>
      <c r="J198" s="140">
        <f>Tabla8[[#This Row],[VLR. PRODUCTOS]]*0.2</f>
        <v>40880</v>
      </c>
      <c r="K198" s="15">
        <f>'ABC COSTEO'!B$11</f>
        <v>40740.427791666669</v>
      </c>
      <c r="L198" s="15">
        <f>Tabla8[[#This Row],[DISTANCIA (km)]]*2*'ABC COSTEO'!B$21</f>
        <v>14322.420871959288</v>
      </c>
      <c r="M198" s="15">
        <f>Tabla8[[#This Row],[Costo Variable]]+Tabla8[[#This Row],[Costo fijo]]</f>
        <v>55062.848663625955</v>
      </c>
      <c r="N198" s="15">
        <f>Tabla8[[#This Row],[Costo Total]]*Tabla8[[#This Row],[Numero de Transportes]]</f>
        <v>55062.848663625955</v>
      </c>
      <c r="O198" s="15">
        <f>(Tabla8[[#This Row],[VLR. Transporte unitario]]-Tabla8[[#This Row],[Costo Total]])*Tabla8[[#This Row],[Numero de Transportes]]</f>
        <v>-15062.848663625955</v>
      </c>
      <c r="P198" s="15">
        <f>Tabla8[[#This Row],[Margen de productos]]+Tabla8[[#This Row],[Ganancia/Perdida]]</f>
        <v>25817.151336374045</v>
      </c>
      <c r="Q198" s="144">
        <f>(Tabla8[[#This Row],[Margen ]]/Tabla8[[#This Row],[Margen de productos]])-1</f>
        <v>-0.36846498687930418</v>
      </c>
    </row>
    <row r="199" spans="1:17" ht="27.6" thickBot="1" x14ac:dyDescent="0.35">
      <c r="A199" s="147">
        <v>52866</v>
      </c>
      <c r="B199" s="3" t="str">
        <f>_xlfn.XLOOKUP(Tabla8[[#This Row],[N° FACTURA]],Tabla3[N° FACTURA],Tabla3[Corregimiento],"NA")</f>
        <v>El Carmen</v>
      </c>
      <c r="C199" s="3" t="str">
        <f>_xlfn.XLOOKUP(Tabla8[[#This Row],[N° FACTURA]],Tabla3[N° FACTURA],Tabla3[LUGAR ENVÍO],"NA")</f>
        <v xml:space="preserve">Parcelaón las palmas </v>
      </c>
      <c r="D199" s="167">
        <f>_xlfn.XLOOKUP(Tabla8[[#This Row],[N° FACTURA]],Tabla3[N° FACTURA],Tabla3[DISTANCIA (km)],"NA")</f>
        <v>2.6410000000000009</v>
      </c>
      <c r="E199" s="3">
        <f>_xlfn.XLOOKUP(Tabla8[[#This Row],[N° FACTURA]],Tabla3[N° FACTURA],Tabla3[Numero de Transportes],"NA")</f>
        <v>1</v>
      </c>
      <c r="F199" s="15">
        <f>_xlfn.XLOOKUP(Tabla8[[#This Row],[N° FACTURA]],Tabla3[N° FACTURA],Tabla3[VLR. TRANSPORTE],"NA")</f>
        <v>40000</v>
      </c>
      <c r="G199" s="15">
        <f>Tabla8[[#This Row],[VLR. TRANSPORTE]]/Tabla8[[#This Row],[Numero de Transportes]]</f>
        <v>40000</v>
      </c>
      <c r="H199" s="15">
        <f>_xlfn.XLOOKUP(Tabla8[[#This Row],[N° FACTURA]],Tabla3[N° FACTURA],Tabla3[VLR. TOTAL FACT.],"NA")</f>
        <v>486200</v>
      </c>
      <c r="I199" s="15">
        <f>Tabla8[[#This Row],[VLR. TOTAL FACT.]]-Tabla8[[#This Row],[VLR. TRANSPORTE]]</f>
        <v>446200</v>
      </c>
      <c r="J199" s="140">
        <f>Tabla8[[#This Row],[VLR. PRODUCTOS]]*0.2</f>
        <v>89240</v>
      </c>
      <c r="K199" s="15">
        <f>'ABC COSTEO'!B$11</f>
        <v>40740.427791666669</v>
      </c>
      <c r="L199" s="15">
        <f>Tabla8[[#This Row],[DISTANCIA (km)]]*2*'ABC COSTEO'!B$21</f>
        <v>7185.6978576832289</v>
      </c>
      <c r="M199" s="15">
        <f>Tabla8[[#This Row],[Costo Variable]]+Tabla8[[#This Row],[Costo fijo]]</f>
        <v>47926.125649349895</v>
      </c>
      <c r="N199" s="15">
        <f>Tabla8[[#This Row],[Costo Total]]*Tabla8[[#This Row],[Numero de Transportes]]</f>
        <v>47926.125649349895</v>
      </c>
      <c r="O199" s="15">
        <f>(Tabla8[[#This Row],[VLR. Transporte unitario]]-Tabla8[[#This Row],[Costo Total]])*Tabla8[[#This Row],[Numero de Transportes]]</f>
        <v>-7926.125649349895</v>
      </c>
      <c r="P199" s="15">
        <f>Tabla8[[#This Row],[Margen de productos]]+Tabla8[[#This Row],[Ganancia/Perdida]]</f>
        <v>81313.874350650105</v>
      </c>
      <c r="Q199" s="144">
        <f>(Tabla8[[#This Row],[Margen ]]/Tabla8[[#This Row],[Margen de productos]])-1</f>
        <v>-8.8818082130769804E-2</v>
      </c>
    </row>
    <row r="200" spans="1:17" ht="27.6" thickBot="1" x14ac:dyDescent="0.35">
      <c r="A200" s="3">
        <v>59071</v>
      </c>
      <c r="B200" s="3" t="str">
        <f>_xlfn.XLOOKUP(Tabla8[[#This Row],[N° FACTURA]],Tabla3[N° FACTURA],Tabla3[Corregimiento],"NA")</f>
        <v>El Carmen</v>
      </c>
      <c r="C200" s="3" t="str">
        <f>_xlfn.XLOOKUP(Tabla8[[#This Row],[N° FACTURA]],Tabla3[N° FACTURA],Tabla3[LUGAR ENVÍO],"NA")</f>
        <v xml:space="preserve">Las villas del carmen </v>
      </c>
      <c r="D200" s="167">
        <f>_xlfn.XLOOKUP(Tabla8[[#This Row],[N° FACTURA]],Tabla3[N° FACTURA],Tabla3[DISTANCIA (km)],"NA")</f>
        <v>3.5070000000000001</v>
      </c>
      <c r="E200" s="3">
        <f>_xlfn.XLOOKUP(Tabla8[[#This Row],[N° FACTURA]],Tabla3[N° FACTURA],Tabla3[Numero de Transportes],"NA")</f>
        <v>1</v>
      </c>
      <c r="F200" s="15">
        <f>_xlfn.XLOOKUP(Tabla8[[#This Row],[N° FACTURA]],Tabla3[N° FACTURA],Tabla3[VLR. TRANSPORTE],"NA")</f>
        <v>50000</v>
      </c>
      <c r="G200" s="15">
        <f>Tabla8[[#This Row],[VLR. TRANSPORTE]]/Tabla8[[#This Row],[Numero de Transportes]]</f>
        <v>50000</v>
      </c>
      <c r="H200" s="15">
        <f>_xlfn.XLOOKUP(Tabla8[[#This Row],[N° FACTURA]],Tabla3[N° FACTURA],Tabla3[VLR. TOTAL FACT.],"NA")</f>
        <v>660000</v>
      </c>
      <c r="I200" s="96">
        <f>Tabla8[[#This Row],[VLR. TOTAL FACT.]]-Tabla8[[#This Row],[VLR. TRANSPORTE]]</f>
        <v>610000</v>
      </c>
      <c r="J200" s="140">
        <f>Tabla8[[#This Row],[VLR. PRODUCTOS]]*0.2</f>
        <v>122000</v>
      </c>
      <c r="K200" s="15">
        <f>'ABC COSTEO'!B$11</f>
        <v>40740.427791666669</v>
      </c>
      <c r="L200" s="15">
        <f>Tabla8[[#This Row],[DISTANCIA (km)]]*2*'ABC COSTEO'!B$21</f>
        <v>9541.9319904941603</v>
      </c>
      <c r="M200" s="15">
        <f>Tabla8[[#This Row],[Costo Variable]]+Tabla8[[#This Row],[Costo fijo]]</f>
        <v>50282.359782160827</v>
      </c>
      <c r="N200" s="15">
        <f>Tabla8[[#This Row],[Costo Total]]*Tabla8[[#This Row],[Numero de Transportes]]</f>
        <v>50282.359782160827</v>
      </c>
      <c r="O200" s="15">
        <f>(Tabla8[[#This Row],[VLR. Transporte unitario]]-Tabla8[[#This Row],[Costo Total]])*Tabla8[[#This Row],[Numero de Transportes]]</f>
        <v>-282.35978216082731</v>
      </c>
      <c r="P200" s="15">
        <f>Tabla8[[#This Row],[Margen de productos]]+Tabla8[[#This Row],[Ganancia/Perdida]]</f>
        <v>121717.64021783917</v>
      </c>
      <c r="Q200" s="144">
        <f>(Tabla8[[#This Row],[Margen ]]/Tabla8[[#This Row],[Margen de productos]])-1</f>
        <v>-2.3144244439412542E-3</v>
      </c>
    </row>
    <row r="201" spans="1:17" ht="15" thickBot="1" x14ac:dyDescent="0.35">
      <c r="A201" s="146">
        <v>50115</v>
      </c>
      <c r="B201" s="3" t="str">
        <f>_xlfn.XLOOKUP(Tabla8[[#This Row],[N° FACTURA]],Tabla3[N° FACTURA],Tabla3[Corregimiento],"NA")</f>
        <v>El Limonar</v>
      </c>
      <c r="C201" s="3" t="str">
        <f>_xlfn.XLOOKUP(Tabla8[[#This Row],[N° FACTURA]],Tabla3[N° FACTURA],Tabla3[LUGAR ENVÍO],"NA")</f>
        <v>palo alto</v>
      </c>
      <c r="D201" s="167">
        <f>_xlfn.XLOOKUP(Tabla8[[#This Row],[N° FACTURA]],Tabla3[N° FACTURA],Tabla3[DISTANCIA (km)],"NA")</f>
        <v>4.4759999999999982</v>
      </c>
      <c r="E201" s="3">
        <f>_xlfn.XLOOKUP(Tabla8[[#This Row],[N° FACTURA]],Tabla3[N° FACTURA],Tabla3[Numero de Transportes],"NA")</f>
        <v>1</v>
      </c>
      <c r="F201" s="15">
        <f>_xlfn.XLOOKUP(Tabla8[[#This Row],[N° FACTURA]],Tabla3[N° FACTURA],Tabla3[VLR. TRANSPORTE],"NA")</f>
        <v>70000</v>
      </c>
      <c r="G201" s="15">
        <f>Tabla8[[#This Row],[VLR. TRANSPORTE]]/Tabla8[[#This Row],[Numero de Transportes]]</f>
        <v>70000</v>
      </c>
      <c r="H201" s="15">
        <f>_xlfn.XLOOKUP(Tabla8[[#This Row],[N° FACTURA]],Tabla3[N° FACTURA],Tabla3[VLR. TOTAL FACT.],"NA")</f>
        <v>557500</v>
      </c>
      <c r="I201" s="15">
        <f>Tabla8[[#This Row],[VLR. TOTAL FACT.]]-Tabla8[[#This Row],[VLR. TRANSPORTE]]</f>
        <v>487500</v>
      </c>
      <c r="J201" s="140">
        <f>Tabla8[[#This Row],[VLR. PRODUCTOS]]*0.2</f>
        <v>97500</v>
      </c>
      <c r="K201" s="15">
        <f>'ABC COSTEO'!B$11</f>
        <v>40740.427791666669</v>
      </c>
      <c r="L201" s="15">
        <f>Tabla8[[#This Row],[DISTANCIA (km)]]*2*'ABC COSTEO'!B$21</f>
        <v>12178.411060579368</v>
      </c>
      <c r="M201" s="15">
        <f>Tabla8[[#This Row],[Costo Variable]]+Tabla8[[#This Row],[Costo fijo]]</f>
        <v>52918.838852246037</v>
      </c>
      <c r="N201" s="15">
        <f>Tabla8[[#This Row],[Costo Total]]*Tabla8[[#This Row],[Numero de Transportes]]</f>
        <v>52918.838852246037</v>
      </c>
      <c r="O201" s="15">
        <f>(Tabla8[[#This Row],[VLR. Transporte unitario]]-Tabla8[[#This Row],[Costo Total]])*Tabla8[[#This Row],[Numero de Transportes]]</f>
        <v>17081.161147753963</v>
      </c>
      <c r="P201" s="15">
        <f>Tabla8[[#This Row],[Margen de productos]]+Tabla8[[#This Row],[Ganancia/Perdida]]</f>
        <v>114581.16114775397</v>
      </c>
      <c r="Q201" s="144">
        <f>(Tabla8[[#This Row],[Margen ]]/Tabla8[[#This Row],[Margen de productos]])-1</f>
        <v>0.17519139638722026</v>
      </c>
    </row>
    <row r="202" spans="1:17" ht="15" thickBot="1" x14ac:dyDescent="0.35">
      <c r="A202" s="3">
        <v>58826</v>
      </c>
      <c r="B202" s="3" t="str">
        <f>_xlfn.XLOOKUP(Tabla8[[#This Row],[N° FACTURA]],Tabla3[N° FACTURA],Tabla3[Corregimiento],"NA")</f>
        <v>Borrero Ayerbe</v>
      </c>
      <c r="C202" s="3" t="str">
        <f>_xlfn.XLOOKUP(Tabla8[[#This Row],[N° FACTURA]],Tabla3[N° FACTURA],Tabla3[LUGAR ENVÍO],"NA")</f>
        <v>la florida</v>
      </c>
      <c r="D202" s="167">
        <f>_xlfn.XLOOKUP(Tabla8[[#This Row],[N° FACTURA]],Tabla3[N° FACTURA],Tabla3[DISTANCIA (km)],"NA")</f>
        <v>1.4669269999999999</v>
      </c>
      <c r="E202" s="3">
        <f>_xlfn.XLOOKUP(Tabla8[[#This Row],[N° FACTURA]],Tabla3[N° FACTURA],Tabla3[Numero de Transportes],"NA")</f>
        <v>2</v>
      </c>
      <c r="F202" s="15">
        <f>_xlfn.XLOOKUP(Tabla8[[#This Row],[N° FACTURA]],Tabla3[N° FACTURA],Tabla3[VLR. TRANSPORTE],"NA")</f>
        <v>40000</v>
      </c>
      <c r="G202" s="15">
        <f>Tabla8[[#This Row],[VLR. TRANSPORTE]]/Tabla8[[#This Row],[Numero de Transportes]]</f>
        <v>20000</v>
      </c>
      <c r="H202" s="15">
        <f>_xlfn.XLOOKUP(Tabla8[[#This Row],[N° FACTURA]],Tabla3[N° FACTURA],Tabla3[VLR. TOTAL FACT.],"NA")</f>
        <v>1882000</v>
      </c>
      <c r="I202" s="15">
        <f>Tabla8[[#This Row],[VLR. TOTAL FACT.]]-Tabla8[[#This Row],[VLR. TRANSPORTE]]</f>
        <v>1842000</v>
      </c>
      <c r="J202" s="140">
        <f>Tabla8[[#This Row],[VLR. PRODUCTOS]]*0.2</f>
        <v>368400</v>
      </c>
      <c r="K202" s="15">
        <f>'ABC COSTEO'!B$11</f>
        <v>40740.427791666669</v>
      </c>
      <c r="L202" s="15">
        <f>Tabla8[[#This Row],[DISTANCIA (km)]]*2*'ABC COSTEO'!B$21</f>
        <v>3991.2511174849233</v>
      </c>
      <c r="M202" s="15">
        <f>Tabla8[[#This Row],[Costo Variable]]+Tabla8[[#This Row],[Costo fijo]]</f>
        <v>44731.678909151589</v>
      </c>
      <c r="N202" s="15">
        <f>Tabla8[[#This Row],[Costo Total]]*Tabla8[[#This Row],[Numero de Transportes]]</f>
        <v>89463.357818303179</v>
      </c>
      <c r="O202" s="15">
        <f>(Tabla8[[#This Row],[VLR. Transporte unitario]]-Tabla8[[#This Row],[Costo Total]])*Tabla8[[#This Row],[Numero de Transportes]]</f>
        <v>-49463.357818303179</v>
      </c>
      <c r="P202" s="15">
        <f>Tabla8[[#This Row],[Margen de productos]]+Tabla8[[#This Row],[Ganancia/Perdida]]</f>
        <v>318936.64218169684</v>
      </c>
      <c r="Q202" s="144">
        <f>(Tabla8[[#This Row],[Margen ]]/Tabla8[[#This Row],[Margen de productos]])-1</f>
        <v>-0.13426535781298365</v>
      </c>
    </row>
    <row r="203" spans="1:17" ht="15" thickBot="1" x14ac:dyDescent="0.35">
      <c r="A203" s="3">
        <v>58727</v>
      </c>
      <c r="B203" s="3" t="str">
        <f>_xlfn.XLOOKUP(Tabla8[[#This Row],[N° FACTURA]],Tabla3[N° FACTURA],Tabla3[Corregimiento],"NA")</f>
        <v>Borrero Ayerbe</v>
      </c>
      <c r="C203" s="3" t="str">
        <f>_xlfn.XLOOKUP(Tabla8[[#This Row],[N° FACTURA]],Tabla3[N° FACTURA],Tabla3[LUGAR ENVÍO],"NA")</f>
        <v>La Zulia 3</v>
      </c>
      <c r="D203" s="167">
        <f>_xlfn.XLOOKUP(Tabla8[[#This Row],[N° FACTURA]],Tabla3[N° FACTURA],Tabla3[DISTANCIA (km)],"NA")</f>
        <v>1.087</v>
      </c>
      <c r="E203" s="3">
        <f>_xlfn.XLOOKUP(Tabla8[[#This Row],[N° FACTURA]],Tabla3[N° FACTURA],Tabla3[Numero de Transportes],"NA")</f>
        <v>1</v>
      </c>
      <c r="F203" s="15">
        <f>_xlfn.XLOOKUP(Tabla8[[#This Row],[N° FACTURA]],Tabla3[N° FACTURA],Tabla3[VLR. TRANSPORTE],"NA")</f>
        <v>50000</v>
      </c>
      <c r="G203" s="15">
        <f>Tabla8[[#This Row],[VLR. TRANSPORTE]]/Tabla8[[#This Row],[Numero de Transportes]]</f>
        <v>50000</v>
      </c>
      <c r="H203" s="15">
        <f>_xlfn.XLOOKUP(Tabla8[[#This Row],[N° FACTURA]],Tabla3[N° FACTURA],Tabla3[VLR. TOTAL FACT.],"NA")</f>
        <v>1940000</v>
      </c>
      <c r="I203" s="15">
        <f>Tabla8[[#This Row],[VLR. TOTAL FACT.]]-Tabla8[[#This Row],[VLR. TRANSPORTE]]</f>
        <v>1890000</v>
      </c>
      <c r="J203" s="140">
        <f>Tabla8[[#This Row],[VLR. PRODUCTOS]]*0.2</f>
        <v>378000</v>
      </c>
      <c r="K203" s="15">
        <f>'ABC COSTEO'!B$11</f>
        <v>40740.427791666669</v>
      </c>
      <c r="L203" s="15">
        <f>Tabla8[[#This Row],[DISTANCIA (km)]]*2*'ABC COSTEO'!B$21</f>
        <v>2957.5363768654552</v>
      </c>
      <c r="M203" s="15">
        <f>Tabla8[[#This Row],[Costo Variable]]+Tabla8[[#This Row],[Costo fijo]]</f>
        <v>43697.964168532126</v>
      </c>
      <c r="N203" s="15">
        <f>Tabla8[[#This Row],[Costo Total]]*Tabla8[[#This Row],[Numero de Transportes]]</f>
        <v>43697.964168532126</v>
      </c>
      <c r="O203" s="15">
        <f>(Tabla8[[#This Row],[VLR. Transporte unitario]]-Tabla8[[#This Row],[Costo Total]])*Tabla8[[#This Row],[Numero de Transportes]]</f>
        <v>6302.0358314678742</v>
      </c>
      <c r="P203" s="15">
        <f>Tabla8[[#This Row],[Margen de productos]]+Tabla8[[#This Row],[Ganancia/Perdida]]</f>
        <v>384302.03583146789</v>
      </c>
      <c r="Q203" s="144">
        <f>(Tabla8[[#This Row],[Margen ]]/Tabla8[[#This Row],[Margen de productos]])-1</f>
        <v>1.6672052464200782E-2</v>
      </c>
    </row>
    <row r="204" spans="1:17" ht="15" thickBot="1" x14ac:dyDescent="0.35">
      <c r="A204" s="3">
        <v>47595</v>
      </c>
      <c r="B204" s="3" t="str">
        <f>_xlfn.XLOOKUP(Tabla8[[#This Row],[N° FACTURA]],Tabla3[N° FACTURA],Tabla3[Corregimiento],"NA")</f>
        <v>El Carmen</v>
      </c>
      <c r="C204" s="3" t="str">
        <f>_xlfn.XLOOKUP(Tabla8[[#This Row],[N° FACTURA]],Tabla3[N° FACTURA],Tabla3[LUGAR ENVÍO],"NA")</f>
        <v>Carmen</v>
      </c>
      <c r="D204" s="167">
        <f>_xlfn.XLOOKUP(Tabla8[[#This Row],[N° FACTURA]],Tabla3[N° FACTURA],Tabla3[DISTANCIA (km)],"NA")</f>
        <v>4.2009999999999987</v>
      </c>
      <c r="E204" s="3">
        <f>_xlfn.XLOOKUP(Tabla8[[#This Row],[N° FACTURA]],Tabla3[N° FACTURA],Tabla3[Numero de Transportes],"NA")</f>
        <v>1</v>
      </c>
      <c r="F204" s="15">
        <f>_xlfn.XLOOKUP(Tabla8[[#This Row],[N° FACTURA]],Tabla3[N° FACTURA],Tabla3[VLR. TRANSPORTE],"NA")</f>
        <v>40000</v>
      </c>
      <c r="G204" s="15">
        <f>Tabla8[[#This Row],[VLR. TRANSPORTE]]/Tabla8[[#This Row],[Numero de Transportes]]</f>
        <v>40000</v>
      </c>
      <c r="H204" s="15">
        <f>_xlfn.XLOOKUP(Tabla8[[#This Row],[N° FACTURA]],Tabla3[N° FACTURA],Tabla3[VLR. TOTAL FACT.],"NA")</f>
        <v>881000</v>
      </c>
      <c r="I204" s="15">
        <f>Tabla8[[#This Row],[VLR. TOTAL FACT.]]-Tabla8[[#This Row],[VLR. TRANSPORTE]]</f>
        <v>841000</v>
      </c>
      <c r="J204" s="140">
        <f>Tabla8[[#This Row],[VLR. PRODUCTOS]]*0.2</f>
        <v>168200</v>
      </c>
      <c r="K204" s="15">
        <f>'ABC COSTEO'!B$11</f>
        <v>40740.427791666669</v>
      </c>
      <c r="L204" s="15">
        <f>Tabla8[[#This Row],[DISTANCIA (km)]]*2*'ABC COSTEO'!B$21</f>
        <v>11430.18428630338</v>
      </c>
      <c r="M204" s="15">
        <f>Tabla8[[#This Row],[Costo Variable]]+Tabla8[[#This Row],[Costo fijo]]</f>
        <v>52170.61207797005</v>
      </c>
      <c r="N204" s="15">
        <f>Tabla8[[#This Row],[Costo Total]]*Tabla8[[#This Row],[Numero de Transportes]]</f>
        <v>52170.61207797005</v>
      </c>
      <c r="O204" s="15">
        <f>(Tabla8[[#This Row],[VLR. Transporte unitario]]-Tabla8[[#This Row],[Costo Total]])*Tabla8[[#This Row],[Numero de Transportes]]</f>
        <v>-12170.61207797005</v>
      </c>
      <c r="P204" s="15">
        <f>Tabla8[[#This Row],[Margen de productos]]+Tabla8[[#This Row],[Ganancia/Perdida]]</f>
        <v>156029.38792202994</v>
      </c>
      <c r="Q204" s="144">
        <f>(Tabla8[[#This Row],[Margen ]]/Tabla8[[#This Row],[Margen de productos]])-1</f>
        <v>-7.2357979060464039E-2</v>
      </c>
    </row>
    <row r="205" spans="1:17" ht="15" thickBot="1" x14ac:dyDescent="0.35">
      <c r="A205" s="3">
        <v>58733</v>
      </c>
      <c r="B205" s="3" t="str">
        <f>_xlfn.XLOOKUP(Tabla8[[#This Row],[N° FACTURA]],Tabla3[N° FACTURA],Tabla3[Corregimiento],"NA")</f>
        <v>Borrero Ayerbe</v>
      </c>
      <c r="C205" s="3" t="str">
        <f>_xlfn.XLOOKUP(Tabla8[[#This Row],[N° FACTURA]],Tabla3[N° FACTURA],Tabla3[LUGAR ENVÍO],"NA")</f>
        <v xml:space="preserve">KM 24 </v>
      </c>
      <c r="D205" s="167">
        <f>_xlfn.XLOOKUP(Tabla8[[#This Row],[N° FACTURA]],Tabla3[N° FACTURA],Tabla3[DISTANCIA (km)],"NA")</f>
        <v>6.9730000000000016</v>
      </c>
      <c r="E205" s="3">
        <f>_xlfn.XLOOKUP(Tabla8[[#This Row],[N° FACTURA]],Tabla3[N° FACTURA],Tabla3[Numero de Transportes],"NA")</f>
        <v>3</v>
      </c>
      <c r="F205" s="15">
        <f>_xlfn.XLOOKUP(Tabla8[[#This Row],[N° FACTURA]],Tabla3[N° FACTURA],Tabla3[VLR. TRANSPORTE],"NA")</f>
        <v>90000</v>
      </c>
      <c r="G205" s="15">
        <f>Tabla8[[#This Row],[VLR. TRANSPORTE]]/Tabla8[[#This Row],[Numero de Transportes]]</f>
        <v>30000</v>
      </c>
      <c r="H205" s="15">
        <f>_xlfn.XLOOKUP(Tabla8[[#This Row],[N° FACTURA]],Tabla3[N° FACTURA],Tabla3[VLR. TOTAL FACT.],"NA")</f>
        <v>2130000</v>
      </c>
      <c r="I205" s="15">
        <f>Tabla8[[#This Row],[VLR. TOTAL FACT.]]-Tabla8[[#This Row],[VLR. TRANSPORTE]]</f>
        <v>2040000</v>
      </c>
      <c r="J205" s="140">
        <f>Tabla8[[#This Row],[VLR. PRODUCTOS]]*0.2</f>
        <v>408000</v>
      </c>
      <c r="K205" s="15">
        <f>'ABC COSTEO'!B$11</f>
        <v>40740.427791666669</v>
      </c>
      <c r="L205" s="15">
        <f>Tabla8[[#This Row],[DISTANCIA (km)]]*2*'ABC COSTEO'!B$21</f>
        <v>18972.31017100536</v>
      </c>
      <c r="M205" s="15">
        <f>Tabla8[[#This Row],[Costo Variable]]+Tabla8[[#This Row],[Costo fijo]]</f>
        <v>59712.737962672029</v>
      </c>
      <c r="N205" s="15">
        <f>Tabla8[[#This Row],[Costo Total]]*Tabla8[[#This Row],[Numero de Transportes]]</f>
        <v>179138.21388801609</v>
      </c>
      <c r="O205" s="15">
        <f>(Tabla8[[#This Row],[VLR. Transporte unitario]]-Tabla8[[#This Row],[Costo Total]])*Tabla8[[#This Row],[Numero de Transportes]]</f>
        <v>-89138.213888016093</v>
      </c>
      <c r="P205" s="15">
        <f>Tabla8[[#This Row],[Margen de productos]]+Tabla8[[#This Row],[Ganancia/Perdida]]</f>
        <v>318861.78611198394</v>
      </c>
      <c r="Q205" s="144">
        <f>(Tabla8[[#This Row],[Margen ]]/Tabla8[[#This Row],[Margen de productos]])-1</f>
        <v>-0.21847601443141196</v>
      </c>
    </row>
    <row r="206" spans="1:17" ht="15" thickBot="1" x14ac:dyDescent="0.35">
      <c r="A206" s="3">
        <v>58796</v>
      </c>
      <c r="B206" s="3" t="str">
        <f>_xlfn.XLOOKUP(Tabla8[[#This Row],[N° FACTURA]],Tabla3[N° FACTURA],Tabla3[Corregimiento],"NA")</f>
        <v>Borrero Ayerbe</v>
      </c>
      <c r="C206" s="3" t="str">
        <f>_xlfn.XLOOKUP(Tabla8[[#This Row],[N° FACTURA]],Tabla3[N° FACTURA],Tabla3[LUGAR ENVÍO],"NA")</f>
        <v>Panamericano</v>
      </c>
      <c r="D206" s="167">
        <f>_xlfn.XLOOKUP(Tabla8[[#This Row],[N° FACTURA]],Tabla3[N° FACTURA],Tabla3[DISTANCIA (km)],"NA")</f>
        <v>1.1270000000000002</v>
      </c>
      <c r="E206" s="3">
        <f>_xlfn.XLOOKUP(Tabla8[[#This Row],[N° FACTURA]],Tabla3[N° FACTURA],Tabla3[Numero de Transportes],"NA")</f>
        <v>1</v>
      </c>
      <c r="F206" s="15">
        <f>_xlfn.XLOOKUP(Tabla8[[#This Row],[N° FACTURA]],Tabla3[N° FACTURA],Tabla3[VLR. TRANSPORTE],"NA")</f>
        <v>20000</v>
      </c>
      <c r="G206" s="15">
        <f>Tabla8[[#This Row],[VLR. TRANSPORTE]]/Tabla8[[#This Row],[Numero de Transportes]]</f>
        <v>20000</v>
      </c>
      <c r="H206" s="15">
        <f>_xlfn.XLOOKUP(Tabla8[[#This Row],[N° FACTURA]],Tabla3[N° FACTURA],Tabla3[VLR. TOTAL FACT.],"NA")</f>
        <v>2207000</v>
      </c>
      <c r="I206" s="15">
        <f>Tabla8[[#This Row],[VLR. TOTAL FACT.]]-Tabla8[[#This Row],[VLR. TRANSPORTE]]</f>
        <v>2187000</v>
      </c>
      <c r="J206" s="140">
        <f>Tabla8[[#This Row],[VLR. PRODUCTOS]]*0.2</f>
        <v>437400</v>
      </c>
      <c r="K206" s="15">
        <f>'ABC COSTEO'!B$11</f>
        <v>40740.427791666669</v>
      </c>
      <c r="L206" s="15">
        <f>Tabla8[[#This Row],[DISTANCIA (km)]]*2*'ABC COSTEO'!B$21</f>
        <v>3066.3693622146907</v>
      </c>
      <c r="M206" s="15">
        <f>Tabla8[[#This Row],[Costo Variable]]+Tabla8[[#This Row],[Costo fijo]]</f>
        <v>43806.797153881358</v>
      </c>
      <c r="N206" s="15">
        <f>Tabla8[[#This Row],[Costo Total]]*Tabla8[[#This Row],[Numero de Transportes]]</f>
        <v>43806.797153881358</v>
      </c>
      <c r="O206" s="15">
        <f>(Tabla8[[#This Row],[VLR. Transporte unitario]]-Tabla8[[#This Row],[Costo Total]])*Tabla8[[#This Row],[Numero de Transportes]]</f>
        <v>-23806.797153881358</v>
      </c>
      <c r="P206" s="15">
        <f>Tabla8[[#This Row],[Margen de productos]]+Tabla8[[#This Row],[Ganancia/Perdida]]</f>
        <v>413593.20284611866</v>
      </c>
      <c r="Q206" s="144">
        <f>(Tabla8[[#This Row],[Margen ]]/Tabla8[[#This Row],[Margen de productos]])-1</f>
        <v>-5.4427977032193264E-2</v>
      </c>
    </row>
    <row r="207" spans="1:17" ht="15" thickBot="1" x14ac:dyDescent="0.35">
      <c r="A207" s="3">
        <v>58837</v>
      </c>
      <c r="B207" s="3" t="str">
        <f>_xlfn.XLOOKUP(Tabla8[[#This Row],[N° FACTURA]],Tabla3[N° FACTURA],Tabla3[Corregimiento],"NA")</f>
        <v>Borrero Ayerbe</v>
      </c>
      <c r="C207" s="3" t="str">
        <f>_xlfn.XLOOKUP(Tabla8[[#This Row],[N° FACTURA]],Tabla3[N° FACTURA],Tabla3[LUGAR ENVÍO],"NA")</f>
        <v>San Miguel</v>
      </c>
      <c r="D207" s="167">
        <f>_xlfn.XLOOKUP(Tabla8[[#This Row],[N° FACTURA]],Tabla3[N° FACTURA],Tabla3[DISTANCIA (km)],"NA")</f>
        <v>2.2689999999999992</v>
      </c>
      <c r="E207" s="3">
        <f>_xlfn.XLOOKUP(Tabla8[[#This Row],[N° FACTURA]],Tabla3[N° FACTURA],Tabla3[Numero de Transportes],"NA")</f>
        <v>1</v>
      </c>
      <c r="F207" s="15">
        <f>_xlfn.XLOOKUP(Tabla8[[#This Row],[N° FACTURA]],Tabla3[N° FACTURA],Tabla3[VLR. TRANSPORTE],"NA")</f>
        <v>30000</v>
      </c>
      <c r="G207" s="15">
        <f>Tabla8[[#This Row],[VLR. TRANSPORTE]]/Tabla8[[#This Row],[Numero de Transportes]]</f>
        <v>30000</v>
      </c>
      <c r="H207" s="15">
        <f>_xlfn.XLOOKUP(Tabla8[[#This Row],[N° FACTURA]],Tabla3[N° FACTURA],Tabla3[VLR. TOTAL FACT.],"NA")</f>
        <v>2391000</v>
      </c>
      <c r="I207" s="15">
        <f>Tabla8[[#This Row],[VLR. TOTAL FACT.]]-Tabla8[[#This Row],[VLR. TRANSPORTE]]</f>
        <v>2361000</v>
      </c>
      <c r="J207" s="140">
        <f>Tabla8[[#This Row],[VLR. PRODUCTOS]]*0.2</f>
        <v>472200</v>
      </c>
      <c r="K207" s="15">
        <f>'ABC COSTEO'!B$11</f>
        <v>40740.427791666669</v>
      </c>
      <c r="L207" s="15">
        <f>Tabla8[[#This Row],[DISTANCIA (km)]]*2*'ABC COSTEO'!B$21</f>
        <v>6173.5510939353408</v>
      </c>
      <c r="M207" s="15">
        <f>Tabla8[[#This Row],[Costo Variable]]+Tabla8[[#This Row],[Costo fijo]]</f>
        <v>46913.97888560201</v>
      </c>
      <c r="N207" s="15">
        <f>Tabla8[[#This Row],[Costo Total]]*Tabla8[[#This Row],[Numero de Transportes]]</f>
        <v>46913.97888560201</v>
      </c>
      <c r="O207" s="15">
        <f>(Tabla8[[#This Row],[VLR. Transporte unitario]]-Tabla8[[#This Row],[Costo Total]])*Tabla8[[#This Row],[Numero de Transportes]]</f>
        <v>-16913.97888560201</v>
      </c>
      <c r="P207" s="15">
        <f>Tabla8[[#This Row],[Margen de productos]]+Tabla8[[#This Row],[Ganancia/Perdida]]</f>
        <v>455286.02111439797</v>
      </c>
      <c r="Q207" s="144">
        <f>(Tabla8[[#This Row],[Margen ]]/Tabla8[[#This Row],[Margen de productos]])-1</f>
        <v>-3.5819523264722597E-2</v>
      </c>
    </row>
    <row r="208" spans="1:17" ht="15" thickBot="1" x14ac:dyDescent="0.35">
      <c r="A208" s="3">
        <v>47495</v>
      </c>
      <c r="B208" s="3" t="str">
        <f>_xlfn.XLOOKUP(Tabla8[[#This Row],[N° FACTURA]],Tabla3[N° FACTURA],Tabla3[Corregimiento],"NA")</f>
        <v>Borrero Ayerbe</v>
      </c>
      <c r="C208" s="3" t="str">
        <f>_xlfn.XLOOKUP(Tabla8[[#This Row],[N° FACTURA]],Tabla3[N° FACTURA],Tabla3[LUGAR ENVÍO],"NA")</f>
        <v>Chipre</v>
      </c>
      <c r="D208" s="167">
        <f>_xlfn.XLOOKUP(Tabla8[[#This Row],[N° FACTURA]],Tabla3[N° FACTURA],Tabla3[DISTANCIA (km)],"NA")</f>
        <v>4.7809999999999988</v>
      </c>
      <c r="E208" s="3">
        <f>_xlfn.XLOOKUP(Tabla8[[#This Row],[N° FACTURA]],Tabla3[N° FACTURA],Tabla3[Numero de Transportes],"NA")</f>
        <v>2</v>
      </c>
      <c r="F208" s="15">
        <f>_xlfn.XLOOKUP(Tabla8[[#This Row],[N° FACTURA]],Tabla3[N° FACTURA],Tabla3[VLR. TRANSPORTE],"NA")</f>
        <v>100000</v>
      </c>
      <c r="G208" s="15">
        <f>Tabla8[[#This Row],[VLR. TRANSPORTE]]/Tabla8[[#This Row],[Numero de Transportes]]</f>
        <v>50000</v>
      </c>
      <c r="H208" s="15">
        <f>_xlfn.XLOOKUP(Tabla8[[#This Row],[N° FACTURA]],Tabla3[N° FACTURA],Tabla3[VLR. TOTAL FACT.],"NA")</f>
        <v>2479900</v>
      </c>
      <c r="I208" s="15">
        <f>Tabla8[[#This Row],[VLR. TOTAL FACT.]]-Tabla8[[#This Row],[VLR. TRANSPORTE]]</f>
        <v>2379900</v>
      </c>
      <c r="J208" s="140">
        <f>Tabla8[[#This Row],[VLR. PRODUCTOS]]*0.2</f>
        <v>475980</v>
      </c>
      <c r="K208" s="15">
        <f>'ABC COSTEO'!B$11</f>
        <v>40740.427791666669</v>
      </c>
      <c r="L208" s="15">
        <f>Tabla8[[#This Row],[DISTANCIA (km)]]*2*'ABC COSTEO'!B$21</f>
        <v>13008.262573867285</v>
      </c>
      <c r="M208" s="15">
        <f>Tabla8[[#This Row],[Costo Variable]]+Tabla8[[#This Row],[Costo fijo]]</f>
        <v>53748.690365533956</v>
      </c>
      <c r="N208" s="15">
        <f>Tabla8[[#This Row],[Costo Total]]*Tabla8[[#This Row],[Numero de Transportes]]</f>
        <v>107497.38073106791</v>
      </c>
      <c r="O208" s="15">
        <f>(Tabla8[[#This Row],[VLR. Transporte unitario]]-Tabla8[[#This Row],[Costo Total]])*Tabla8[[#This Row],[Numero de Transportes]]</f>
        <v>-7497.3807310679113</v>
      </c>
      <c r="P208" s="15">
        <f>Tabla8[[#This Row],[Margen de productos]]+Tabla8[[#This Row],[Ganancia/Perdida]]</f>
        <v>468482.61926893209</v>
      </c>
      <c r="Q208" s="144">
        <f>(Tabla8[[#This Row],[Margen ]]/Tabla8[[#This Row],[Margen de productos]])-1</f>
        <v>-1.5751461681305701E-2</v>
      </c>
    </row>
    <row r="209" spans="1:17" ht="15" thickBot="1" x14ac:dyDescent="0.35">
      <c r="A209" s="3">
        <v>58663</v>
      </c>
      <c r="B209" s="3" t="str">
        <f>_xlfn.XLOOKUP(Tabla8[[#This Row],[N° FACTURA]],Tabla3[N° FACTURA],Tabla3[Corregimiento],"NA")</f>
        <v>Borrero Ayerbe</v>
      </c>
      <c r="C209" s="3" t="str">
        <f>_xlfn.XLOOKUP(Tabla8[[#This Row],[N° FACTURA]],Tabla3[N° FACTURA],Tabla3[LUGAR ENVÍO],"NA")</f>
        <v>Agua Sucia</v>
      </c>
      <c r="D209" s="167">
        <f>_xlfn.XLOOKUP(Tabla8[[#This Row],[N° FACTURA]],Tabla3[N° FACTURA],Tabla3[DISTANCIA (km)],"NA")</f>
        <v>1.343</v>
      </c>
      <c r="E209" s="3">
        <f>_xlfn.XLOOKUP(Tabla8[[#This Row],[N° FACTURA]],Tabla3[N° FACTURA],Tabla3[Numero de Transportes],"NA")</f>
        <v>2</v>
      </c>
      <c r="F209" s="15">
        <f>_xlfn.XLOOKUP(Tabla8[[#This Row],[N° FACTURA]],Tabla3[N° FACTURA],Tabla3[VLR. TRANSPORTE],"NA")</f>
        <v>60000</v>
      </c>
      <c r="G209" s="15">
        <f>Tabla8[[#This Row],[VLR. TRANSPORTE]]/Tabla8[[#This Row],[Numero de Transportes]]</f>
        <v>30000</v>
      </c>
      <c r="H209" s="15">
        <f>_xlfn.XLOOKUP(Tabla8[[#This Row],[N° FACTURA]],Tabla3[N° FACTURA],Tabla3[VLR. TOTAL FACT.],"NA")</f>
        <v>2526000</v>
      </c>
      <c r="I209" s="15">
        <f>Tabla8[[#This Row],[VLR. TOTAL FACT.]]-Tabla8[[#This Row],[VLR. TRANSPORTE]]</f>
        <v>2466000</v>
      </c>
      <c r="J209" s="140">
        <f>Tabla8[[#This Row],[VLR. PRODUCTOS]]*0.2</f>
        <v>493200</v>
      </c>
      <c r="K209" s="15">
        <f>'ABC COSTEO'!B$11</f>
        <v>40740.427791666669</v>
      </c>
      <c r="L209" s="15">
        <f>Tabla8[[#This Row],[DISTANCIA (km)]]*2*'ABC COSTEO'!B$21</f>
        <v>3654.0674831005581</v>
      </c>
      <c r="M209" s="15">
        <f>Tabla8[[#This Row],[Costo Variable]]+Tabla8[[#This Row],[Costo fijo]]</f>
        <v>44394.495274767229</v>
      </c>
      <c r="N209" s="15">
        <f>Tabla8[[#This Row],[Costo Total]]*Tabla8[[#This Row],[Numero de Transportes]]</f>
        <v>88788.990549534457</v>
      </c>
      <c r="O209" s="15">
        <f>(Tabla8[[#This Row],[VLR. Transporte unitario]]-Tabla8[[#This Row],[Costo Total]])*Tabla8[[#This Row],[Numero de Transportes]]</f>
        <v>-28788.990549534457</v>
      </c>
      <c r="P209" s="15">
        <f>Tabla8[[#This Row],[Margen de productos]]+Tabla8[[#This Row],[Ganancia/Perdida]]</f>
        <v>464411.00945046556</v>
      </c>
      <c r="Q209" s="144">
        <f>(Tabla8[[#This Row],[Margen ]]/Tabla8[[#This Row],[Margen de productos]])-1</f>
        <v>-5.8371838097190709E-2</v>
      </c>
    </row>
    <row r="210" spans="1:17" ht="15" thickBot="1" x14ac:dyDescent="0.35">
      <c r="A210" s="3">
        <v>58804</v>
      </c>
      <c r="B210" s="3" t="str">
        <f>_xlfn.XLOOKUP(Tabla8[[#This Row],[N° FACTURA]],Tabla3[N° FACTURA],Tabla3[Corregimiento],"NA")</f>
        <v>El Carmen</v>
      </c>
      <c r="C210" s="3" t="str">
        <f>_xlfn.XLOOKUP(Tabla8[[#This Row],[N° FACTURA]],Tabla3[N° FACTURA],Tabla3[LUGAR ENVÍO],"NA")</f>
        <v>La Clorinda</v>
      </c>
      <c r="D210" s="167">
        <f>_xlfn.XLOOKUP(Tabla8[[#This Row],[N° FACTURA]],Tabla3[N° FACTURA],Tabla3[DISTANCIA (km)],"NA")</f>
        <v>5.2639999999999967</v>
      </c>
      <c r="E210" s="3">
        <f>_xlfn.XLOOKUP(Tabla8[[#This Row],[N° FACTURA]],Tabla3[N° FACTURA],Tabla3[Numero de Transportes],"NA")</f>
        <v>1</v>
      </c>
      <c r="F210" s="15">
        <f>_xlfn.XLOOKUP(Tabla8[[#This Row],[N° FACTURA]],Tabla3[N° FACTURA],Tabla3[VLR. TRANSPORTE],"NA")</f>
        <v>60000</v>
      </c>
      <c r="G210" s="15">
        <f>Tabla8[[#This Row],[VLR. TRANSPORTE]]/Tabla8[[#This Row],[Numero de Transportes]]</f>
        <v>60000</v>
      </c>
      <c r="H210" s="15">
        <f>_xlfn.XLOOKUP(Tabla8[[#This Row],[N° FACTURA]],Tabla3[N° FACTURA],Tabla3[VLR. TOTAL FACT.],"NA")</f>
        <v>2908000</v>
      </c>
      <c r="I210" s="15">
        <f>Tabla8[[#This Row],[VLR. TOTAL FACT.]]-Tabla8[[#This Row],[VLR. TRANSPORTE]]</f>
        <v>2848000</v>
      </c>
      <c r="J210" s="140">
        <f>Tabla8[[#This Row],[VLR. PRODUCTOS]]*0.2</f>
        <v>569600</v>
      </c>
      <c r="K210" s="15">
        <f>'ABC COSTEO'!B$11</f>
        <v>40740.427791666669</v>
      </c>
      <c r="L210" s="15">
        <f>Tabla8[[#This Row],[DISTANCIA (km)]]*2*'ABC COSTEO'!B$21</f>
        <v>14322.420871959288</v>
      </c>
      <c r="M210" s="15">
        <f>Tabla8[[#This Row],[Costo Variable]]+Tabla8[[#This Row],[Costo fijo]]</f>
        <v>55062.848663625955</v>
      </c>
      <c r="N210" s="15">
        <f>Tabla8[[#This Row],[Costo Total]]*Tabla8[[#This Row],[Numero de Transportes]]</f>
        <v>55062.848663625955</v>
      </c>
      <c r="O210" s="15">
        <f>(Tabla8[[#This Row],[VLR. Transporte unitario]]-Tabla8[[#This Row],[Costo Total]])*Tabla8[[#This Row],[Numero de Transportes]]</f>
        <v>4937.1513363740451</v>
      </c>
      <c r="P210" s="15">
        <f>Tabla8[[#This Row],[Margen de productos]]+Tabla8[[#This Row],[Ganancia/Perdida]]</f>
        <v>574537.15133637399</v>
      </c>
      <c r="Q210" s="144">
        <f>(Tabla8[[#This Row],[Margen ]]/Tabla8[[#This Row],[Margen de productos]])-1</f>
        <v>8.6677516439150892E-3</v>
      </c>
    </row>
    <row r="211" spans="1:17" ht="15" thickBot="1" x14ac:dyDescent="0.35">
      <c r="A211" s="3">
        <v>58871</v>
      </c>
      <c r="B211" s="3" t="str">
        <f>_xlfn.XLOOKUP(Tabla8[[#This Row],[N° FACTURA]],Tabla3[N° FACTURA],Tabla3[Corregimiento],"NA")</f>
        <v>El Carmen</v>
      </c>
      <c r="C211" s="3" t="str">
        <f>_xlfn.XLOOKUP(Tabla8[[#This Row],[N° FACTURA]],Tabla3[N° FACTURA],Tabla3[LUGAR ENVÍO],"NA")</f>
        <v>El Carmelo</v>
      </c>
      <c r="D211" s="167">
        <f>_xlfn.XLOOKUP(Tabla8[[#This Row],[N° FACTURA]],Tabla3[N° FACTURA],Tabla3[DISTANCIA (km)],"NA")</f>
        <v>6.1239999999999988</v>
      </c>
      <c r="E211" s="3">
        <f>_xlfn.XLOOKUP(Tabla8[[#This Row],[N° FACTURA]],Tabla3[N° FACTURA],Tabla3[Numero de Transportes],"NA")</f>
        <v>1</v>
      </c>
      <c r="F211" s="15">
        <f>_xlfn.XLOOKUP(Tabla8[[#This Row],[N° FACTURA]],Tabla3[N° FACTURA],Tabla3[VLR. TRANSPORTE],"NA")</f>
        <v>25000</v>
      </c>
      <c r="G211" s="15">
        <f>Tabla8[[#This Row],[VLR. TRANSPORTE]]/Tabla8[[#This Row],[Numero de Transportes]]</f>
        <v>25000</v>
      </c>
      <c r="H211" s="15">
        <f>_xlfn.XLOOKUP(Tabla8[[#This Row],[N° FACTURA]],Tabla3[N° FACTURA],Tabla3[VLR. TOTAL FACT.],"NA")</f>
        <v>2649000</v>
      </c>
      <c r="I211" s="15">
        <f>Tabla8[[#This Row],[VLR. TOTAL FACT.]]-Tabla8[[#This Row],[VLR. TRANSPORTE]]</f>
        <v>2624000</v>
      </c>
      <c r="J211" s="140">
        <f>Tabla8[[#This Row],[VLR. PRODUCTOS]]*0.2</f>
        <v>524800</v>
      </c>
      <c r="K211" s="15">
        <f>'ABC COSTEO'!B$11</f>
        <v>40740.427791666669</v>
      </c>
      <c r="L211" s="15">
        <f>Tabla8[[#This Row],[DISTANCIA (km)]]*2*'ABC COSTEO'!B$21</f>
        <v>16662.330056967843</v>
      </c>
      <c r="M211" s="15">
        <f>Tabla8[[#This Row],[Costo Variable]]+Tabla8[[#This Row],[Costo fijo]]</f>
        <v>57402.757848634516</v>
      </c>
      <c r="N211" s="15">
        <f>Tabla8[[#This Row],[Costo Total]]*Tabla8[[#This Row],[Numero de Transportes]]</f>
        <v>57402.757848634516</v>
      </c>
      <c r="O211" s="15">
        <f>(Tabla8[[#This Row],[VLR. Transporte unitario]]-Tabla8[[#This Row],[Costo Total]])*Tabla8[[#This Row],[Numero de Transportes]]</f>
        <v>-32402.757848634516</v>
      </c>
      <c r="P211" s="15">
        <f>Tabla8[[#This Row],[Margen de productos]]+Tabla8[[#This Row],[Ganancia/Perdida]]</f>
        <v>492397.2421513655</v>
      </c>
      <c r="Q211" s="144">
        <f>(Tabla8[[#This Row],[Margen ]]/Tabla8[[#This Row],[Margen de productos]])-1</f>
        <v>-6.1743059924989518E-2</v>
      </c>
    </row>
    <row r="212" spans="1:17" ht="15" thickBot="1" x14ac:dyDescent="0.35">
      <c r="A212" s="3">
        <v>58602</v>
      </c>
      <c r="B212" s="3" t="str">
        <f>_xlfn.XLOOKUP(Tabla8[[#This Row],[N° FACTURA]],Tabla3[N° FACTURA],Tabla3[Corregimiento],"NA")</f>
        <v>Borrero Ayerbe</v>
      </c>
      <c r="C212" s="3" t="str">
        <f>_xlfn.XLOOKUP(Tabla8[[#This Row],[N° FACTURA]],Tabla3[N° FACTURA],Tabla3[LUGAR ENVÍO],"NA")</f>
        <v>Agua Sucia</v>
      </c>
      <c r="D212" s="167">
        <f>_xlfn.XLOOKUP(Tabla8[[#This Row],[N° FACTURA]],Tabla3[N° FACTURA],Tabla3[DISTANCIA (km)],"NA")</f>
        <v>1.343</v>
      </c>
      <c r="E212" s="3">
        <f>_xlfn.XLOOKUP(Tabla8[[#This Row],[N° FACTURA]],Tabla3[N° FACTURA],Tabla3[Numero de Transportes],"NA")</f>
        <v>1</v>
      </c>
      <c r="F212" s="15">
        <f>_xlfn.XLOOKUP(Tabla8[[#This Row],[N° FACTURA]],Tabla3[N° FACTURA],Tabla3[VLR. TRANSPORTE],"NA")</f>
        <v>25000</v>
      </c>
      <c r="G212" s="15">
        <f>Tabla8[[#This Row],[VLR. TRANSPORTE]]/Tabla8[[#This Row],[Numero de Transportes]]</f>
        <v>25000</v>
      </c>
      <c r="H212" s="15">
        <f>_xlfn.XLOOKUP(Tabla8[[#This Row],[N° FACTURA]],Tabla3[N° FACTURA],Tabla3[VLR. TOTAL FACT.],"NA")</f>
        <v>2687000</v>
      </c>
      <c r="I212" s="15">
        <f>Tabla8[[#This Row],[VLR. TOTAL FACT.]]-Tabla8[[#This Row],[VLR. TRANSPORTE]]</f>
        <v>2662000</v>
      </c>
      <c r="J212" s="140">
        <f>Tabla8[[#This Row],[VLR. PRODUCTOS]]*0.2</f>
        <v>532400</v>
      </c>
      <c r="K212" s="15">
        <f>'ABC COSTEO'!B$11</f>
        <v>40740.427791666669</v>
      </c>
      <c r="L212" s="15">
        <f>Tabla8[[#This Row],[DISTANCIA (km)]]*2*'ABC COSTEO'!B$21</f>
        <v>3654.0674831005581</v>
      </c>
      <c r="M212" s="15">
        <f>Tabla8[[#This Row],[Costo Variable]]+Tabla8[[#This Row],[Costo fijo]]</f>
        <v>44394.495274767229</v>
      </c>
      <c r="N212" s="15">
        <f>Tabla8[[#This Row],[Costo Total]]*Tabla8[[#This Row],[Numero de Transportes]]</f>
        <v>44394.495274767229</v>
      </c>
      <c r="O212" s="15">
        <f>(Tabla8[[#This Row],[VLR. Transporte unitario]]-Tabla8[[#This Row],[Costo Total]])*Tabla8[[#This Row],[Numero de Transportes]]</f>
        <v>-19394.495274767229</v>
      </c>
      <c r="P212" s="15">
        <f>Tabla8[[#This Row],[Margen de productos]]+Tabla8[[#This Row],[Ganancia/Perdida]]</f>
        <v>513005.50472523278</v>
      </c>
      <c r="Q212" s="144">
        <f>(Tabla8[[#This Row],[Margen ]]/Tabla8[[#This Row],[Margen de productos]])-1</f>
        <v>-3.6428428389870815E-2</v>
      </c>
    </row>
    <row r="213" spans="1:17" ht="27.6" thickBot="1" x14ac:dyDescent="0.35">
      <c r="A213" s="3">
        <v>58767</v>
      </c>
      <c r="B213" s="3" t="str">
        <f>_xlfn.XLOOKUP(Tabla8[[#This Row],[N° FACTURA]],Tabla3[N° FACTURA],Tabla3[Corregimiento],"NA")</f>
        <v>El Carmen</v>
      </c>
      <c r="C213" s="3" t="str">
        <f>_xlfn.XLOOKUP(Tabla8[[#This Row],[N° FACTURA]],Tabla3[N° FACTURA],Tabla3[LUGAR ENVÍO],"NA")</f>
        <v>Altos de las Tortolas</v>
      </c>
      <c r="D213" s="167">
        <f>_xlfn.XLOOKUP(Tabla8[[#This Row],[N° FACTURA]],Tabla3[N° FACTURA],Tabla3[DISTANCIA (km)],"NA")</f>
        <v>6.7240000000000002</v>
      </c>
      <c r="E213" s="3">
        <f>_xlfn.XLOOKUP(Tabla8[[#This Row],[N° FACTURA]],Tabla3[N° FACTURA],Tabla3[Numero de Transportes],"NA")</f>
        <v>1</v>
      </c>
      <c r="F213" s="15">
        <f>_xlfn.XLOOKUP(Tabla8[[#This Row],[N° FACTURA]],Tabla3[N° FACTURA],Tabla3[VLR. TRANSPORTE],"NA")</f>
        <v>50000</v>
      </c>
      <c r="G213" s="15">
        <f>Tabla8[[#This Row],[VLR. TRANSPORTE]]/Tabla8[[#This Row],[Numero de Transportes]]</f>
        <v>50000</v>
      </c>
      <c r="H213" s="15">
        <f>_xlfn.XLOOKUP(Tabla8[[#This Row],[N° FACTURA]],Tabla3[N° FACTURA],Tabla3[VLR. TOTAL FACT.],"NA")</f>
        <v>2890000</v>
      </c>
      <c r="I213" s="15">
        <f>Tabla8[[#This Row],[VLR. TOTAL FACT.]]-Tabla8[[#This Row],[VLR. TRANSPORTE]]</f>
        <v>2840000</v>
      </c>
      <c r="J213" s="140">
        <f>Tabla8[[#This Row],[VLR. PRODUCTOS]]*0.2</f>
        <v>568000</v>
      </c>
      <c r="K213" s="15">
        <f>'ABC COSTEO'!B$11</f>
        <v>40740.427791666669</v>
      </c>
      <c r="L213" s="15">
        <f>Tabla8[[#This Row],[DISTANCIA (km)]]*2*'ABC COSTEO'!B$21</f>
        <v>18294.824837206368</v>
      </c>
      <c r="M213" s="15">
        <f>Tabla8[[#This Row],[Costo Variable]]+Tabla8[[#This Row],[Costo fijo]]</f>
        <v>59035.252628873037</v>
      </c>
      <c r="N213" s="15">
        <f>Tabla8[[#This Row],[Costo Total]]*Tabla8[[#This Row],[Numero de Transportes]]</f>
        <v>59035.252628873037</v>
      </c>
      <c r="O213" s="15">
        <f>(Tabla8[[#This Row],[VLR. Transporte unitario]]-Tabla8[[#This Row],[Costo Total]])*Tabla8[[#This Row],[Numero de Transportes]]</f>
        <v>-9035.2526288730369</v>
      </c>
      <c r="P213" s="15">
        <f>Tabla8[[#This Row],[Margen de productos]]+Tabla8[[#This Row],[Ganancia/Perdida]]</f>
        <v>558964.74737112701</v>
      </c>
      <c r="Q213" s="144">
        <f>(Tabla8[[#This Row],[Margen ]]/Tabla8[[#This Row],[Margen de productos]])-1</f>
        <v>-1.590713490998763E-2</v>
      </c>
    </row>
    <row r="214" spans="1:17" ht="15" thickBot="1" x14ac:dyDescent="0.35">
      <c r="A214" s="3">
        <v>58804</v>
      </c>
      <c r="B214" s="3" t="str">
        <f>_xlfn.XLOOKUP(Tabla8[[#This Row],[N° FACTURA]],Tabla3[N° FACTURA],Tabla3[Corregimiento],"NA")</f>
        <v>El Carmen</v>
      </c>
      <c r="C214" s="3" t="str">
        <f>_xlfn.XLOOKUP(Tabla8[[#This Row],[N° FACTURA]],Tabla3[N° FACTURA],Tabla3[LUGAR ENVÍO],"NA")</f>
        <v>La Clorinda</v>
      </c>
      <c r="D214" s="167">
        <f>_xlfn.XLOOKUP(Tabla8[[#This Row],[N° FACTURA]],Tabla3[N° FACTURA],Tabla3[DISTANCIA (km)],"NA")</f>
        <v>5.2639999999999967</v>
      </c>
      <c r="E214" s="3">
        <f>_xlfn.XLOOKUP(Tabla8[[#This Row],[N° FACTURA]],Tabla3[N° FACTURA],Tabla3[Numero de Transportes],"NA")</f>
        <v>1</v>
      </c>
      <c r="F214" s="15">
        <f>_xlfn.XLOOKUP(Tabla8[[#This Row],[N° FACTURA]],Tabla3[N° FACTURA],Tabla3[VLR. TRANSPORTE],"NA")</f>
        <v>60000</v>
      </c>
      <c r="G214" s="15">
        <f>Tabla8[[#This Row],[VLR. TRANSPORTE]]/Tabla8[[#This Row],[Numero de Transportes]]</f>
        <v>60000</v>
      </c>
      <c r="H214" s="15">
        <f>_xlfn.XLOOKUP(Tabla8[[#This Row],[N° FACTURA]],Tabla3[N° FACTURA],Tabla3[VLR. TOTAL FACT.],"NA")</f>
        <v>2908000</v>
      </c>
      <c r="I214" s="15">
        <f>Tabla8[[#This Row],[VLR. TOTAL FACT.]]-Tabla8[[#This Row],[VLR. TRANSPORTE]]</f>
        <v>2848000</v>
      </c>
      <c r="J214" s="140">
        <f>Tabla8[[#This Row],[VLR. PRODUCTOS]]*0.2</f>
        <v>569600</v>
      </c>
      <c r="K214" s="15">
        <f>'ABC COSTEO'!B$11</f>
        <v>40740.427791666669</v>
      </c>
      <c r="L214" s="15">
        <f>Tabla8[[#This Row],[DISTANCIA (km)]]*2*'ABC COSTEO'!B$21</f>
        <v>14322.420871959288</v>
      </c>
      <c r="M214" s="15">
        <f>Tabla8[[#This Row],[Costo Variable]]+Tabla8[[#This Row],[Costo fijo]]</f>
        <v>55062.848663625955</v>
      </c>
      <c r="N214" s="15">
        <f>Tabla8[[#This Row],[Costo Total]]*Tabla8[[#This Row],[Numero de Transportes]]</f>
        <v>55062.848663625955</v>
      </c>
      <c r="O214" s="15">
        <f>(Tabla8[[#This Row],[VLR. Transporte unitario]]-Tabla8[[#This Row],[Costo Total]])*Tabla8[[#This Row],[Numero de Transportes]]</f>
        <v>4937.1513363740451</v>
      </c>
      <c r="P214" s="15">
        <f>Tabla8[[#This Row],[Margen de productos]]+Tabla8[[#This Row],[Ganancia/Perdida]]</f>
        <v>574537.15133637399</v>
      </c>
      <c r="Q214" s="144">
        <f>(Tabla8[[#This Row],[Margen ]]/Tabla8[[#This Row],[Margen de productos]])-1</f>
        <v>8.6677516439150892E-3</v>
      </c>
    </row>
    <row r="215" spans="1:17" ht="15" thickBot="1" x14ac:dyDescent="0.35">
      <c r="A215" s="3">
        <v>58823</v>
      </c>
      <c r="B215" s="3" t="str">
        <f>_xlfn.XLOOKUP(Tabla8[[#This Row],[N° FACTURA]],Tabla3[N° FACTURA],Tabla3[Corregimiento],"NA")</f>
        <v>Borrero Ayerbe</v>
      </c>
      <c r="C215" s="3" t="str">
        <f>_xlfn.XLOOKUP(Tabla8[[#This Row],[N° FACTURA]],Tabla3[N° FACTURA],Tabla3[LUGAR ENVÍO],"NA")</f>
        <v>Villa saman</v>
      </c>
      <c r="D215" s="167">
        <f>_xlfn.XLOOKUP(Tabla8[[#This Row],[N° FACTURA]],Tabla3[N° FACTURA],Tabla3[DISTANCIA (km)],"NA")</f>
        <v>2.0589999999999997</v>
      </c>
      <c r="E215" s="3">
        <f>_xlfn.XLOOKUP(Tabla8[[#This Row],[N° FACTURA]],Tabla3[N° FACTURA],Tabla3[Numero de Transportes],"NA")</f>
        <v>1</v>
      </c>
      <c r="F215" s="15">
        <f>_xlfn.XLOOKUP(Tabla8[[#This Row],[N° FACTURA]],Tabla3[N° FACTURA],Tabla3[VLR. TRANSPORTE],"NA")</f>
        <v>15000</v>
      </c>
      <c r="G215" s="15">
        <f>Tabla8[[#This Row],[VLR. TRANSPORTE]]/Tabla8[[#This Row],[Numero de Transportes]]</f>
        <v>15000</v>
      </c>
      <c r="H215" s="15">
        <f>_xlfn.XLOOKUP(Tabla8[[#This Row],[N° FACTURA]],Tabla3[N° FACTURA],Tabla3[VLR. TOTAL FACT.],"NA")</f>
        <v>2954000</v>
      </c>
      <c r="I215" s="15">
        <f>Tabla8[[#This Row],[VLR. TOTAL FACT.]]-Tabla8[[#This Row],[VLR. TRANSPORTE]]</f>
        <v>2939000</v>
      </c>
      <c r="J215" s="140">
        <f>Tabla8[[#This Row],[VLR. PRODUCTOS]]*0.2</f>
        <v>587800</v>
      </c>
      <c r="K215" s="15">
        <f>'ABC COSTEO'!B$11</f>
        <v>40740.427791666669</v>
      </c>
      <c r="L215" s="15">
        <f>Tabla8[[#This Row],[DISTANCIA (km)]]*2*'ABC COSTEO'!B$21</f>
        <v>5602.1779208518601</v>
      </c>
      <c r="M215" s="15">
        <f>Tabla8[[#This Row],[Costo Variable]]+Tabla8[[#This Row],[Costo fijo]]</f>
        <v>46342.605712518533</v>
      </c>
      <c r="N215" s="15">
        <f>Tabla8[[#This Row],[Costo Total]]*Tabla8[[#This Row],[Numero de Transportes]]</f>
        <v>46342.605712518533</v>
      </c>
      <c r="O215" s="15">
        <f>(Tabla8[[#This Row],[VLR. Transporte unitario]]-Tabla8[[#This Row],[Costo Total]])*Tabla8[[#This Row],[Numero de Transportes]]</f>
        <v>-31342.605712518533</v>
      </c>
      <c r="P215" s="15">
        <f>Tabla8[[#This Row],[Margen de productos]]+Tabla8[[#This Row],[Ganancia/Perdida]]</f>
        <v>556457.39428748144</v>
      </c>
      <c r="Q215" s="144">
        <f>(Tabla8[[#This Row],[Margen ]]/Tabla8[[#This Row],[Margen de productos]])-1</f>
        <v>-5.3321887908333698E-2</v>
      </c>
    </row>
    <row r="216" spans="1:17" ht="15" thickBot="1" x14ac:dyDescent="0.35">
      <c r="A216" s="3">
        <v>30562</v>
      </c>
      <c r="B216" s="3" t="str">
        <f>_xlfn.XLOOKUP(Tabla8[[#This Row],[N° FACTURA]],Tabla3[N° FACTURA],Tabla3[Corregimiento],"NA")</f>
        <v>El Queremal</v>
      </c>
      <c r="C216" s="3" t="str">
        <f>_xlfn.XLOOKUP(Tabla8[[#This Row],[N° FACTURA]],Tabla3[N° FACTURA],Tabla3[LUGAR ENVÍO],"NA")</f>
        <v>el queremal</v>
      </c>
      <c r="D216" s="167">
        <f>_xlfn.XLOOKUP(Tabla8[[#This Row],[N° FACTURA]],Tabla3[N° FACTURA],Tabla3[DISTANCIA (km)],"NA")</f>
        <v>18.542000000000002</v>
      </c>
      <c r="E216" s="3">
        <f>_xlfn.XLOOKUP(Tabla8[[#This Row],[N° FACTURA]],Tabla3[N° FACTURA],Tabla3[Numero de Transportes],"NA")</f>
        <v>1</v>
      </c>
      <c r="F216" s="15">
        <f>_xlfn.XLOOKUP(Tabla8[[#This Row],[N° FACTURA]],Tabla3[N° FACTURA],Tabla3[VLR. TRANSPORTE],"NA")</f>
        <v>80000</v>
      </c>
      <c r="G216" s="15">
        <f>Tabla8[[#This Row],[VLR. TRANSPORTE]]/Tabla8[[#This Row],[Numero de Transportes]]</f>
        <v>80000</v>
      </c>
      <c r="H216" s="15">
        <f>_xlfn.XLOOKUP(Tabla8[[#This Row],[N° FACTURA]],Tabla3[N° FACTURA],Tabla3[VLR. TOTAL FACT.],"NA")</f>
        <v>3032800</v>
      </c>
      <c r="I216" s="15">
        <f>Tabla8[[#This Row],[VLR. TOTAL FACT.]]-Tabla8[[#This Row],[VLR. TRANSPORTE]]</f>
        <v>2952800</v>
      </c>
      <c r="J216" s="140">
        <f>Tabla8[[#This Row],[VLR. PRODUCTOS]]*0.2</f>
        <v>590560</v>
      </c>
      <c r="K216" s="15">
        <f>'ABC COSTEO'!B$11</f>
        <v>40740.427791666669</v>
      </c>
      <c r="L216" s="15">
        <f>Tabla8[[#This Row],[DISTANCIA (km)]]*2*'ABC COSTEO'!B$21</f>
        <v>50449.530358637792</v>
      </c>
      <c r="M216" s="15">
        <f>Tabla8[[#This Row],[Costo Variable]]+Tabla8[[#This Row],[Costo fijo]]</f>
        <v>91189.958150304461</v>
      </c>
      <c r="N216" s="15">
        <f>Tabla8[[#This Row],[Costo Total]]*Tabla8[[#This Row],[Numero de Transportes]]</f>
        <v>91189.958150304461</v>
      </c>
      <c r="O216" s="15">
        <f>(Tabla8[[#This Row],[VLR. Transporte unitario]]-Tabla8[[#This Row],[Costo Total]])*Tabla8[[#This Row],[Numero de Transportes]]</f>
        <v>-11189.958150304461</v>
      </c>
      <c r="P216" s="15">
        <f>Tabla8[[#This Row],[Margen de productos]]+Tabla8[[#This Row],[Ganancia/Perdida]]</f>
        <v>579370.0418496955</v>
      </c>
      <c r="Q216" s="144">
        <f>(Tabla8[[#This Row],[Margen ]]/Tabla8[[#This Row],[Margen de productos]])-1</f>
        <v>-1.8948046177026057E-2</v>
      </c>
    </row>
    <row r="217" spans="1:17" ht="15" thickBot="1" x14ac:dyDescent="0.35">
      <c r="A217" s="3">
        <v>58666</v>
      </c>
      <c r="B217" s="3" t="str">
        <f>_xlfn.XLOOKUP(Tabla8[[#This Row],[N° FACTURA]],Tabla3[N° FACTURA],Tabla3[Corregimiento],"NA")</f>
        <v>Borrero Ayerbe</v>
      </c>
      <c r="C217" s="3" t="str">
        <f>_xlfn.XLOOKUP(Tabla8[[#This Row],[N° FACTURA]],Tabla3[N° FACTURA],Tabla3[LUGAR ENVÍO],"NA")</f>
        <v>la bomba</v>
      </c>
      <c r="D217" s="167">
        <f>_xlfn.XLOOKUP(Tabla8[[#This Row],[N° FACTURA]],Tabla3[N° FACTURA],Tabla3[DISTANCIA (km)],"NA")</f>
        <v>1.3212069999999998</v>
      </c>
      <c r="E217" s="3">
        <f>_xlfn.XLOOKUP(Tabla8[[#This Row],[N° FACTURA]],Tabla3[N° FACTURA],Tabla3[Numero de Transportes],"NA")</f>
        <v>1</v>
      </c>
      <c r="F217" s="15">
        <f>_xlfn.XLOOKUP(Tabla8[[#This Row],[N° FACTURA]],Tabla3[N° FACTURA],Tabla3[VLR. TRANSPORTE],"NA")</f>
        <v>15000</v>
      </c>
      <c r="G217" s="15">
        <f>Tabla8[[#This Row],[VLR. TRANSPORTE]]/Tabla8[[#This Row],[Numero de Transportes]]</f>
        <v>15000</v>
      </c>
      <c r="H217" s="15">
        <f>_xlfn.XLOOKUP(Tabla8[[#This Row],[N° FACTURA]],Tabla3[N° FACTURA],Tabla3[VLR. TOTAL FACT.],"NA")</f>
        <v>3078000</v>
      </c>
      <c r="I217" s="15">
        <f>Tabla8[[#This Row],[VLR. TOTAL FACT.]]-Tabla8[[#This Row],[VLR. TRANSPORTE]]</f>
        <v>3063000</v>
      </c>
      <c r="J217" s="140">
        <f>Tabla8[[#This Row],[VLR. PRODUCTOS]]*0.2</f>
        <v>612600</v>
      </c>
      <c r="K217" s="15">
        <f>'ABC COSTEO'!B$11</f>
        <v>40740.427791666669</v>
      </c>
      <c r="L217" s="15">
        <f>Tabla8[[#This Row],[DISTANCIA (km)]]*2*'ABC COSTEO'!B$21</f>
        <v>3594.7725518576603</v>
      </c>
      <c r="M217" s="15">
        <f>Tabla8[[#This Row],[Costo Variable]]+Tabla8[[#This Row],[Costo fijo]]</f>
        <v>44335.200343524331</v>
      </c>
      <c r="N217" s="15">
        <f>Tabla8[[#This Row],[Costo Total]]*Tabla8[[#This Row],[Numero de Transportes]]</f>
        <v>44335.200343524331</v>
      </c>
      <c r="O217" s="15">
        <f>(Tabla8[[#This Row],[VLR. Transporte unitario]]-Tabla8[[#This Row],[Costo Total]])*Tabla8[[#This Row],[Numero de Transportes]]</f>
        <v>-29335.200343524331</v>
      </c>
      <c r="P217" s="15">
        <f>Tabla8[[#This Row],[Margen de productos]]+Tabla8[[#This Row],[Ganancia/Perdida]]</f>
        <v>583264.79965647566</v>
      </c>
      <c r="Q217" s="144">
        <f>(Tabla8[[#This Row],[Margen ]]/Tabla8[[#This Row],[Margen de productos]])-1</f>
        <v>-4.7886386456944763E-2</v>
      </c>
    </row>
    <row r="218" spans="1:17" ht="15" thickBot="1" x14ac:dyDescent="0.35">
      <c r="A218" s="3">
        <v>58685</v>
      </c>
      <c r="B218" s="3" t="str">
        <f>_xlfn.XLOOKUP(Tabla8[[#This Row],[N° FACTURA]],Tabla3[N° FACTURA],Tabla3[Corregimiento],"NA")</f>
        <v>El Limonar</v>
      </c>
      <c r="C218" s="3" t="str">
        <f>_xlfn.XLOOKUP(Tabla8[[#This Row],[N° FACTURA]],Tabla3[N° FACTURA],Tabla3[LUGAR ENVÍO],"NA")</f>
        <v>KM 34</v>
      </c>
      <c r="D218" s="167">
        <f>_xlfn.XLOOKUP(Tabla8[[#This Row],[N° FACTURA]],Tabla3[N° FACTURA],Tabla3[DISTANCIA (km)],"NA")</f>
        <v>4.3159999999999989</v>
      </c>
      <c r="E218" s="3">
        <f>_xlfn.XLOOKUP(Tabla8[[#This Row],[N° FACTURA]],Tabla3[N° FACTURA],Tabla3[Numero de Transportes],"NA")</f>
        <v>1</v>
      </c>
      <c r="F218" s="15">
        <f>_xlfn.XLOOKUP(Tabla8[[#This Row],[N° FACTURA]],Tabla3[N° FACTURA],Tabla3[VLR. TRANSPORTE],"NA")</f>
        <v>80000</v>
      </c>
      <c r="G218" s="15">
        <f>Tabla8[[#This Row],[VLR. TRANSPORTE]]/Tabla8[[#This Row],[Numero de Transportes]]</f>
        <v>80000</v>
      </c>
      <c r="H218" s="15">
        <f>_xlfn.XLOOKUP(Tabla8[[#This Row],[N° FACTURA]],Tabla3[N° FACTURA],Tabla3[VLR. TOTAL FACT.],"NA")</f>
        <v>3256000</v>
      </c>
      <c r="I218" s="15">
        <f>Tabla8[[#This Row],[VLR. TOTAL FACT.]]-Tabla8[[#This Row],[VLR. TRANSPORTE]]</f>
        <v>3176000</v>
      </c>
      <c r="J218" s="140">
        <f>Tabla8[[#This Row],[VLR. PRODUCTOS]]*0.2</f>
        <v>635200</v>
      </c>
      <c r="K218" s="15">
        <f>'ABC COSTEO'!B$11</f>
        <v>40740.427791666669</v>
      </c>
      <c r="L218" s="15">
        <f>Tabla8[[#This Row],[DISTANCIA (km)]]*2*'ABC COSTEO'!B$21</f>
        <v>11743.07911918243</v>
      </c>
      <c r="M218" s="15">
        <f>Tabla8[[#This Row],[Costo Variable]]+Tabla8[[#This Row],[Costo fijo]]</f>
        <v>52483.506910849101</v>
      </c>
      <c r="N218" s="15">
        <f>Tabla8[[#This Row],[Costo Total]]*Tabla8[[#This Row],[Numero de Transportes]]</f>
        <v>52483.506910849101</v>
      </c>
      <c r="O218" s="15">
        <f>(Tabla8[[#This Row],[VLR. Transporte unitario]]-Tabla8[[#This Row],[Costo Total]])*Tabla8[[#This Row],[Numero de Transportes]]</f>
        <v>27516.493089150899</v>
      </c>
      <c r="P218" s="15">
        <f>Tabla8[[#This Row],[Margen de productos]]+Tabla8[[#This Row],[Ganancia/Perdida]]</f>
        <v>662716.49308915087</v>
      </c>
      <c r="Q218" s="144">
        <f>(Tabla8[[#This Row],[Margen ]]/Tabla8[[#This Row],[Margen de productos]])-1</f>
        <v>4.3319416072340688E-2</v>
      </c>
    </row>
    <row r="219" spans="1:17" ht="15" thickBot="1" x14ac:dyDescent="0.35">
      <c r="A219" s="3">
        <v>58798</v>
      </c>
      <c r="B219" s="3" t="str">
        <f>_xlfn.XLOOKUP(Tabla8[[#This Row],[N° FACTURA]],Tabla3[N° FACTURA],Tabla3[Corregimiento],"NA")</f>
        <v>El Carmen</v>
      </c>
      <c r="C219" s="3" t="str">
        <f>_xlfn.XLOOKUP(Tabla8[[#This Row],[N° FACTURA]],Tabla3[N° FACTURA],Tabla3[LUGAR ENVÍO],"NA")</f>
        <v>El Carmelo</v>
      </c>
      <c r="D219" s="167">
        <f>_xlfn.XLOOKUP(Tabla8[[#This Row],[N° FACTURA]],Tabla3[N° FACTURA],Tabla3[DISTANCIA (km)],"NA")</f>
        <v>6.1239999999999988</v>
      </c>
      <c r="E219" s="3">
        <f>_xlfn.XLOOKUP(Tabla8[[#This Row],[N° FACTURA]],Tabla3[N° FACTURA],Tabla3[Numero de Transportes],"NA")</f>
        <v>1</v>
      </c>
      <c r="F219" s="15">
        <f>_xlfn.XLOOKUP(Tabla8[[#This Row],[N° FACTURA]],Tabla3[N° FACTURA],Tabla3[VLR. TRANSPORTE],"NA")</f>
        <v>30000</v>
      </c>
      <c r="G219" s="15">
        <f>Tabla8[[#This Row],[VLR. TRANSPORTE]]/Tabla8[[#This Row],[Numero de Transportes]]</f>
        <v>30000</v>
      </c>
      <c r="H219" s="15">
        <f>_xlfn.XLOOKUP(Tabla8[[#This Row],[N° FACTURA]],Tabla3[N° FACTURA],Tabla3[VLR. TOTAL FACT.],"NA")</f>
        <v>3213000</v>
      </c>
      <c r="I219" s="15">
        <f>Tabla8[[#This Row],[VLR. TOTAL FACT.]]-Tabla8[[#This Row],[VLR. TRANSPORTE]]</f>
        <v>3183000</v>
      </c>
      <c r="J219" s="140">
        <f>Tabla8[[#This Row],[VLR. PRODUCTOS]]*0.2</f>
        <v>636600</v>
      </c>
      <c r="K219" s="15">
        <f>'ABC COSTEO'!B$11</f>
        <v>40740.427791666669</v>
      </c>
      <c r="L219" s="15">
        <f>Tabla8[[#This Row],[DISTANCIA (km)]]*2*'ABC COSTEO'!B$21</f>
        <v>16662.330056967843</v>
      </c>
      <c r="M219" s="15">
        <f>Tabla8[[#This Row],[Costo Variable]]+Tabla8[[#This Row],[Costo fijo]]</f>
        <v>57402.757848634516</v>
      </c>
      <c r="N219" s="15">
        <f>Tabla8[[#This Row],[Costo Total]]*Tabla8[[#This Row],[Numero de Transportes]]</f>
        <v>57402.757848634516</v>
      </c>
      <c r="O219" s="15">
        <f>(Tabla8[[#This Row],[VLR. Transporte unitario]]-Tabla8[[#This Row],[Costo Total]])*Tabla8[[#This Row],[Numero de Transportes]]</f>
        <v>-27402.757848634516</v>
      </c>
      <c r="P219" s="15">
        <f>Tabla8[[#This Row],[Margen de productos]]+Tabla8[[#This Row],[Ganancia/Perdida]]</f>
        <v>609197.2421513655</v>
      </c>
      <c r="Q219" s="144">
        <f>(Tabla8[[#This Row],[Margen ]]/Tabla8[[#This Row],[Margen de productos]])-1</f>
        <v>-4.3045488295058942E-2</v>
      </c>
    </row>
    <row r="220" spans="1:17" ht="15" thickBot="1" x14ac:dyDescent="0.35">
      <c r="A220" s="3">
        <v>58609</v>
      </c>
      <c r="B220" s="3" t="str">
        <f>_xlfn.XLOOKUP(Tabla8[[#This Row],[N° FACTURA]],Tabla3[N° FACTURA],Tabla3[Corregimiento],"NA")</f>
        <v>El Limonar</v>
      </c>
      <c r="C220" s="3" t="str">
        <f>_xlfn.XLOOKUP(Tabla8[[#This Row],[N° FACTURA]],Tabla3[N° FACTURA],Tabla3[LUGAR ENVÍO],"NA")</f>
        <v>palo alto</v>
      </c>
      <c r="D220" s="167">
        <f>_xlfn.XLOOKUP(Tabla8[[#This Row],[N° FACTURA]],Tabla3[N° FACTURA],Tabla3[DISTANCIA (km)],"NA")</f>
        <v>4.4759999999999982</v>
      </c>
      <c r="E220" s="3">
        <f>_xlfn.XLOOKUP(Tabla8[[#This Row],[N° FACTURA]],Tabla3[N° FACTURA],Tabla3[Numero de Transportes],"NA")</f>
        <v>1</v>
      </c>
      <c r="F220" s="15">
        <f>_xlfn.XLOOKUP(Tabla8[[#This Row],[N° FACTURA]],Tabla3[N° FACTURA],Tabla3[VLR. TRANSPORTE],"NA")</f>
        <v>20000</v>
      </c>
      <c r="G220" s="15">
        <f>Tabla8[[#This Row],[VLR. TRANSPORTE]]/Tabla8[[#This Row],[Numero de Transportes]]</f>
        <v>20000</v>
      </c>
      <c r="H220" s="15">
        <f>_xlfn.XLOOKUP(Tabla8[[#This Row],[N° FACTURA]],Tabla3[N° FACTURA],Tabla3[VLR. TOTAL FACT.],"NA")</f>
        <v>3259000</v>
      </c>
      <c r="I220" s="15">
        <f>Tabla8[[#This Row],[VLR. TOTAL FACT.]]-Tabla8[[#This Row],[VLR. TRANSPORTE]]</f>
        <v>3239000</v>
      </c>
      <c r="J220" s="140">
        <f>Tabla8[[#This Row],[VLR. PRODUCTOS]]*0.2</f>
        <v>647800</v>
      </c>
      <c r="K220" s="15">
        <f>'ABC COSTEO'!B$11</f>
        <v>40740.427791666669</v>
      </c>
      <c r="L220" s="15">
        <f>Tabla8[[#This Row],[DISTANCIA (km)]]*2*'ABC COSTEO'!B$21</f>
        <v>12178.411060579368</v>
      </c>
      <c r="M220" s="15">
        <f>Tabla8[[#This Row],[Costo Variable]]+Tabla8[[#This Row],[Costo fijo]]</f>
        <v>52918.838852246037</v>
      </c>
      <c r="N220" s="15">
        <f>Tabla8[[#This Row],[Costo Total]]*Tabla8[[#This Row],[Numero de Transportes]]</f>
        <v>52918.838852246037</v>
      </c>
      <c r="O220" s="15">
        <f>(Tabla8[[#This Row],[VLR. Transporte unitario]]-Tabla8[[#This Row],[Costo Total]])*Tabla8[[#This Row],[Numero de Transportes]]</f>
        <v>-32918.838852246037</v>
      </c>
      <c r="P220" s="15">
        <f>Tabla8[[#This Row],[Margen de productos]]+Tabla8[[#This Row],[Ganancia/Perdida]]</f>
        <v>614881.16114775394</v>
      </c>
      <c r="Q220" s="144">
        <f>(Tabla8[[#This Row],[Margen ]]/Tabla8[[#This Row],[Margen de productos]])-1</f>
        <v>-5.0816361303251067E-2</v>
      </c>
    </row>
    <row r="221" spans="1:17" ht="27.6" thickBot="1" x14ac:dyDescent="0.35">
      <c r="A221" s="3">
        <v>58868</v>
      </c>
      <c r="B221" s="3" t="str">
        <f>_xlfn.XLOOKUP(Tabla8[[#This Row],[N° FACTURA]],Tabla3[N° FACTURA],Tabla3[Corregimiento],"NA")</f>
        <v>El Carmen</v>
      </c>
      <c r="C221" s="3" t="str">
        <f>_xlfn.XLOOKUP(Tabla8[[#This Row],[N° FACTURA]],Tabla3[N° FACTURA],Tabla3[LUGAR ENVÍO],"NA")</f>
        <v xml:space="preserve">Saliendo del carmen </v>
      </c>
      <c r="D221" s="167">
        <f>_xlfn.XLOOKUP(Tabla8[[#This Row],[N° FACTURA]],Tabla3[N° FACTURA],Tabla3[DISTANCIA (km)],"NA")</f>
        <v>4.7339999999999982</v>
      </c>
      <c r="E221" s="3">
        <f>_xlfn.XLOOKUP(Tabla8[[#This Row],[N° FACTURA]],Tabla3[N° FACTURA],Tabla3[Numero de Transportes],"NA")</f>
        <v>1</v>
      </c>
      <c r="F221" s="15">
        <f>_xlfn.XLOOKUP(Tabla8[[#This Row],[N° FACTURA]],Tabla3[N° FACTURA],Tabla3[VLR. TRANSPORTE],"NA")</f>
        <v>60000</v>
      </c>
      <c r="G221" s="15">
        <f>Tabla8[[#This Row],[VLR. TRANSPORTE]]/Tabla8[[#This Row],[Numero de Transportes]]</f>
        <v>60000</v>
      </c>
      <c r="H221" s="15">
        <f>_xlfn.XLOOKUP(Tabla8[[#This Row],[N° FACTURA]],Tabla3[N° FACTURA],Tabla3[VLR. TOTAL FACT.],"NA")</f>
        <v>3389000</v>
      </c>
      <c r="I221" s="15">
        <f>Tabla8[[#This Row],[VLR. TOTAL FACT.]]-Tabla8[[#This Row],[VLR. TRANSPORTE]]</f>
        <v>3329000</v>
      </c>
      <c r="J221" s="140">
        <f>Tabla8[[#This Row],[VLR. PRODUCTOS]]*0.2</f>
        <v>665800</v>
      </c>
      <c r="K221" s="15">
        <f>'ABC COSTEO'!B$11</f>
        <v>40740.427791666669</v>
      </c>
      <c r="L221" s="15">
        <f>Tabla8[[#This Row],[DISTANCIA (km)]]*2*'ABC COSTEO'!B$21</f>
        <v>12880.383816081932</v>
      </c>
      <c r="M221" s="15">
        <f>Tabla8[[#This Row],[Costo Variable]]+Tabla8[[#This Row],[Costo fijo]]</f>
        <v>53620.811607748605</v>
      </c>
      <c r="N221" s="15">
        <f>Tabla8[[#This Row],[Costo Total]]*Tabla8[[#This Row],[Numero de Transportes]]</f>
        <v>53620.811607748605</v>
      </c>
      <c r="O221" s="15">
        <f>(Tabla8[[#This Row],[VLR. Transporte unitario]]-Tabla8[[#This Row],[Costo Total]])*Tabla8[[#This Row],[Numero de Transportes]]</f>
        <v>6379.1883922513953</v>
      </c>
      <c r="P221" s="15">
        <f>Tabla8[[#This Row],[Margen de productos]]+Tabla8[[#This Row],[Ganancia/Perdida]]</f>
        <v>672179.18839225138</v>
      </c>
      <c r="Q221" s="144">
        <f>(Tabla8[[#This Row],[Margen ]]/Tabla8[[#This Row],[Margen de productos]])-1</f>
        <v>9.5812381980344696E-3</v>
      </c>
    </row>
    <row r="222" spans="1:17" ht="15" thickBot="1" x14ac:dyDescent="0.35">
      <c r="A222" s="3">
        <v>58827</v>
      </c>
      <c r="B222" s="3" t="str">
        <f>_xlfn.XLOOKUP(Tabla8[[#This Row],[N° FACTURA]],Tabla3[N° FACTURA],Tabla3[Corregimiento],"NA")</f>
        <v>Borrero Ayerbe</v>
      </c>
      <c r="C222" s="3" t="str">
        <f>_xlfn.XLOOKUP(Tabla8[[#This Row],[N° FACTURA]],Tabla3[N° FACTURA],Tabla3[LUGAR ENVÍO],"NA")</f>
        <v>la florida</v>
      </c>
      <c r="D222" s="167">
        <f>_xlfn.XLOOKUP(Tabla8[[#This Row],[N° FACTURA]],Tabla3[N° FACTURA],Tabla3[DISTANCIA (km)],"NA")</f>
        <v>1.4669269999999999</v>
      </c>
      <c r="E222" s="3">
        <f>_xlfn.XLOOKUP(Tabla8[[#This Row],[N° FACTURA]],Tabla3[N° FACTURA],Tabla3[Numero de Transportes],"NA")</f>
        <v>2</v>
      </c>
      <c r="F222" s="15">
        <f>_xlfn.XLOOKUP(Tabla8[[#This Row],[N° FACTURA]],Tabla3[N° FACTURA],Tabla3[VLR. TRANSPORTE],"NA")</f>
        <v>60000</v>
      </c>
      <c r="G222" s="15">
        <f>Tabla8[[#This Row],[VLR. TRANSPORTE]]/Tabla8[[#This Row],[Numero de Transportes]]</f>
        <v>30000</v>
      </c>
      <c r="H222" s="15">
        <f>_xlfn.XLOOKUP(Tabla8[[#This Row],[N° FACTURA]],Tabla3[N° FACTURA],Tabla3[VLR. TOTAL FACT.],"NA")</f>
        <v>3415000</v>
      </c>
      <c r="I222" s="15">
        <f>Tabla8[[#This Row],[VLR. TOTAL FACT.]]-Tabla8[[#This Row],[VLR. TRANSPORTE]]</f>
        <v>3355000</v>
      </c>
      <c r="J222" s="140">
        <f>Tabla8[[#This Row],[VLR. PRODUCTOS]]*0.2</f>
        <v>671000</v>
      </c>
      <c r="K222" s="15">
        <f>'ABC COSTEO'!B$11</f>
        <v>40740.427791666669</v>
      </c>
      <c r="L222" s="15">
        <f>Tabla8[[#This Row],[DISTANCIA (km)]]*2*'ABC COSTEO'!B$21</f>
        <v>3991.2511174849233</v>
      </c>
      <c r="M222" s="15">
        <f>Tabla8[[#This Row],[Costo Variable]]+Tabla8[[#This Row],[Costo fijo]]</f>
        <v>44731.678909151589</v>
      </c>
      <c r="N222" s="15">
        <f>Tabla8[[#This Row],[Costo Total]]*Tabla8[[#This Row],[Numero de Transportes]]</f>
        <v>89463.357818303179</v>
      </c>
      <c r="O222" s="15">
        <f>(Tabla8[[#This Row],[VLR. Transporte unitario]]-Tabla8[[#This Row],[Costo Total]])*Tabla8[[#This Row],[Numero de Transportes]]</f>
        <v>-29463.357818303179</v>
      </c>
      <c r="P222" s="15">
        <f>Tabla8[[#This Row],[Margen de productos]]+Tabla8[[#This Row],[Ganancia/Perdida]]</f>
        <v>641536.64218169684</v>
      </c>
      <c r="Q222" s="144">
        <f>(Tabla8[[#This Row],[Margen ]]/Tabla8[[#This Row],[Margen de productos]])-1</f>
        <v>-4.3909624170347494E-2</v>
      </c>
    </row>
    <row r="223" spans="1:17" ht="15" thickBot="1" x14ac:dyDescent="0.35">
      <c r="A223" s="146">
        <v>49645</v>
      </c>
      <c r="B223" s="3" t="str">
        <f>_xlfn.XLOOKUP(Tabla8[[#This Row],[N° FACTURA]],Tabla3[N° FACTURA],Tabla3[Corregimiento],"NA")</f>
        <v>El Carmen</v>
      </c>
      <c r="C223" s="3" t="str">
        <f>_xlfn.XLOOKUP(Tabla8[[#This Row],[N° FACTURA]],Tabla3[N° FACTURA],Tabla3[LUGAR ENVÍO],"NA")</f>
        <v>El Diviso</v>
      </c>
      <c r="D223" s="167">
        <f>_xlfn.XLOOKUP(Tabla8[[#This Row],[N° FACTURA]],Tabla3[N° FACTURA],Tabla3[DISTANCIA (km)],"NA")</f>
        <v>8.4710000000000001</v>
      </c>
      <c r="E223" s="3">
        <f>_xlfn.XLOOKUP(Tabla8[[#This Row],[N° FACTURA]],Tabla3[N° FACTURA],Tabla3[Numero de Transportes],"NA")</f>
        <v>1</v>
      </c>
      <c r="F223" s="15">
        <f>_xlfn.XLOOKUP(Tabla8[[#This Row],[N° FACTURA]],Tabla3[N° FACTURA],Tabla3[VLR. TRANSPORTE],"NA")</f>
        <v>85000</v>
      </c>
      <c r="G223" s="15">
        <f>Tabla8[[#This Row],[VLR. TRANSPORTE]]/Tabla8[[#This Row],[Numero de Transportes]]</f>
        <v>85000</v>
      </c>
      <c r="H223" s="15">
        <f>_xlfn.XLOOKUP(Tabla8[[#This Row],[N° FACTURA]],Tabla3[N° FACTURA],Tabla3[VLR. TOTAL FACT.],"NA")</f>
        <v>3469200</v>
      </c>
      <c r="I223" s="15">
        <f>Tabla8[[#This Row],[VLR. TOTAL FACT.]]-Tabla8[[#This Row],[VLR. TRANSPORTE]]</f>
        <v>3384200</v>
      </c>
      <c r="J223" s="140">
        <f>Tabla8[[#This Row],[VLR. PRODUCTOS]]*0.2</f>
        <v>676840</v>
      </c>
      <c r="K223" s="15">
        <f>'ABC COSTEO'!B$11</f>
        <v>40740.427791666669</v>
      </c>
      <c r="L223" s="15">
        <f>Tabla8[[#This Row],[DISTANCIA (km)]]*2*'ABC COSTEO'!B$21</f>
        <v>23048.105472334199</v>
      </c>
      <c r="M223" s="15">
        <f>Tabla8[[#This Row],[Costo Variable]]+Tabla8[[#This Row],[Costo fijo]]</f>
        <v>63788.533264000871</v>
      </c>
      <c r="N223" s="15">
        <f>Tabla8[[#This Row],[Costo Total]]*Tabla8[[#This Row],[Numero de Transportes]]</f>
        <v>63788.533264000871</v>
      </c>
      <c r="O223" s="15">
        <f>(Tabla8[[#This Row],[VLR. Transporte unitario]]-Tabla8[[#This Row],[Costo Total]])*Tabla8[[#This Row],[Numero de Transportes]]</f>
        <v>21211.466735999129</v>
      </c>
      <c r="P223" s="15">
        <f>Tabla8[[#This Row],[Margen de productos]]+Tabla8[[#This Row],[Ganancia/Perdida]]</f>
        <v>698051.4667359991</v>
      </c>
      <c r="Q223" s="144">
        <f>(Tabla8[[#This Row],[Margen ]]/Tabla8[[#This Row],[Margen de productos]])-1</f>
        <v>3.1338967460550649E-2</v>
      </c>
    </row>
    <row r="224" spans="1:17" ht="15" thickBot="1" x14ac:dyDescent="0.35">
      <c r="A224" s="3">
        <v>58618</v>
      </c>
      <c r="B224" s="3" t="str">
        <f>_xlfn.XLOOKUP(Tabla8[[#This Row],[N° FACTURA]],Tabla3[N° FACTURA],Tabla3[Corregimiento],"NA")</f>
        <v>Borrero Ayerbe</v>
      </c>
      <c r="C224" s="3" t="str">
        <f>_xlfn.XLOOKUP(Tabla8[[#This Row],[N° FACTURA]],Tabla3[N° FACTURA],Tabla3[LUGAR ENVÍO],"NA")</f>
        <v>KM 26</v>
      </c>
      <c r="D224" s="167">
        <f>_xlfn.XLOOKUP(Tabla8[[#This Row],[N° FACTURA]],Tabla3[N° FACTURA],Tabla3[DISTANCIA (km)],"NA")</f>
        <v>5.3780000000000001</v>
      </c>
      <c r="E224" s="3">
        <f>_xlfn.XLOOKUP(Tabla8[[#This Row],[N° FACTURA]],Tabla3[N° FACTURA],Tabla3[Numero de Transportes],"NA")</f>
        <v>1</v>
      </c>
      <c r="F224" s="15">
        <f>_xlfn.XLOOKUP(Tabla8[[#This Row],[N° FACTURA]],Tabla3[N° FACTURA],Tabla3[VLR. TRANSPORTE],"NA")</f>
        <v>15000</v>
      </c>
      <c r="G224" s="15">
        <f>Tabla8[[#This Row],[VLR. TRANSPORTE]]/Tabla8[[#This Row],[Numero de Transportes]]</f>
        <v>15000</v>
      </c>
      <c r="H224" s="15">
        <f>_xlfn.XLOOKUP(Tabla8[[#This Row],[N° FACTURA]],Tabla3[N° FACTURA],Tabla3[VLR. TOTAL FACT.],"NA")</f>
        <v>3404000</v>
      </c>
      <c r="I224" s="15">
        <f>Tabla8[[#This Row],[VLR. TOTAL FACT.]]-Tabla8[[#This Row],[VLR. TRANSPORTE]]</f>
        <v>3389000</v>
      </c>
      <c r="J224" s="140">
        <f>Tabla8[[#This Row],[VLR. PRODUCTOS]]*0.2</f>
        <v>677800</v>
      </c>
      <c r="K224" s="15">
        <f>'ABC COSTEO'!B$11</f>
        <v>40740.427791666669</v>
      </c>
      <c r="L224" s="15">
        <f>Tabla8[[#This Row],[DISTANCIA (km)]]*2*'ABC COSTEO'!B$21</f>
        <v>14632.594880204617</v>
      </c>
      <c r="M224" s="15">
        <f>Tabla8[[#This Row],[Costo Variable]]+Tabla8[[#This Row],[Costo fijo]]</f>
        <v>55373.022671871287</v>
      </c>
      <c r="N224" s="15">
        <f>Tabla8[[#This Row],[Costo Total]]*Tabla8[[#This Row],[Numero de Transportes]]</f>
        <v>55373.022671871287</v>
      </c>
      <c r="O224" s="15">
        <f>(Tabla8[[#This Row],[VLR. Transporte unitario]]-Tabla8[[#This Row],[Costo Total]])*Tabla8[[#This Row],[Numero de Transportes]]</f>
        <v>-40373.022671871287</v>
      </c>
      <c r="P224" s="15">
        <f>Tabla8[[#This Row],[Margen de productos]]+Tabla8[[#This Row],[Ganancia/Perdida]]</f>
        <v>637426.97732812876</v>
      </c>
      <c r="Q224" s="144">
        <f>(Tabla8[[#This Row],[Margen ]]/Tabla8[[#This Row],[Margen de productos]])-1</f>
        <v>-5.9564801817455382E-2</v>
      </c>
    </row>
    <row r="225" spans="1:17" ht="15" thickBot="1" x14ac:dyDescent="0.35">
      <c r="A225" s="3">
        <v>58839</v>
      </c>
      <c r="B225" s="3" t="str">
        <f>_xlfn.XLOOKUP(Tabla8[[#This Row],[N° FACTURA]],Tabla3[N° FACTURA],Tabla3[Corregimiento],"NA")</f>
        <v>Borrero Ayerbe</v>
      </c>
      <c r="C225" s="3" t="str">
        <f>_xlfn.XLOOKUP(Tabla8[[#This Row],[N° FACTURA]],Tabla3[N° FACTURA],Tabla3[LUGAR ENVÍO],"NA")</f>
        <v>KM 28</v>
      </c>
      <c r="D225" s="167">
        <f>_xlfn.XLOOKUP(Tabla8[[#This Row],[N° FACTURA]],Tabla3[N° FACTURA],Tabla3[DISTANCIA (km)],"NA")</f>
        <v>3.9430140000000011</v>
      </c>
      <c r="E225" s="3">
        <f>_xlfn.XLOOKUP(Tabla8[[#This Row],[N° FACTURA]],Tabla3[N° FACTURA],Tabla3[Numero de Transportes],"NA")</f>
        <v>2</v>
      </c>
      <c r="F225" s="15">
        <f>_xlfn.XLOOKUP(Tabla8[[#This Row],[N° FACTURA]],Tabla3[N° FACTURA],Tabla3[VLR. TRANSPORTE],"NA")</f>
        <v>120000</v>
      </c>
      <c r="G225" s="15">
        <f>Tabla8[[#This Row],[VLR. TRANSPORTE]]/Tabla8[[#This Row],[Numero de Transportes]]</f>
        <v>60000</v>
      </c>
      <c r="H225" s="15">
        <f>_xlfn.XLOOKUP(Tabla8[[#This Row],[N° FACTURA]],Tabla3[N° FACTURA],Tabla3[VLR. TOTAL FACT.],"NA")</f>
        <v>3564000</v>
      </c>
      <c r="I225" s="15">
        <f>Tabla8[[#This Row],[VLR. TOTAL FACT.]]-Tabla8[[#This Row],[VLR. TRANSPORTE]]</f>
        <v>3444000</v>
      </c>
      <c r="J225" s="140">
        <f>Tabla8[[#This Row],[VLR. PRODUCTOS]]*0.2</f>
        <v>688800</v>
      </c>
      <c r="K225" s="15">
        <f>'ABC COSTEO'!B$11</f>
        <v>40740.427791666669</v>
      </c>
      <c r="L225" s="15">
        <f>Tabla8[[#This Row],[DISTANCIA (km)]]*2*'ABC COSTEO'!B$21</f>
        <v>10728.249622345695</v>
      </c>
      <c r="M225" s="15">
        <f>Tabla8[[#This Row],[Costo Variable]]+Tabla8[[#This Row],[Costo fijo]]</f>
        <v>51468.67741401236</v>
      </c>
      <c r="N225" s="15">
        <f>Tabla8[[#This Row],[Costo Total]]*Tabla8[[#This Row],[Numero de Transportes]]</f>
        <v>102937.35482802472</v>
      </c>
      <c r="O225" s="15">
        <f>(Tabla8[[#This Row],[VLR. Transporte unitario]]-Tabla8[[#This Row],[Costo Total]])*Tabla8[[#This Row],[Numero de Transportes]]</f>
        <v>17062.64517197528</v>
      </c>
      <c r="P225" s="15">
        <f>Tabla8[[#This Row],[Margen de productos]]+Tabla8[[#This Row],[Ganancia/Perdida]]</f>
        <v>705862.64517197525</v>
      </c>
      <c r="Q225" s="144">
        <f>(Tabla8[[#This Row],[Margen ]]/Tabla8[[#This Row],[Margen de productos]])-1</f>
        <v>2.4771552224122084E-2</v>
      </c>
    </row>
    <row r="226" spans="1:17" ht="15" thickBot="1" x14ac:dyDescent="0.35">
      <c r="A226" s="3">
        <v>58718</v>
      </c>
      <c r="B226" s="3" t="str">
        <f>_xlfn.XLOOKUP(Tabla8[[#This Row],[N° FACTURA]],Tabla3[N° FACTURA],Tabla3[Corregimiento],"NA")</f>
        <v>El Carmen</v>
      </c>
      <c r="C226" s="3" t="str">
        <f>_xlfn.XLOOKUP(Tabla8[[#This Row],[N° FACTURA]],Tabla3[N° FACTURA],Tabla3[LUGAR ENVÍO],"NA")</f>
        <v>Los bomberos</v>
      </c>
      <c r="D226" s="167">
        <f>_xlfn.XLOOKUP(Tabla8[[#This Row],[N° FACTURA]],Tabla3[N° FACTURA],Tabla3[DISTANCIA (km)],"NA")</f>
        <v>2.0919999999999992</v>
      </c>
      <c r="E226" s="3">
        <f>_xlfn.XLOOKUP(Tabla8[[#This Row],[N° FACTURA]],Tabla3[N° FACTURA],Tabla3[Numero de Transportes],"NA")</f>
        <v>2</v>
      </c>
      <c r="F226" s="15">
        <f>_xlfn.XLOOKUP(Tabla8[[#This Row],[N° FACTURA]],Tabla3[N° FACTURA],Tabla3[VLR. TRANSPORTE],"NA")</f>
        <v>60000</v>
      </c>
      <c r="G226" s="15">
        <f>Tabla8[[#This Row],[VLR. TRANSPORTE]]/Tabla8[[#This Row],[Numero de Transportes]]</f>
        <v>30000</v>
      </c>
      <c r="H226" s="15">
        <f>_xlfn.XLOOKUP(Tabla8[[#This Row],[N° FACTURA]],Tabla3[N° FACTURA],Tabla3[VLR. TOTAL FACT.],"NA")</f>
        <v>3563000</v>
      </c>
      <c r="I226" s="15">
        <f>Tabla8[[#This Row],[VLR. TOTAL FACT.]]-Tabla8[[#This Row],[VLR. TRANSPORTE]]</f>
        <v>3503000</v>
      </c>
      <c r="J226" s="140">
        <f>Tabla8[[#This Row],[VLR. PRODUCTOS]]*0.2</f>
        <v>700600</v>
      </c>
      <c r="K226" s="15">
        <f>'ABC COSTEO'!B$11</f>
        <v>40740.427791666669</v>
      </c>
      <c r="L226" s="15">
        <f>Tabla8[[#This Row],[DISTANCIA (km)]]*2*'ABC COSTEO'!B$21</f>
        <v>5691.9651337649775</v>
      </c>
      <c r="M226" s="15">
        <f>Tabla8[[#This Row],[Costo Variable]]+Tabla8[[#This Row],[Costo fijo]]</f>
        <v>46432.392925431646</v>
      </c>
      <c r="N226" s="15">
        <f>Tabla8[[#This Row],[Costo Total]]*Tabla8[[#This Row],[Numero de Transportes]]</f>
        <v>92864.785850863293</v>
      </c>
      <c r="O226" s="15">
        <f>(Tabla8[[#This Row],[VLR. Transporte unitario]]-Tabla8[[#This Row],[Costo Total]])*Tabla8[[#This Row],[Numero de Transportes]]</f>
        <v>-32864.785850863293</v>
      </c>
      <c r="P226" s="15">
        <f>Tabla8[[#This Row],[Margen de productos]]+Tabla8[[#This Row],[Ganancia/Perdida]]</f>
        <v>667735.21414913668</v>
      </c>
      <c r="Q226" s="144">
        <f>(Tabla8[[#This Row],[Margen ]]/Tabla8[[#This Row],[Margen de productos]])-1</f>
        <v>-4.6909485941854623E-2</v>
      </c>
    </row>
    <row r="227" spans="1:17" ht="15" thickBot="1" x14ac:dyDescent="0.35">
      <c r="A227" s="3">
        <v>58748</v>
      </c>
      <c r="B227" s="3" t="str">
        <f>_xlfn.XLOOKUP(Tabla8[[#This Row],[N° FACTURA]],Tabla3[N° FACTURA],Tabla3[Corregimiento],"NA")</f>
        <v>Borrero Ayerbe</v>
      </c>
      <c r="C227" s="3" t="str">
        <f>_xlfn.XLOOKUP(Tabla8[[#This Row],[N° FACTURA]],Tabla3[N° FACTURA],Tabla3[LUGAR ENVÍO],"NA")</f>
        <v>KM 27</v>
      </c>
      <c r="D227" s="167">
        <f>_xlfn.XLOOKUP(Tabla8[[#This Row],[N° FACTURA]],Tabla3[N° FACTURA],Tabla3[DISTANCIA (km)],"NA")</f>
        <v>4.5839430000000005</v>
      </c>
      <c r="E227" s="3">
        <f>_xlfn.XLOOKUP(Tabla8[[#This Row],[N° FACTURA]],Tabla3[N° FACTURA],Tabla3[Numero de Transportes],"NA")</f>
        <v>3</v>
      </c>
      <c r="F227" s="15">
        <f>_xlfn.XLOOKUP(Tabla8[[#This Row],[N° FACTURA]],Tabla3[N° FACTURA],Tabla3[VLR. TRANSPORTE],"NA")</f>
        <v>120000</v>
      </c>
      <c r="G227" s="15">
        <f>Tabla8[[#This Row],[VLR. TRANSPORTE]]/Tabla8[[#This Row],[Numero de Transportes]]</f>
        <v>40000</v>
      </c>
      <c r="H227" s="15">
        <f>_xlfn.XLOOKUP(Tabla8[[#This Row],[N° FACTURA]],Tabla3[N° FACTURA],Tabla3[VLR. TOTAL FACT.],"NA")</f>
        <v>3680000</v>
      </c>
      <c r="I227" s="15">
        <f>Tabla8[[#This Row],[VLR. TOTAL FACT.]]-Tabla8[[#This Row],[VLR. TRANSPORTE]]</f>
        <v>3560000</v>
      </c>
      <c r="J227" s="140">
        <f>Tabla8[[#This Row],[VLR. PRODUCTOS]]*0.2</f>
        <v>712000</v>
      </c>
      <c r="K227" s="15">
        <f>'ABC COSTEO'!B$11</f>
        <v>40740.427791666669</v>
      </c>
      <c r="L227" s="15">
        <f>Tabla8[[#This Row],[DISTANCIA (km)]]*2*'ABC COSTEO'!B$21</f>
        <v>12472.105034018185</v>
      </c>
      <c r="M227" s="15">
        <f>Tabla8[[#This Row],[Costo Variable]]+Tabla8[[#This Row],[Costo fijo]]</f>
        <v>53212.532825684852</v>
      </c>
      <c r="N227" s="15">
        <f>Tabla8[[#This Row],[Costo Total]]*Tabla8[[#This Row],[Numero de Transportes]]</f>
        <v>159637.59847705456</v>
      </c>
      <c r="O227" s="15">
        <f>(Tabla8[[#This Row],[VLR. Transporte unitario]]-Tabla8[[#This Row],[Costo Total]])*Tabla8[[#This Row],[Numero de Transportes]]</f>
        <v>-39637.598477054555</v>
      </c>
      <c r="P227" s="15">
        <f>Tabla8[[#This Row],[Margen de productos]]+Tabla8[[#This Row],[Ganancia/Perdida]]</f>
        <v>672362.4015229455</v>
      </c>
      <c r="Q227" s="144">
        <f>(Tabla8[[#This Row],[Margen ]]/Tabla8[[#This Row],[Margen de productos]])-1</f>
        <v>-5.5670784377885529E-2</v>
      </c>
    </row>
    <row r="228" spans="1:17" ht="27.6" thickBot="1" x14ac:dyDescent="0.35">
      <c r="A228" s="3">
        <v>58704</v>
      </c>
      <c r="B228" s="3" t="str">
        <f>_xlfn.XLOOKUP(Tabla8[[#This Row],[N° FACTURA]],Tabla3[N° FACTURA],Tabla3[Corregimiento],"NA")</f>
        <v>El Carmen</v>
      </c>
      <c r="C228" s="3" t="str">
        <f>_xlfn.XLOOKUP(Tabla8[[#This Row],[N° FACTURA]],Tabla3[N° FACTURA],Tabla3[LUGAR ENVÍO],"NA")</f>
        <v xml:space="preserve">Saliendo del carmen </v>
      </c>
      <c r="D228" s="167">
        <f>_xlfn.XLOOKUP(Tabla8[[#This Row],[N° FACTURA]],Tabla3[N° FACTURA],Tabla3[DISTANCIA (km)],"NA")</f>
        <v>4.7339999999999982</v>
      </c>
      <c r="E228" s="3">
        <f>_xlfn.XLOOKUP(Tabla8[[#This Row],[N° FACTURA]],Tabla3[N° FACTURA],Tabla3[Numero de Transportes],"NA")</f>
        <v>1</v>
      </c>
      <c r="F228" s="15">
        <f>_xlfn.XLOOKUP(Tabla8[[#This Row],[N° FACTURA]],Tabla3[N° FACTURA],Tabla3[VLR. TRANSPORTE],"NA")</f>
        <v>15000</v>
      </c>
      <c r="G228" s="15">
        <f>Tabla8[[#This Row],[VLR. TRANSPORTE]]/Tabla8[[#This Row],[Numero de Transportes]]</f>
        <v>15000</v>
      </c>
      <c r="H228" s="15">
        <f>_xlfn.XLOOKUP(Tabla8[[#This Row],[N° FACTURA]],Tabla3[N° FACTURA],Tabla3[VLR. TOTAL FACT.],"NA")</f>
        <v>3633000</v>
      </c>
      <c r="I228" s="15">
        <f>Tabla8[[#This Row],[VLR. TOTAL FACT.]]-Tabla8[[#This Row],[VLR. TRANSPORTE]]</f>
        <v>3618000</v>
      </c>
      <c r="J228" s="140">
        <f>Tabla8[[#This Row],[VLR. PRODUCTOS]]*0.2</f>
        <v>723600</v>
      </c>
      <c r="K228" s="15">
        <f>'ABC COSTEO'!B$11</f>
        <v>40740.427791666669</v>
      </c>
      <c r="L228" s="15">
        <f>Tabla8[[#This Row],[DISTANCIA (km)]]*2*'ABC COSTEO'!B$21</f>
        <v>12880.383816081932</v>
      </c>
      <c r="M228" s="15">
        <f>Tabla8[[#This Row],[Costo Variable]]+Tabla8[[#This Row],[Costo fijo]]</f>
        <v>53620.811607748605</v>
      </c>
      <c r="N228" s="15">
        <f>Tabla8[[#This Row],[Costo Total]]*Tabla8[[#This Row],[Numero de Transportes]]</f>
        <v>53620.811607748605</v>
      </c>
      <c r="O228" s="15">
        <f>(Tabla8[[#This Row],[VLR. Transporte unitario]]-Tabla8[[#This Row],[Costo Total]])*Tabla8[[#This Row],[Numero de Transportes]]</f>
        <v>-38620.811607748605</v>
      </c>
      <c r="P228" s="15">
        <f>Tabla8[[#This Row],[Margen de productos]]+Tabla8[[#This Row],[Ganancia/Perdida]]</f>
        <v>684979.18839225138</v>
      </c>
      <c r="Q228" s="144">
        <f>(Tabla8[[#This Row],[Margen ]]/Tabla8[[#This Row],[Margen de productos]])-1</f>
        <v>-5.3373150370022993E-2</v>
      </c>
    </row>
    <row r="229" spans="1:17" ht="15" thickBot="1" x14ac:dyDescent="0.35">
      <c r="A229" s="3">
        <v>58703</v>
      </c>
      <c r="B229" s="3" t="str">
        <f>_xlfn.XLOOKUP(Tabla8[[#This Row],[N° FACTURA]],Tabla3[N° FACTURA],Tabla3[Corregimiento],"NA")</f>
        <v>Borrero Ayerbe</v>
      </c>
      <c r="C229" s="3" t="str">
        <f>_xlfn.XLOOKUP(Tabla8[[#This Row],[N° FACTURA]],Tabla3[N° FACTURA],Tabla3[LUGAR ENVÍO],"NA")</f>
        <v>la bomba</v>
      </c>
      <c r="D229" s="167">
        <f>_xlfn.XLOOKUP(Tabla8[[#This Row],[N° FACTURA]],Tabla3[N° FACTURA],Tabla3[DISTANCIA (km)],"NA")</f>
        <v>1.3212069999999998</v>
      </c>
      <c r="E229" s="3">
        <f>_xlfn.XLOOKUP(Tabla8[[#This Row],[N° FACTURA]],Tabla3[N° FACTURA],Tabla3[Numero de Transportes],"NA")</f>
        <v>1</v>
      </c>
      <c r="F229" s="15">
        <f>_xlfn.XLOOKUP(Tabla8[[#This Row],[N° FACTURA]],Tabla3[N° FACTURA],Tabla3[VLR. TRANSPORTE],"NA")</f>
        <v>20000</v>
      </c>
      <c r="G229" s="15">
        <f>Tabla8[[#This Row],[VLR. TRANSPORTE]]/Tabla8[[#This Row],[Numero de Transportes]]</f>
        <v>20000</v>
      </c>
      <c r="H229" s="15">
        <f>_xlfn.XLOOKUP(Tabla8[[#This Row],[N° FACTURA]],Tabla3[N° FACTURA],Tabla3[VLR. TOTAL FACT.],"NA")</f>
        <v>3724000</v>
      </c>
      <c r="I229" s="15">
        <f>Tabla8[[#This Row],[VLR. TOTAL FACT.]]-Tabla8[[#This Row],[VLR. TRANSPORTE]]</f>
        <v>3704000</v>
      </c>
      <c r="J229" s="140">
        <f>Tabla8[[#This Row],[VLR. PRODUCTOS]]*0.2</f>
        <v>740800</v>
      </c>
      <c r="K229" s="15">
        <f>'ABC COSTEO'!B$11</f>
        <v>40740.427791666669</v>
      </c>
      <c r="L229" s="15">
        <f>Tabla8[[#This Row],[DISTANCIA (km)]]*2*'ABC COSTEO'!B$21</f>
        <v>3594.7725518576603</v>
      </c>
      <c r="M229" s="15">
        <f>Tabla8[[#This Row],[Costo Variable]]+Tabla8[[#This Row],[Costo fijo]]</f>
        <v>44335.200343524331</v>
      </c>
      <c r="N229" s="15">
        <f>Tabla8[[#This Row],[Costo Total]]*Tabla8[[#This Row],[Numero de Transportes]]</f>
        <v>44335.200343524331</v>
      </c>
      <c r="O229" s="15">
        <f>(Tabla8[[#This Row],[VLR. Transporte unitario]]-Tabla8[[#This Row],[Costo Total]])*Tabla8[[#This Row],[Numero de Transportes]]</f>
        <v>-24335.200343524331</v>
      </c>
      <c r="P229" s="15">
        <f>Tabla8[[#This Row],[Margen de productos]]+Tabla8[[#This Row],[Ganancia/Perdida]]</f>
        <v>716464.79965647566</v>
      </c>
      <c r="Q229" s="144">
        <f>(Tabla8[[#This Row],[Margen ]]/Tabla8[[#This Row],[Margen de productos]])-1</f>
        <v>-3.2849892472360032E-2</v>
      </c>
    </row>
    <row r="230" spans="1:17" ht="15" thickBot="1" x14ac:dyDescent="0.35">
      <c r="A230" s="3">
        <v>58768</v>
      </c>
      <c r="B230" s="3" t="str">
        <f>_xlfn.XLOOKUP(Tabla8[[#This Row],[N° FACTURA]],Tabla3[N° FACTURA],Tabla3[Corregimiento],"NA")</f>
        <v>Borrero Ayerbe</v>
      </c>
      <c r="C230" s="3" t="str">
        <f>_xlfn.XLOOKUP(Tabla8[[#This Row],[N° FACTURA]],Tabla3[N° FACTURA],Tabla3[LUGAR ENVÍO],"NA")</f>
        <v>KM 27</v>
      </c>
      <c r="D230" s="167">
        <f>_xlfn.XLOOKUP(Tabla8[[#This Row],[N° FACTURA]],Tabla3[N° FACTURA],Tabla3[DISTANCIA (km)],"NA")</f>
        <v>4.5839430000000005</v>
      </c>
      <c r="E230" s="3">
        <f>_xlfn.XLOOKUP(Tabla8[[#This Row],[N° FACTURA]],Tabla3[N° FACTURA],Tabla3[Numero de Transportes],"NA")</f>
        <v>2</v>
      </c>
      <c r="F230" s="15">
        <f>_xlfn.XLOOKUP(Tabla8[[#This Row],[N° FACTURA]],Tabla3[N° FACTURA],Tabla3[VLR. TRANSPORTE],"NA")</f>
        <v>60000</v>
      </c>
      <c r="G230" s="15">
        <f>Tabla8[[#This Row],[VLR. TRANSPORTE]]/Tabla8[[#This Row],[Numero de Transportes]]</f>
        <v>30000</v>
      </c>
      <c r="H230" s="15">
        <f>_xlfn.XLOOKUP(Tabla8[[#This Row],[N° FACTURA]],Tabla3[N° FACTURA],Tabla3[VLR. TOTAL FACT.],"NA")</f>
        <v>3925000</v>
      </c>
      <c r="I230" s="15">
        <f>Tabla8[[#This Row],[VLR. TOTAL FACT.]]-Tabla8[[#This Row],[VLR. TRANSPORTE]]</f>
        <v>3865000</v>
      </c>
      <c r="J230" s="140">
        <f>Tabla8[[#This Row],[VLR. PRODUCTOS]]*0.2</f>
        <v>773000</v>
      </c>
      <c r="K230" s="15">
        <f>'ABC COSTEO'!B$11</f>
        <v>40740.427791666669</v>
      </c>
      <c r="L230" s="15">
        <f>Tabla8[[#This Row],[DISTANCIA (km)]]*2*'ABC COSTEO'!B$21</f>
        <v>12472.105034018185</v>
      </c>
      <c r="M230" s="15">
        <f>Tabla8[[#This Row],[Costo Variable]]+Tabla8[[#This Row],[Costo fijo]]</f>
        <v>53212.532825684852</v>
      </c>
      <c r="N230" s="15">
        <f>Tabla8[[#This Row],[Costo Total]]*Tabla8[[#This Row],[Numero de Transportes]]</f>
        <v>106425.0656513697</v>
      </c>
      <c r="O230" s="15">
        <f>(Tabla8[[#This Row],[VLR. Transporte unitario]]-Tabla8[[#This Row],[Costo Total]])*Tabla8[[#This Row],[Numero de Transportes]]</f>
        <v>-46425.065651369703</v>
      </c>
      <c r="P230" s="15">
        <f>Tabla8[[#This Row],[Margen de productos]]+Tabla8[[#This Row],[Ganancia/Perdida]]</f>
        <v>726574.93434863025</v>
      </c>
      <c r="Q230" s="144">
        <f>(Tabla8[[#This Row],[Margen ]]/Tabla8[[#This Row],[Margen de productos]])-1</f>
        <v>-6.0058299678356741E-2</v>
      </c>
    </row>
    <row r="231" spans="1:17" ht="15" thickBot="1" x14ac:dyDescent="0.35">
      <c r="A231" s="3">
        <v>58646</v>
      </c>
      <c r="B231" s="3" t="str">
        <f>_xlfn.XLOOKUP(Tabla8[[#This Row],[N° FACTURA]],Tabla3[N° FACTURA],Tabla3[Corregimiento],"NA")</f>
        <v>El Limonar</v>
      </c>
      <c r="C231" s="3" t="str">
        <f>_xlfn.XLOOKUP(Tabla8[[#This Row],[N° FACTURA]],Tabla3[N° FACTURA],Tabla3[LUGAR ENVÍO],"NA")</f>
        <v xml:space="preserve">Villahermosa </v>
      </c>
      <c r="D231" s="167">
        <f>_xlfn.XLOOKUP(Tabla8[[#This Row],[N° FACTURA]],Tabla3[N° FACTURA],Tabla3[DISTANCIA (km)],"NA")</f>
        <v>6.7879999999999994</v>
      </c>
      <c r="E231" s="3">
        <f>_xlfn.XLOOKUP(Tabla8[[#This Row],[N° FACTURA]],Tabla3[N° FACTURA],Tabla3[Numero de Transportes],"NA")</f>
        <v>1</v>
      </c>
      <c r="F231" s="15">
        <f>_xlfn.XLOOKUP(Tabla8[[#This Row],[N° FACTURA]],Tabla3[N° FACTURA],Tabla3[VLR. TRANSPORTE],"NA")</f>
        <v>50000</v>
      </c>
      <c r="G231" s="15">
        <f>Tabla8[[#This Row],[VLR. TRANSPORTE]]/Tabla8[[#This Row],[Numero de Transportes]]</f>
        <v>50000</v>
      </c>
      <c r="H231" s="15">
        <f>_xlfn.XLOOKUP(Tabla8[[#This Row],[N° FACTURA]],Tabla3[N° FACTURA],Tabla3[VLR. TOTAL FACT.],"NA")</f>
        <v>4067000</v>
      </c>
      <c r="I231" s="15">
        <f>Tabla8[[#This Row],[VLR. TOTAL FACT.]]-Tabla8[[#This Row],[VLR. TRANSPORTE]]</f>
        <v>4017000</v>
      </c>
      <c r="J231" s="140">
        <f>Tabla8[[#This Row],[VLR. PRODUCTOS]]*0.2</f>
        <v>803400</v>
      </c>
      <c r="K231" s="15">
        <f>'ABC COSTEO'!B$11</f>
        <v>40740.427791666669</v>
      </c>
      <c r="L231" s="15">
        <f>Tabla8[[#This Row],[DISTANCIA (km)]]*2*'ABC COSTEO'!B$21</f>
        <v>18468.957613765142</v>
      </c>
      <c r="M231" s="15">
        <f>Tabla8[[#This Row],[Costo Variable]]+Tabla8[[#This Row],[Costo fijo]]</f>
        <v>59209.385405431807</v>
      </c>
      <c r="N231" s="15">
        <f>Tabla8[[#This Row],[Costo Total]]*Tabla8[[#This Row],[Numero de Transportes]]</f>
        <v>59209.385405431807</v>
      </c>
      <c r="O231" s="15">
        <f>(Tabla8[[#This Row],[VLR. Transporte unitario]]-Tabla8[[#This Row],[Costo Total]])*Tabla8[[#This Row],[Numero de Transportes]]</f>
        <v>-9209.3854054318072</v>
      </c>
      <c r="P231" s="15">
        <f>Tabla8[[#This Row],[Margen de productos]]+Tabla8[[#This Row],[Ganancia/Perdida]]</f>
        <v>794190.61459456815</v>
      </c>
      <c r="Q231" s="144">
        <f>(Tabla8[[#This Row],[Margen ]]/Tabla8[[#This Row],[Margen de productos]])-1</f>
        <v>-1.1463013947512923E-2</v>
      </c>
    </row>
    <row r="232" spans="1:17" ht="15" thickBot="1" x14ac:dyDescent="0.35">
      <c r="A232" s="147">
        <v>50413</v>
      </c>
      <c r="B232" s="3" t="str">
        <f>_xlfn.XLOOKUP(Tabla8[[#This Row],[N° FACTURA]],Tabla3[N° FACTURA],Tabla3[Corregimiento],"NA")</f>
        <v>El Carmen</v>
      </c>
      <c r="C232" s="3" t="str">
        <f>_xlfn.XLOOKUP(Tabla8[[#This Row],[N° FACTURA]],Tabla3[N° FACTURA],Tabla3[LUGAR ENVÍO],"NA")</f>
        <v>Los bomberos</v>
      </c>
      <c r="D232" s="167">
        <f>_xlfn.XLOOKUP(Tabla8[[#This Row],[N° FACTURA]],Tabla3[N° FACTURA],Tabla3[DISTANCIA (km)],"NA")</f>
        <v>2.0919999999999992</v>
      </c>
      <c r="E232" s="3">
        <f>_xlfn.XLOOKUP(Tabla8[[#This Row],[N° FACTURA]],Tabla3[N° FACTURA],Tabla3[Numero de Transportes],"NA")</f>
        <v>1</v>
      </c>
      <c r="F232" s="15">
        <f>_xlfn.XLOOKUP(Tabla8[[#This Row],[N° FACTURA]],Tabla3[N° FACTURA],Tabla3[VLR. TRANSPORTE],"NA")</f>
        <v>55000</v>
      </c>
      <c r="G232" s="15">
        <f>Tabla8[[#This Row],[VLR. TRANSPORTE]]/Tabla8[[#This Row],[Numero de Transportes]]</f>
        <v>55000</v>
      </c>
      <c r="H232" s="15">
        <f>_xlfn.XLOOKUP(Tabla8[[#This Row],[N° FACTURA]],Tabla3[N° FACTURA],Tabla3[VLR. TOTAL FACT.],"NA")</f>
        <v>4103000</v>
      </c>
      <c r="I232" s="15">
        <f>Tabla8[[#This Row],[VLR. TOTAL FACT.]]-Tabla8[[#This Row],[VLR. TRANSPORTE]]</f>
        <v>4048000</v>
      </c>
      <c r="J232" s="140">
        <f>Tabla8[[#This Row],[VLR. PRODUCTOS]]*0.2</f>
        <v>809600</v>
      </c>
      <c r="K232" s="15">
        <f>'ABC COSTEO'!B$11</f>
        <v>40740.427791666669</v>
      </c>
      <c r="L232" s="15">
        <f>Tabla8[[#This Row],[DISTANCIA (km)]]*2*'ABC COSTEO'!B$21</f>
        <v>5691.9651337649775</v>
      </c>
      <c r="M232" s="15">
        <f>Tabla8[[#This Row],[Costo Variable]]+Tabla8[[#This Row],[Costo fijo]]</f>
        <v>46432.392925431646</v>
      </c>
      <c r="N232" s="15">
        <f>Tabla8[[#This Row],[Costo Total]]*Tabla8[[#This Row],[Numero de Transportes]]</f>
        <v>46432.392925431646</v>
      </c>
      <c r="O232" s="15">
        <f>(Tabla8[[#This Row],[VLR. Transporte unitario]]-Tabla8[[#This Row],[Costo Total]])*Tabla8[[#This Row],[Numero de Transportes]]</f>
        <v>8567.6070745683537</v>
      </c>
      <c r="P232" s="15">
        <f>Tabla8[[#This Row],[Margen de productos]]+Tabla8[[#This Row],[Ganancia/Perdida]]</f>
        <v>818167.6070745684</v>
      </c>
      <c r="Q232" s="144">
        <f>(Tabla8[[#This Row],[Margen ]]/Tabla8[[#This Row],[Margen de productos]])-1</f>
        <v>1.0582518619773218E-2</v>
      </c>
    </row>
    <row r="233" spans="1:17" ht="15" thickBot="1" x14ac:dyDescent="0.35">
      <c r="A233" s="3">
        <v>58802</v>
      </c>
      <c r="B233" s="3" t="str">
        <f>_xlfn.XLOOKUP(Tabla8[[#This Row],[N° FACTURA]],Tabla3[N° FACTURA],Tabla3[Corregimiento],"NA")</f>
        <v>El Carmen</v>
      </c>
      <c r="C233" s="3" t="str">
        <f>_xlfn.XLOOKUP(Tabla8[[#This Row],[N° FACTURA]],Tabla3[N° FACTURA],Tabla3[LUGAR ENVÍO],"NA")</f>
        <v>Pirineos</v>
      </c>
      <c r="D233" s="167">
        <f>_xlfn.XLOOKUP(Tabla8[[#This Row],[N° FACTURA]],Tabla3[N° FACTURA],Tabla3[DISTANCIA (km)],"NA")</f>
        <v>2.6666500000000002</v>
      </c>
      <c r="E233" s="3">
        <f>_xlfn.XLOOKUP(Tabla8[[#This Row],[N° FACTURA]],Tabla3[N° FACTURA],Tabla3[Numero de Transportes],"NA")</f>
        <v>1</v>
      </c>
      <c r="F233" s="15">
        <f>_xlfn.XLOOKUP(Tabla8[[#This Row],[N° FACTURA]],Tabla3[N° FACTURA],Tabla3[VLR. TRANSPORTE],"NA")</f>
        <v>15000</v>
      </c>
      <c r="G233" s="15">
        <f>Tabla8[[#This Row],[VLR. TRANSPORTE]]/Tabla8[[#This Row],[Numero de Transportes]]</f>
        <v>15000</v>
      </c>
      <c r="H233" s="15">
        <f>_xlfn.XLOOKUP(Tabla8[[#This Row],[N° FACTURA]],Tabla3[N° FACTURA],Tabla3[VLR. TOTAL FACT.],"NA")</f>
        <v>4270000</v>
      </c>
      <c r="I233" s="15">
        <f>Tabla8[[#This Row],[VLR. TOTAL FACT.]]-Tabla8[[#This Row],[VLR. TRANSPORTE]]</f>
        <v>4255000</v>
      </c>
      <c r="J233" s="140">
        <f>Tabla8[[#This Row],[VLR. PRODUCTOS]]*0.2</f>
        <v>851000</v>
      </c>
      <c r="K233" s="15">
        <f>'ABC COSTEO'!B$11</f>
        <v>40740.427791666669</v>
      </c>
      <c r="L233" s="15">
        <f>Tabla8[[#This Row],[DISTANCIA (km)]]*2*'ABC COSTEO'!B$21</f>
        <v>7255.487009538424</v>
      </c>
      <c r="M233" s="15">
        <f>Tabla8[[#This Row],[Costo Variable]]+Tabla8[[#This Row],[Costo fijo]]</f>
        <v>47995.914801205094</v>
      </c>
      <c r="N233" s="15">
        <f>Tabla8[[#This Row],[Costo Total]]*Tabla8[[#This Row],[Numero de Transportes]]</f>
        <v>47995.914801205094</v>
      </c>
      <c r="O233" s="15">
        <f>(Tabla8[[#This Row],[VLR. Transporte unitario]]-Tabla8[[#This Row],[Costo Total]])*Tabla8[[#This Row],[Numero de Transportes]]</f>
        <v>-32995.914801205094</v>
      </c>
      <c r="P233" s="15">
        <f>Tabla8[[#This Row],[Margen de productos]]+Tabla8[[#This Row],[Ganancia/Perdida]]</f>
        <v>818004.08519879496</v>
      </c>
      <c r="Q233" s="144">
        <f>(Tabla8[[#This Row],[Margen ]]/Tabla8[[#This Row],[Margen de productos]])-1</f>
        <v>-3.8773107874506496E-2</v>
      </c>
    </row>
    <row r="234" spans="1:17" ht="15" thickBot="1" x14ac:dyDescent="0.35">
      <c r="A234" s="3">
        <v>52000</v>
      </c>
      <c r="B234" s="3" t="str">
        <f>_xlfn.XLOOKUP(Tabla8[[#This Row],[N° FACTURA]],Tabla3[N° FACTURA],Tabla3[Corregimiento],"NA")</f>
        <v>Borrero Ayerbe</v>
      </c>
      <c r="C234" s="3" t="str">
        <f>_xlfn.XLOOKUP(Tabla8[[#This Row],[N° FACTURA]],Tabla3[N° FACTURA],Tabla3[LUGAR ENVÍO],"NA")</f>
        <v>Agua Sucia</v>
      </c>
      <c r="D234" s="167">
        <f>_xlfn.XLOOKUP(Tabla8[[#This Row],[N° FACTURA]],Tabla3[N° FACTURA],Tabla3[DISTANCIA (km)],"NA")</f>
        <v>1.343</v>
      </c>
      <c r="E234" s="3">
        <f>_xlfn.XLOOKUP(Tabla8[[#This Row],[N° FACTURA]],Tabla3[N° FACTURA],Tabla3[Numero de Transportes],"NA")</f>
        <v>3</v>
      </c>
      <c r="F234" s="15">
        <f>_xlfn.XLOOKUP(Tabla8[[#This Row],[N° FACTURA]],Tabla3[N° FACTURA],Tabla3[VLR. TRANSPORTE],"NA")</f>
        <v>120000</v>
      </c>
      <c r="G234" s="15">
        <f>Tabla8[[#This Row],[VLR. TRANSPORTE]]/Tabla8[[#This Row],[Numero de Transportes]]</f>
        <v>40000</v>
      </c>
      <c r="H234" s="15">
        <f>_xlfn.XLOOKUP(Tabla8[[#This Row],[N° FACTURA]],Tabla3[N° FACTURA],Tabla3[VLR. TOTAL FACT.],"NA")</f>
        <v>4564800</v>
      </c>
      <c r="I234" s="15">
        <f>Tabla8[[#This Row],[VLR. TOTAL FACT.]]-Tabla8[[#This Row],[VLR. TRANSPORTE]]</f>
        <v>4444800</v>
      </c>
      <c r="J234" s="140">
        <f>Tabla8[[#This Row],[VLR. PRODUCTOS]]*0.2</f>
        <v>888960</v>
      </c>
      <c r="K234" s="15">
        <f>'ABC COSTEO'!B$11</f>
        <v>40740.427791666669</v>
      </c>
      <c r="L234" s="15">
        <f>Tabla8[[#This Row],[DISTANCIA (km)]]*2*'ABC COSTEO'!B$21</f>
        <v>3654.0674831005581</v>
      </c>
      <c r="M234" s="15">
        <f>Tabla8[[#This Row],[Costo Variable]]+Tabla8[[#This Row],[Costo fijo]]</f>
        <v>44394.495274767229</v>
      </c>
      <c r="N234" s="15">
        <f>Tabla8[[#This Row],[Costo Total]]*Tabla8[[#This Row],[Numero de Transportes]]</f>
        <v>133183.48582430169</v>
      </c>
      <c r="O234" s="15">
        <f>(Tabla8[[#This Row],[VLR. Transporte unitario]]-Tabla8[[#This Row],[Costo Total]])*Tabla8[[#This Row],[Numero de Transportes]]</f>
        <v>-13183.485824301686</v>
      </c>
      <c r="P234" s="15">
        <f>Tabla8[[#This Row],[Margen de productos]]+Tabla8[[#This Row],[Ganancia/Perdida]]</f>
        <v>875776.51417569828</v>
      </c>
      <c r="Q234" s="144">
        <f>(Tabla8[[#This Row],[Margen ]]/Tabla8[[#This Row],[Margen de productos]])-1</f>
        <v>-1.4830235133528769E-2</v>
      </c>
    </row>
    <row r="235" spans="1:17" ht="15" thickBot="1" x14ac:dyDescent="0.35">
      <c r="A235" s="3">
        <v>58722</v>
      </c>
      <c r="B235" s="3" t="str">
        <f>_xlfn.XLOOKUP(Tabla8[[#This Row],[N° FACTURA]],Tabla3[N° FACTURA],Tabla3[Corregimiento],"NA")</f>
        <v>Borrero Ayerbe</v>
      </c>
      <c r="C235" s="3" t="str">
        <f>_xlfn.XLOOKUP(Tabla8[[#This Row],[N° FACTURA]],Tabla3[N° FACTURA],Tabla3[LUGAR ENVÍO],"NA")</f>
        <v xml:space="preserve">Salida al carmen </v>
      </c>
      <c r="D235" s="167">
        <f>_xlfn.XLOOKUP(Tabla8[[#This Row],[N° FACTURA]],Tabla3[N° FACTURA],Tabla3[DISTANCIA (km)],"NA")</f>
        <v>2.3290000000000006</v>
      </c>
      <c r="E235" s="3">
        <f>_xlfn.XLOOKUP(Tabla8[[#This Row],[N° FACTURA]],Tabla3[N° FACTURA],Tabla3[Numero de Transportes],"NA")</f>
        <v>1</v>
      </c>
      <c r="F235" s="15">
        <f>_xlfn.XLOOKUP(Tabla8[[#This Row],[N° FACTURA]],Tabla3[N° FACTURA],Tabla3[VLR. TRANSPORTE],"NA")</f>
        <v>20000</v>
      </c>
      <c r="G235" s="15">
        <f>Tabla8[[#This Row],[VLR. TRANSPORTE]]/Tabla8[[#This Row],[Numero de Transportes]]</f>
        <v>20000</v>
      </c>
      <c r="H235" s="15">
        <f>_xlfn.XLOOKUP(Tabla8[[#This Row],[N° FACTURA]],Tabla3[N° FACTURA],Tabla3[VLR. TOTAL FACT.],"NA")</f>
        <v>4505000</v>
      </c>
      <c r="I235" s="15">
        <f>Tabla8[[#This Row],[VLR. TOTAL FACT.]]-Tabla8[[#This Row],[VLR. TRANSPORTE]]</f>
        <v>4485000</v>
      </c>
      <c r="J235" s="140">
        <f>Tabla8[[#This Row],[VLR. PRODUCTOS]]*0.2</f>
        <v>897000</v>
      </c>
      <c r="K235" s="15">
        <f>'ABC COSTEO'!B$11</f>
        <v>40740.427791666669</v>
      </c>
      <c r="L235" s="15">
        <f>Tabla8[[#This Row],[DISTANCIA (km)]]*2*'ABC COSTEO'!B$21</f>
        <v>6336.8005719591974</v>
      </c>
      <c r="M235" s="15">
        <f>Tabla8[[#This Row],[Costo Variable]]+Tabla8[[#This Row],[Costo fijo]]</f>
        <v>47077.228363625865</v>
      </c>
      <c r="N235" s="15">
        <f>Tabla8[[#This Row],[Costo Total]]*Tabla8[[#This Row],[Numero de Transportes]]</f>
        <v>47077.228363625865</v>
      </c>
      <c r="O235" s="15">
        <f>(Tabla8[[#This Row],[VLR. Transporte unitario]]-Tabla8[[#This Row],[Costo Total]])*Tabla8[[#This Row],[Numero de Transportes]]</f>
        <v>-27077.228363625865</v>
      </c>
      <c r="P235" s="15">
        <f>Tabla8[[#This Row],[Margen de productos]]+Tabla8[[#This Row],[Ganancia/Perdida]]</f>
        <v>869922.77163637418</v>
      </c>
      <c r="Q235" s="144">
        <f>(Tabla8[[#This Row],[Margen ]]/Tabla8[[#This Row],[Margen de productos]])-1</f>
        <v>-3.0186430728679881E-2</v>
      </c>
    </row>
    <row r="236" spans="1:17" ht="15" thickBot="1" x14ac:dyDescent="0.35">
      <c r="A236" s="3">
        <v>58872</v>
      </c>
      <c r="B236" s="3" t="str">
        <f>_xlfn.XLOOKUP(Tabla8[[#This Row],[N° FACTURA]],Tabla3[N° FACTURA],Tabla3[Corregimiento],"NA")</f>
        <v>El Carmen</v>
      </c>
      <c r="C236" s="3" t="str">
        <f>_xlfn.XLOOKUP(Tabla8[[#This Row],[N° FACTURA]],Tabla3[N° FACTURA],Tabla3[LUGAR ENVÍO],"NA")</f>
        <v>El Coscorron</v>
      </c>
      <c r="D236" s="167">
        <f>_xlfn.XLOOKUP(Tabla8[[#This Row],[N° FACTURA]],Tabla3[N° FACTURA],Tabla3[DISTANCIA (km)],"NA")</f>
        <v>2.649999999999999</v>
      </c>
      <c r="E236" s="3">
        <f>_xlfn.XLOOKUP(Tabla8[[#This Row],[N° FACTURA]],Tabla3[N° FACTURA],Tabla3[Numero de Transportes],"NA")</f>
        <v>1</v>
      </c>
      <c r="F236" s="15">
        <f>_xlfn.XLOOKUP(Tabla8[[#This Row],[N° FACTURA]],Tabla3[N° FACTURA],Tabla3[VLR. TRANSPORTE],"NA")</f>
        <v>15000</v>
      </c>
      <c r="G236" s="15">
        <f>Tabla8[[#This Row],[VLR. TRANSPORTE]]/Tabla8[[#This Row],[Numero de Transportes]]</f>
        <v>15000</v>
      </c>
      <c r="H236" s="15">
        <f>_xlfn.XLOOKUP(Tabla8[[#This Row],[N° FACTURA]],Tabla3[N° FACTURA],Tabla3[VLR. TOTAL FACT.],"NA")</f>
        <v>4816000</v>
      </c>
      <c r="I236" s="15">
        <f>Tabla8[[#This Row],[VLR. TOTAL FACT.]]-Tabla8[[#This Row],[VLR. TRANSPORTE]]</f>
        <v>4801000</v>
      </c>
      <c r="J236" s="140">
        <f>Tabla8[[#This Row],[VLR. PRODUCTOS]]*0.2</f>
        <v>960200</v>
      </c>
      <c r="K236" s="15">
        <f>'ABC COSTEO'!B$11</f>
        <v>40740.427791666669</v>
      </c>
      <c r="L236" s="15">
        <f>Tabla8[[#This Row],[DISTANCIA (km)]]*2*'ABC COSTEO'!B$21</f>
        <v>7210.185279386802</v>
      </c>
      <c r="M236" s="15">
        <f>Tabla8[[#This Row],[Costo Variable]]+Tabla8[[#This Row],[Costo fijo]]</f>
        <v>47950.613071053471</v>
      </c>
      <c r="N236" s="15">
        <f>Tabla8[[#This Row],[Costo Total]]*Tabla8[[#This Row],[Numero de Transportes]]</f>
        <v>47950.613071053471</v>
      </c>
      <c r="O236" s="15">
        <f>(Tabla8[[#This Row],[VLR. Transporte unitario]]-Tabla8[[#This Row],[Costo Total]])*Tabla8[[#This Row],[Numero de Transportes]]</f>
        <v>-32950.613071053471</v>
      </c>
      <c r="P236" s="15">
        <f>Tabla8[[#This Row],[Margen de productos]]+Tabla8[[#This Row],[Ganancia/Perdida]]</f>
        <v>927249.38692894648</v>
      </c>
      <c r="Q236" s="144">
        <f>(Tabla8[[#This Row],[Margen ]]/Tabla8[[#This Row],[Margen de productos]])-1</f>
        <v>-3.4316406031090985E-2</v>
      </c>
    </row>
    <row r="237" spans="1:17" ht="15" thickBot="1" x14ac:dyDescent="0.35">
      <c r="A237" s="3">
        <v>58894</v>
      </c>
      <c r="B237" s="3" t="str">
        <f>_xlfn.XLOOKUP(Tabla8[[#This Row],[N° FACTURA]],Tabla3[N° FACTURA],Tabla3[Corregimiento],"NA")</f>
        <v>Borrero Ayerbe</v>
      </c>
      <c r="C237" s="3" t="str">
        <f>_xlfn.XLOOKUP(Tabla8[[#This Row],[N° FACTURA]],Tabla3[N° FACTURA],Tabla3[LUGAR ENVÍO],"NA")</f>
        <v>KM 25</v>
      </c>
      <c r="D237" s="167">
        <f>_xlfn.XLOOKUP(Tabla8[[#This Row],[N° FACTURA]],Tabla3[N° FACTURA],Tabla3[DISTANCIA (km)],"NA")</f>
        <v>6.4665800000000022</v>
      </c>
      <c r="E237" s="3">
        <f>_xlfn.XLOOKUP(Tabla8[[#This Row],[N° FACTURA]],Tabla3[N° FACTURA],Tabla3[Numero de Transportes],"NA")</f>
        <v>1</v>
      </c>
      <c r="F237" s="15">
        <f>_xlfn.XLOOKUP(Tabla8[[#This Row],[N° FACTURA]],Tabla3[N° FACTURA],Tabla3[VLR. TRANSPORTE],"NA")</f>
        <v>80000</v>
      </c>
      <c r="G237" s="15">
        <f>Tabla8[[#This Row],[VLR. TRANSPORTE]]/Tabla8[[#This Row],[Numero de Transportes]]</f>
        <v>80000</v>
      </c>
      <c r="H237" s="15">
        <f>_xlfn.XLOOKUP(Tabla8[[#This Row],[N° FACTURA]],Tabla3[N° FACTURA],Tabla3[VLR. TOTAL FACT.],"NA")</f>
        <v>4966000</v>
      </c>
      <c r="I237" s="15">
        <f>Tabla8[[#This Row],[VLR. TOTAL FACT.]]-Tabla8[[#This Row],[VLR. TRANSPORTE]]</f>
        <v>4886000</v>
      </c>
      <c r="J237" s="140">
        <f>Tabla8[[#This Row],[VLR. PRODUCTOS]]*0.2</f>
        <v>977200</v>
      </c>
      <c r="K237" s="15">
        <f>'ABC COSTEO'!B$11</f>
        <v>40740.427791666669</v>
      </c>
      <c r="L237" s="15">
        <f>Tabla8[[#This Row],[DISTANCIA (km)]]*2*'ABC COSTEO'!B$21</f>
        <v>17594.430159991374</v>
      </c>
      <c r="M237" s="15">
        <f>Tabla8[[#This Row],[Costo Variable]]+Tabla8[[#This Row],[Costo fijo]]</f>
        <v>58334.857951658043</v>
      </c>
      <c r="N237" s="15">
        <f>Tabla8[[#This Row],[Costo Total]]*Tabla8[[#This Row],[Numero de Transportes]]</f>
        <v>58334.857951658043</v>
      </c>
      <c r="O237" s="15">
        <f>(Tabla8[[#This Row],[VLR. Transporte unitario]]-Tabla8[[#This Row],[Costo Total]])*Tabla8[[#This Row],[Numero de Transportes]]</f>
        <v>21665.142048341957</v>
      </c>
      <c r="P237" s="15">
        <f>Tabla8[[#This Row],[Margen de productos]]+Tabla8[[#This Row],[Ganancia/Perdida]]</f>
        <v>998865.14204834192</v>
      </c>
      <c r="Q237" s="144">
        <f>(Tabla8[[#This Row],[Margen ]]/Tabla8[[#This Row],[Margen de productos]])-1</f>
        <v>2.2170632468626605E-2</v>
      </c>
    </row>
    <row r="238" spans="1:17" ht="15" thickBot="1" x14ac:dyDescent="0.35">
      <c r="A238" s="146">
        <v>49586</v>
      </c>
      <c r="B238" s="3" t="str">
        <f>_xlfn.XLOOKUP(Tabla8[[#This Row],[N° FACTURA]],Tabla3[N° FACTURA],Tabla3[Corregimiento],"NA")</f>
        <v>El Carmen</v>
      </c>
      <c r="C238" s="3" t="str">
        <f>_xlfn.XLOOKUP(Tabla8[[#This Row],[N° FACTURA]],Tabla3[N° FACTURA],Tabla3[LUGAR ENVÍO],"NA")</f>
        <v>El Diviso</v>
      </c>
      <c r="D238" s="167">
        <f>_xlfn.XLOOKUP(Tabla8[[#This Row],[N° FACTURA]],Tabla3[N° FACTURA],Tabla3[DISTANCIA (km)],"NA")</f>
        <v>8.4710000000000001</v>
      </c>
      <c r="E238" s="3">
        <f>_xlfn.XLOOKUP(Tabla8[[#This Row],[N° FACTURA]],Tabla3[N° FACTURA],Tabla3[Numero de Transportes],"NA")</f>
        <v>1</v>
      </c>
      <c r="F238" s="15">
        <f>_xlfn.XLOOKUP(Tabla8[[#This Row],[N° FACTURA]],Tabla3[N° FACTURA],Tabla3[VLR. TRANSPORTE],"NA")</f>
        <v>80000</v>
      </c>
      <c r="G238" s="15">
        <f>Tabla8[[#This Row],[VLR. TRANSPORTE]]/Tabla8[[#This Row],[Numero de Transportes]]</f>
        <v>80000</v>
      </c>
      <c r="H238" s="15">
        <f>_xlfn.XLOOKUP(Tabla8[[#This Row],[N° FACTURA]],Tabla3[N° FACTURA],Tabla3[VLR. TOTAL FACT.],"NA")</f>
        <v>4971400</v>
      </c>
      <c r="I238" s="15">
        <f>Tabla8[[#This Row],[VLR. TOTAL FACT.]]-Tabla8[[#This Row],[VLR. TRANSPORTE]]</f>
        <v>4891400</v>
      </c>
      <c r="J238" s="140">
        <f>Tabla8[[#This Row],[VLR. PRODUCTOS]]*0.2</f>
        <v>978280</v>
      </c>
      <c r="K238" s="15">
        <f>'ABC COSTEO'!B$11</f>
        <v>40740.427791666669</v>
      </c>
      <c r="L238" s="15">
        <f>Tabla8[[#This Row],[DISTANCIA (km)]]*2*'ABC COSTEO'!B$21</f>
        <v>23048.105472334199</v>
      </c>
      <c r="M238" s="15">
        <f>Tabla8[[#This Row],[Costo Variable]]+Tabla8[[#This Row],[Costo fijo]]</f>
        <v>63788.533264000871</v>
      </c>
      <c r="N238" s="15">
        <f>Tabla8[[#This Row],[Costo Total]]*Tabla8[[#This Row],[Numero de Transportes]]</f>
        <v>63788.533264000871</v>
      </c>
      <c r="O238" s="15">
        <f>(Tabla8[[#This Row],[VLR. Transporte unitario]]-Tabla8[[#This Row],[Costo Total]])*Tabla8[[#This Row],[Numero de Transportes]]</f>
        <v>16211.466735999129</v>
      </c>
      <c r="P238" s="15">
        <f>Tabla8[[#This Row],[Margen de productos]]+Tabla8[[#This Row],[Ganancia/Perdida]]</f>
        <v>994491.4667359991</v>
      </c>
      <c r="Q238" s="144">
        <f>(Tabla8[[#This Row],[Margen ]]/Tabla8[[#This Row],[Margen de productos]])-1</f>
        <v>1.6571397489470341E-2</v>
      </c>
    </row>
    <row r="239" spans="1:17" ht="15" thickBot="1" x14ac:dyDescent="0.35">
      <c r="A239" s="3">
        <v>58803</v>
      </c>
      <c r="B239" s="3" t="str">
        <f>_xlfn.XLOOKUP(Tabla8[[#This Row],[N° FACTURA]],Tabla3[N° FACTURA],Tabla3[Corregimiento],"NA")</f>
        <v>El Queremal</v>
      </c>
      <c r="C239" s="3" t="str">
        <f>_xlfn.XLOOKUP(Tabla8[[#This Row],[N° FACTURA]],Tabla3[N° FACTURA],Tabla3[LUGAR ENVÍO],"NA")</f>
        <v>el queremal</v>
      </c>
      <c r="D239" s="167">
        <f>_xlfn.XLOOKUP(Tabla8[[#This Row],[N° FACTURA]],Tabla3[N° FACTURA],Tabla3[DISTANCIA (km)],"NA")</f>
        <v>18.542000000000002</v>
      </c>
      <c r="E239" s="3">
        <f>_xlfn.XLOOKUP(Tabla8[[#This Row],[N° FACTURA]],Tabla3[N° FACTURA],Tabla3[Numero de Transportes],"NA")</f>
        <v>1</v>
      </c>
      <c r="F239" s="15">
        <f>_xlfn.XLOOKUP(Tabla8[[#This Row],[N° FACTURA]],Tabla3[N° FACTURA],Tabla3[VLR. TRANSPORTE],"NA")</f>
        <v>15000</v>
      </c>
      <c r="G239" s="15">
        <f>Tabla8[[#This Row],[VLR. TRANSPORTE]]/Tabla8[[#This Row],[Numero de Transportes]]</f>
        <v>15000</v>
      </c>
      <c r="H239" s="15">
        <f>_xlfn.XLOOKUP(Tabla8[[#This Row],[N° FACTURA]],Tabla3[N° FACTURA],Tabla3[VLR. TOTAL FACT.],"NA")</f>
        <v>4936000</v>
      </c>
      <c r="I239" s="15">
        <f>Tabla8[[#This Row],[VLR. TOTAL FACT.]]-Tabla8[[#This Row],[VLR. TRANSPORTE]]</f>
        <v>4921000</v>
      </c>
      <c r="J239" s="140">
        <f>Tabla8[[#This Row],[VLR. PRODUCTOS]]*0.2</f>
        <v>984200</v>
      </c>
      <c r="K239" s="15">
        <f>'ABC COSTEO'!B$11</f>
        <v>40740.427791666669</v>
      </c>
      <c r="L239" s="15">
        <f>Tabla8[[#This Row],[DISTANCIA (km)]]*2*'ABC COSTEO'!B$21</f>
        <v>50449.530358637792</v>
      </c>
      <c r="M239" s="15">
        <f>Tabla8[[#This Row],[Costo Variable]]+Tabla8[[#This Row],[Costo fijo]]</f>
        <v>91189.958150304461</v>
      </c>
      <c r="N239" s="15">
        <f>Tabla8[[#This Row],[Costo Total]]*Tabla8[[#This Row],[Numero de Transportes]]</f>
        <v>91189.958150304461</v>
      </c>
      <c r="O239" s="15">
        <f>(Tabla8[[#This Row],[VLR. Transporte unitario]]-Tabla8[[#This Row],[Costo Total]])*Tabla8[[#This Row],[Numero de Transportes]]</f>
        <v>-76189.958150304461</v>
      </c>
      <c r="P239" s="15">
        <f>Tabla8[[#This Row],[Margen de productos]]+Tabla8[[#This Row],[Ganancia/Perdida]]</f>
        <v>908010.0418496955</v>
      </c>
      <c r="Q239" s="144">
        <f>(Tabla8[[#This Row],[Margen ]]/Tabla8[[#This Row],[Margen de productos]])-1</f>
        <v>-7.7413084891591599E-2</v>
      </c>
    </row>
    <row r="240" spans="1:17" ht="15" thickBot="1" x14ac:dyDescent="0.35">
      <c r="A240" s="3">
        <v>30710</v>
      </c>
      <c r="B240" s="3" t="str">
        <f>_xlfn.XLOOKUP(Tabla8[[#This Row],[N° FACTURA]],Tabla3[N° FACTURA],Tabla3[Corregimiento],"NA")</f>
        <v>El Carmen</v>
      </c>
      <c r="C240" s="3" t="str">
        <f>_xlfn.XLOOKUP(Tabla8[[#This Row],[N° FACTURA]],Tabla3[N° FACTURA],Tabla3[LUGAR ENVÍO],"NA")</f>
        <v>Los bomberos</v>
      </c>
      <c r="D240" s="167">
        <f>_xlfn.XLOOKUP(Tabla8[[#This Row],[N° FACTURA]],Tabla3[N° FACTURA],Tabla3[DISTANCIA (km)],"NA")</f>
        <v>2.0919999999999992</v>
      </c>
      <c r="E240" s="3">
        <f>_xlfn.XLOOKUP(Tabla8[[#This Row],[N° FACTURA]],Tabla3[N° FACTURA],Tabla3[Numero de Transportes],"NA")</f>
        <v>2</v>
      </c>
      <c r="F240" s="15">
        <f>_xlfn.XLOOKUP(Tabla8[[#This Row],[N° FACTURA]],Tabla3[N° FACTURA],Tabla3[VLR. TRANSPORTE],"NA")</f>
        <v>40000</v>
      </c>
      <c r="G240" s="15">
        <f>Tabla8[[#This Row],[VLR. TRANSPORTE]]/Tabla8[[#This Row],[Numero de Transportes]]</f>
        <v>20000</v>
      </c>
      <c r="H240" s="15">
        <f>_xlfn.XLOOKUP(Tabla8[[#This Row],[N° FACTURA]],Tabla3[N° FACTURA],Tabla3[VLR. TOTAL FACT.],"NA")</f>
        <v>5045600</v>
      </c>
      <c r="I240" s="15">
        <f>Tabla8[[#This Row],[VLR. TOTAL FACT.]]-Tabla8[[#This Row],[VLR. TRANSPORTE]]</f>
        <v>5005600</v>
      </c>
      <c r="J240" s="140">
        <f>Tabla8[[#This Row],[VLR. PRODUCTOS]]*0.2</f>
        <v>1001120</v>
      </c>
      <c r="K240" s="15">
        <f>'ABC COSTEO'!B$11</f>
        <v>40740.427791666669</v>
      </c>
      <c r="L240" s="15">
        <f>Tabla8[[#This Row],[DISTANCIA (km)]]*2*'ABC COSTEO'!B$21</f>
        <v>5691.9651337649775</v>
      </c>
      <c r="M240" s="15">
        <f>Tabla8[[#This Row],[Costo Variable]]+Tabla8[[#This Row],[Costo fijo]]</f>
        <v>46432.392925431646</v>
      </c>
      <c r="N240" s="15">
        <f>Tabla8[[#This Row],[Costo Total]]*Tabla8[[#This Row],[Numero de Transportes]]</f>
        <v>92864.785850863293</v>
      </c>
      <c r="O240" s="15">
        <f>(Tabla8[[#This Row],[VLR. Transporte unitario]]-Tabla8[[#This Row],[Costo Total]])*Tabla8[[#This Row],[Numero de Transportes]]</f>
        <v>-52864.785850863293</v>
      </c>
      <c r="P240" s="15">
        <f>Tabla8[[#This Row],[Margen de productos]]+Tabla8[[#This Row],[Ganancia/Perdida]]</f>
        <v>948255.21414913668</v>
      </c>
      <c r="Q240" s="144">
        <f>(Tabla8[[#This Row],[Margen ]]/Tabla8[[#This Row],[Margen de productos]])-1</f>
        <v>-5.2805643530109636E-2</v>
      </c>
    </row>
    <row r="241" spans="1:17" ht="15" thickBot="1" x14ac:dyDescent="0.35">
      <c r="A241" s="3">
        <v>48585</v>
      </c>
      <c r="B241" s="3" t="str">
        <f>_xlfn.XLOOKUP(Tabla8[[#This Row],[N° FACTURA]],Tabla3[N° FACTURA],Tabla3[Corregimiento],"NA")</f>
        <v>El Carmen</v>
      </c>
      <c r="C241" s="3" t="str">
        <f>_xlfn.XLOOKUP(Tabla8[[#This Row],[N° FACTURA]],Tabla3[N° FACTURA],Tabla3[LUGAR ENVÍO],"NA")</f>
        <v>El diviso</v>
      </c>
      <c r="D241" s="167">
        <f>_xlfn.XLOOKUP(Tabla8[[#This Row],[N° FACTURA]],Tabla3[N° FACTURA],Tabla3[DISTANCIA (km)],"NA")</f>
        <v>8.4710000000000001</v>
      </c>
      <c r="E241" s="3">
        <f>_xlfn.XLOOKUP(Tabla8[[#This Row],[N° FACTURA]],Tabla3[N° FACTURA],Tabla3[Numero de Transportes],"NA")</f>
        <v>2</v>
      </c>
      <c r="F241" s="15">
        <f>_xlfn.XLOOKUP(Tabla8[[#This Row],[N° FACTURA]],Tabla3[N° FACTURA],Tabla3[VLR. TRANSPORTE],"NA")</f>
        <v>80000</v>
      </c>
      <c r="G241" s="15">
        <f>Tabla8[[#This Row],[VLR. TRANSPORTE]]/Tabla8[[#This Row],[Numero de Transportes]]</f>
        <v>40000</v>
      </c>
      <c r="H241" s="15">
        <f>_xlfn.XLOOKUP(Tabla8[[#This Row],[N° FACTURA]],Tabla3[N° FACTURA],Tabla3[VLR. TOTAL FACT.],"NA")</f>
        <v>5520700</v>
      </c>
      <c r="I241" s="15">
        <f>Tabla8[[#This Row],[VLR. TOTAL FACT.]]-Tabla8[[#This Row],[VLR. TRANSPORTE]]</f>
        <v>5440700</v>
      </c>
      <c r="J241" s="140">
        <f>Tabla8[[#This Row],[VLR. PRODUCTOS]]*0.2</f>
        <v>1088140</v>
      </c>
      <c r="K241" s="15">
        <f>'ABC COSTEO'!B$11</f>
        <v>40740.427791666669</v>
      </c>
      <c r="L241" s="15">
        <f>Tabla8[[#This Row],[DISTANCIA (km)]]*2*'ABC COSTEO'!B$21</f>
        <v>23048.105472334199</v>
      </c>
      <c r="M241" s="15">
        <f>Tabla8[[#This Row],[Costo Variable]]+Tabla8[[#This Row],[Costo fijo]]</f>
        <v>63788.533264000871</v>
      </c>
      <c r="N241" s="15">
        <f>Tabla8[[#This Row],[Costo Total]]*Tabla8[[#This Row],[Numero de Transportes]]</f>
        <v>127577.06652800174</v>
      </c>
      <c r="O241" s="15">
        <f>(Tabla8[[#This Row],[VLR. Transporte unitario]]-Tabla8[[#This Row],[Costo Total]])*Tabla8[[#This Row],[Numero de Transportes]]</f>
        <v>-47577.066528001742</v>
      </c>
      <c r="P241" s="15">
        <f>Tabla8[[#This Row],[Margen de productos]]+Tabla8[[#This Row],[Ganancia/Perdida]]</f>
        <v>1040562.9334719982</v>
      </c>
      <c r="Q241" s="144">
        <f>(Tabla8[[#This Row],[Margen ]]/Tabla8[[#This Row],[Margen de productos]])-1</f>
        <v>-4.3723295281858809E-2</v>
      </c>
    </row>
    <row r="242" spans="1:17" ht="15" thickBot="1" x14ac:dyDescent="0.35">
      <c r="A242" s="186">
        <v>50499</v>
      </c>
      <c r="B242" s="3" t="str">
        <f>_xlfn.XLOOKUP(Tabla8[[#This Row],[N° FACTURA]],Tabla3[N° FACTURA],Tabla3[Corregimiento],"NA")</f>
        <v>Borrero Ayerbe</v>
      </c>
      <c r="C242" s="3" t="str">
        <f>_xlfn.XLOOKUP(Tabla8[[#This Row],[N° FACTURA]],Tabla3[N° FACTURA],Tabla3[LUGAR ENVÍO],"NA")</f>
        <v>La recta</v>
      </c>
      <c r="D242" s="167">
        <f>_xlfn.XLOOKUP(Tabla8[[#This Row],[N° FACTURA]],Tabla3[N° FACTURA],Tabla3[DISTANCIA (km)],"NA")</f>
        <v>0.93500000000000016</v>
      </c>
      <c r="E242" s="3">
        <v>1</v>
      </c>
      <c r="F242" s="15">
        <f>_xlfn.XLOOKUP(Tabla8[[#This Row],[N° FACTURA]],Tabla3[N° FACTURA],Tabla3[VLR. TRANSPORTE],"NA")</f>
        <v>40000</v>
      </c>
      <c r="G242" s="15">
        <f>Tabla8[[#This Row],[VLR. TRANSPORTE]]/Tabla8[[#This Row],[Numero de Transportes]]</f>
        <v>40000</v>
      </c>
      <c r="H242" s="15">
        <f>_xlfn.XLOOKUP(Tabla8[[#This Row],[N° FACTURA]],Tabla3[N° FACTURA],Tabla3[VLR. TOTAL FACT.],"NA")</f>
        <v>259800</v>
      </c>
      <c r="I242" s="15">
        <f>Tabla8[[#This Row],[VLR. TOTAL FACT.]]-Tabla8[[#This Row],[VLR. TRANSPORTE]]</f>
        <v>219800</v>
      </c>
      <c r="J242" s="140">
        <f>Tabla8[[#This Row],[VLR. PRODUCTOS]]*0.2</f>
        <v>43960</v>
      </c>
      <c r="K242" s="15">
        <f>'ABC COSTEO'!B$11</f>
        <v>40740.427791666669</v>
      </c>
      <c r="L242" s="15">
        <f>Tabla8[[#This Row],[DISTANCIA (km)]]*2*'ABC COSTEO'!B$21</f>
        <v>2543.9710325383635</v>
      </c>
      <c r="M242" s="15">
        <f>Tabla8[[#This Row],[Costo Variable]]+Tabla8[[#This Row],[Costo fijo]]</f>
        <v>43284.398824205033</v>
      </c>
      <c r="N242" s="15">
        <f>Tabla8[[#This Row],[Costo Total]]*Tabla8[[#This Row],[Numero de Transportes]]</f>
        <v>43284.398824205033</v>
      </c>
      <c r="O242" s="15">
        <f>(Tabla8[[#This Row],[VLR. Transporte unitario]]-Tabla8[[#This Row],[Costo Total]])*Tabla8[[#This Row],[Numero de Transportes]]</f>
        <v>-3284.3988242050327</v>
      </c>
      <c r="P242" s="15">
        <f>Tabla8[[#This Row],[Margen de productos]]+Tabla8[[#This Row],[Ganancia/Perdida]]</f>
        <v>40675.601175794967</v>
      </c>
      <c r="Q242" s="144">
        <f>(Tabla8[[#This Row],[Margen ]]/Tabla8[[#This Row],[Margen de productos]])-1</f>
        <v>-7.4713349049250088E-2</v>
      </c>
    </row>
    <row r="243" spans="1:17" x14ac:dyDescent="0.3">
      <c r="A243" s="137">
        <f>SUBTOTAL(102,Tabla8[N° FACTURA])</f>
        <v>240</v>
      </c>
      <c r="B243" s="137"/>
      <c r="C243" s="137"/>
      <c r="D243" s="137"/>
      <c r="E243" s="12"/>
      <c r="F243" s="67">
        <f>SUBTOTAL(109,Tabla8[VLR. TRANSPORTE])</f>
        <v>12915000</v>
      </c>
      <c r="G243" s="67">
        <f>SUBTOTAL(101,Tabla8[VLR. Transporte unitario])</f>
        <v>45750</v>
      </c>
      <c r="H243" s="67"/>
      <c r="I243" s="67"/>
      <c r="J243" s="67">
        <f>SUBTOTAL(109,Tabla8[Margen de productos])</f>
        <v>52786770</v>
      </c>
      <c r="K243" s="67"/>
      <c r="L243" s="67"/>
      <c r="M243" s="67">
        <f>SUBTOTAL(101,Tabla8[Costo Total])</f>
        <v>52621.970730779227</v>
      </c>
      <c r="N243" s="67">
        <f>SUBTOTAL(109,Tabla8[Columna1])</f>
        <v>14878098.982496772</v>
      </c>
      <c r="O243" s="67">
        <f>SUM(Tabla8[Ganancia/Perdida])</f>
        <v>-1963098.9824967622</v>
      </c>
      <c r="P243" s="180"/>
      <c r="Q243" s="181">
        <f>SUBTOTAL(101,Tabla8[Perdida o ganancia de margen])</f>
        <v>-0.10838347827826696</v>
      </c>
    </row>
    <row r="245" spans="1:17" x14ac:dyDescent="0.3">
      <c r="A245" s="198" t="s">
        <v>4</v>
      </c>
    </row>
    <row r="246" spans="1:17" x14ac:dyDescent="0.3">
      <c r="A246" s="182" t="s">
        <v>2</v>
      </c>
      <c r="L246" s="215">
        <f>Tabla8[[#Totals],[Margen de productos]]+N246</f>
        <v>50823671.017503232</v>
      </c>
      <c r="N246" s="215">
        <f>Tabla8[[#Totals],[VLR. TRANSPORTE]]-Tabla8[[#Totals],[Columna1]]</f>
        <v>-1963098.982496772</v>
      </c>
    </row>
    <row r="247" spans="1:17" x14ac:dyDescent="0.3">
      <c r="A247" s="183" t="s">
        <v>0</v>
      </c>
      <c r="L247" s="88">
        <f>(L246-Tabla8[[#Totals],[Margen de productos]])/Tabla8[[#Totals],[Margen de productos]]</f>
        <v>-3.7189223407622179E-2</v>
      </c>
    </row>
    <row r="248" spans="1:17" x14ac:dyDescent="0.3">
      <c r="A248" s="182" t="s">
        <v>19</v>
      </c>
    </row>
    <row r="249" spans="1:17" x14ac:dyDescent="0.3">
      <c r="A249" s="183" t="s">
        <v>64</v>
      </c>
      <c r="L249" s="216">
        <f>Tabla8[[#Totals],[Margen de productos]]*(1+L247)</f>
        <v>50823671.017503232</v>
      </c>
    </row>
    <row r="250" spans="1:17" x14ac:dyDescent="0.3">
      <c r="A250" s="182" t="s">
        <v>31</v>
      </c>
    </row>
    <row r="251" spans="1:17" x14ac:dyDescent="0.3">
      <c r="A251" s="183" t="s">
        <v>25</v>
      </c>
    </row>
    <row r="252" spans="1:17" x14ac:dyDescent="0.3">
      <c r="A252" s="182" t="s">
        <v>37</v>
      </c>
    </row>
    <row r="253" spans="1:17" x14ac:dyDescent="0.3">
      <c r="A253" s="199" t="s">
        <v>693</v>
      </c>
    </row>
  </sheetData>
  <conditionalFormatting sqref="O3:O242">
    <cfRule type="cellIs" dxfId="19" priority="1" operator="greaterThan">
      <formula>0</formula>
    </cfRule>
    <cfRule type="cellIs" dxfId="18" priority="2" operator="less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877A-C33E-420E-863C-79BC005AB890}">
  <dimension ref="A1:IQ150"/>
  <sheetViews>
    <sheetView showOutlineSymbols="0" showWhiteSpace="0" topLeftCell="GE1" workbookViewId="0">
      <selection activeCell="GI20" sqref="GI20"/>
    </sheetView>
  </sheetViews>
  <sheetFormatPr baseColWidth="10" defaultRowHeight="14.4" x14ac:dyDescent="0.3"/>
  <cols>
    <col min="3" max="3" width="13.77734375" bestFit="1" customWidth="1"/>
    <col min="7" max="7" width="13.77734375" bestFit="1" customWidth="1"/>
    <col min="11" max="11" width="14.44140625" bestFit="1" customWidth="1"/>
    <col min="15" max="15" width="14.44140625" bestFit="1" customWidth="1"/>
    <col min="23" max="23" width="14.44140625" bestFit="1" customWidth="1"/>
    <col min="27" max="27" width="14.44140625" bestFit="1" customWidth="1"/>
    <col min="31" max="31" width="14.44140625" bestFit="1" customWidth="1"/>
    <col min="39" max="39" width="14.5546875" bestFit="1" customWidth="1"/>
    <col min="75" max="75" width="14.44140625" bestFit="1" customWidth="1"/>
    <col min="79" max="79" width="14.44140625" bestFit="1" customWidth="1"/>
    <col min="83" max="83" width="14.44140625" bestFit="1" customWidth="1"/>
    <col min="87" max="87" width="14.44140625" bestFit="1" customWidth="1"/>
    <col min="107" max="107" width="14.5546875" bestFit="1" customWidth="1"/>
    <col min="119" max="119" width="14.5546875" bestFit="1" customWidth="1"/>
  </cols>
  <sheetData>
    <row r="1" spans="1:251" ht="15" thickBot="1" x14ac:dyDescent="0.35">
      <c r="A1" s="209" t="s">
        <v>487</v>
      </c>
      <c r="B1" s="210"/>
      <c r="C1" s="211"/>
      <c r="E1" s="209" t="s">
        <v>492</v>
      </c>
      <c r="F1" s="210"/>
      <c r="G1" s="211"/>
      <c r="I1" s="209" t="s">
        <v>493</v>
      </c>
      <c r="J1" s="210"/>
      <c r="K1" s="211"/>
      <c r="M1" s="206" t="s">
        <v>494</v>
      </c>
      <c r="N1" s="207"/>
      <c r="O1" s="208"/>
      <c r="Q1" s="206" t="s">
        <v>495</v>
      </c>
      <c r="R1" s="207"/>
      <c r="S1" s="208"/>
      <c r="U1" s="206" t="s">
        <v>496</v>
      </c>
      <c r="V1" s="207"/>
      <c r="W1" s="208"/>
      <c r="Y1" s="206" t="s">
        <v>497</v>
      </c>
      <c r="Z1" s="207"/>
      <c r="AA1" s="208"/>
      <c r="AC1" s="206" t="s">
        <v>498</v>
      </c>
      <c r="AD1" s="207"/>
      <c r="AE1" s="208"/>
      <c r="AG1" s="206" t="s">
        <v>499</v>
      </c>
      <c r="AH1" s="207"/>
      <c r="AI1" s="208"/>
      <c r="AK1" s="206" t="s">
        <v>500</v>
      </c>
      <c r="AL1" s="207"/>
      <c r="AM1" s="208"/>
      <c r="AO1" s="206" t="s">
        <v>501</v>
      </c>
      <c r="AP1" s="207"/>
      <c r="AQ1" s="208"/>
      <c r="AS1" s="206" t="s">
        <v>509</v>
      </c>
      <c r="AT1" s="207"/>
      <c r="AU1" s="208"/>
      <c r="AW1" s="206" t="s">
        <v>508</v>
      </c>
      <c r="AX1" s="207"/>
      <c r="AY1" s="208"/>
      <c r="BA1" s="206" t="s">
        <v>507</v>
      </c>
      <c r="BB1" s="207"/>
      <c r="BC1" s="208"/>
      <c r="BE1" s="206" t="s">
        <v>506</v>
      </c>
      <c r="BF1" s="207"/>
      <c r="BG1" s="208"/>
      <c r="BI1" s="206" t="s">
        <v>510</v>
      </c>
      <c r="BJ1" s="207"/>
      <c r="BK1" s="208"/>
      <c r="BM1" s="206" t="s">
        <v>505</v>
      </c>
      <c r="BN1" s="207"/>
      <c r="BO1" s="208"/>
      <c r="BQ1" s="206" t="s">
        <v>511</v>
      </c>
      <c r="BR1" s="207"/>
      <c r="BS1" s="208"/>
      <c r="BU1" s="206" t="s">
        <v>504</v>
      </c>
      <c r="BV1" s="207"/>
      <c r="BW1" s="208"/>
      <c r="BY1" s="206" t="s">
        <v>503</v>
      </c>
      <c r="BZ1" s="207"/>
      <c r="CA1" s="208"/>
      <c r="CC1" s="206" t="s">
        <v>502</v>
      </c>
      <c r="CD1" s="207"/>
      <c r="CE1" s="208"/>
      <c r="CG1" s="206" t="s">
        <v>512</v>
      </c>
      <c r="CH1" s="207"/>
      <c r="CI1" s="208"/>
      <c r="CK1" s="206" t="s">
        <v>513</v>
      </c>
      <c r="CL1" s="207"/>
      <c r="CM1" s="208"/>
      <c r="CO1" s="206" t="s">
        <v>514</v>
      </c>
      <c r="CP1" s="207"/>
      <c r="CQ1" s="208"/>
      <c r="CS1" s="206" t="s">
        <v>515</v>
      </c>
      <c r="CT1" s="207"/>
      <c r="CU1" s="208"/>
      <c r="CW1" s="206" t="s">
        <v>516</v>
      </c>
      <c r="CX1" s="207"/>
      <c r="CY1" s="208"/>
      <c r="DA1" s="206" t="s">
        <v>545</v>
      </c>
      <c r="DB1" s="207"/>
      <c r="DC1" s="208"/>
      <c r="DE1" s="206" t="s">
        <v>163</v>
      </c>
      <c r="DF1" s="207"/>
      <c r="DG1" s="208"/>
      <c r="DI1" s="206" t="s">
        <v>549</v>
      </c>
      <c r="DJ1" s="207"/>
      <c r="DK1" s="208"/>
      <c r="DM1" s="206" t="s">
        <v>551</v>
      </c>
      <c r="DN1" s="207"/>
      <c r="DO1" s="208"/>
      <c r="DQ1" s="206" t="s">
        <v>552</v>
      </c>
      <c r="DR1" s="207"/>
      <c r="DS1" s="208"/>
      <c r="DU1" s="206" t="s">
        <v>553</v>
      </c>
      <c r="DV1" s="207"/>
      <c r="DW1" s="208"/>
      <c r="DY1" s="206" t="s">
        <v>554</v>
      </c>
      <c r="DZ1" s="207"/>
      <c r="EA1" s="208"/>
      <c r="EC1" s="206" t="s">
        <v>555</v>
      </c>
      <c r="ED1" s="207"/>
      <c r="EE1" s="208"/>
      <c r="EG1" s="206" t="s">
        <v>661</v>
      </c>
      <c r="EH1" s="207"/>
      <c r="EI1" s="208"/>
      <c r="EK1" s="206" t="s">
        <v>662</v>
      </c>
      <c r="EL1" s="207"/>
      <c r="EM1" s="208"/>
      <c r="EO1" s="206" t="s">
        <v>663</v>
      </c>
      <c r="EP1" s="207"/>
      <c r="EQ1" s="208"/>
      <c r="ES1" s="206" t="s">
        <v>664</v>
      </c>
      <c r="ET1" s="207"/>
      <c r="EU1" s="208"/>
      <c r="EW1" s="206" t="s">
        <v>665</v>
      </c>
      <c r="EX1" s="207"/>
      <c r="EY1" s="208"/>
      <c r="FA1" s="206" t="s">
        <v>666</v>
      </c>
      <c r="FB1" s="207"/>
      <c r="FC1" s="208"/>
      <c r="FE1" s="206" t="s">
        <v>667</v>
      </c>
      <c r="FF1" s="207"/>
      <c r="FG1" s="208"/>
      <c r="FI1" s="206" t="s">
        <v>668</v>
      </c>
      <c r="FJ1" s="207"/>
      <c r="FK1" s="208"/>
      <c r="FM1" s="206" t="s">
        <v>669</v>
      </c>
      <c r="FN1" s="207"/>
      <c r="FO1" s="208"/>
      <c r="FQ1" s="206" t="s">
        <v>670</v>
      </c>
      <c r="FR1" s="207"/>
      <c r="FS1" s="208"/>
      <c r="FU1" s="206" t="s">
        <v>671</v>
      </c>
      <c r="FV1" s="207"/>
      <c r="FW1" s="208"/>
      <c r="FY1" s="206" t="s">
        <v>673</v>
      </c>
      <c r="FZ1" s="207"/>
      <c r="GA1" s="208"/>
      <c r="GC1" s="206" t="s">
        <v>675</v>
      </c>
      <c r="GD1" s="207"/>
      <c r="GE1" s="208"/>
      <c r="GG1" s="206" t="s">
        <v>676</v>
      </c>
      <c r="GH1" s="207"/>
      <c r="GI1" s="208"/>
      <c r="GK1" s="206" t="s">
        <v>672</v>
      </c>
      <c r="GL1" s="207"/>
      <c r="GM1" s="208"/>
      <c r="GO1" s="206" t="s">
        <v>678</v>
      </c>
      <c r="GP1" s="207"/>
      <c r="GQ1" s="208"/>
      <c r="GS1" s="206" t="s">
        <v>677</v>
      </c>
      <c r="GT1" s="207"/>
      <c r="GU1" s="208"/>
      <c r="GW1" s="206" t="s">
        <v>680</v>
      </c>
      <c r="GX1" s="207"/>
      <c r="GY1" s="208"/>
      <c r="HA1" s="206" t="s">
        <v>681</v>
      </c>
      <c r="HB1" s="207"/>
      <c r="HC1" s="208"/>
      <c r="HE1" s="206" t="s">
        <v>682</v>
      </c>
      <c r="HF1" s="207"/>
      <c r="HG1" s="208"/>
      <c r="HI1" s="206" t="s">
        <v>684</v>
      </c>
      <c r="HJ1" s="207"/>
      <c r="HK1" s="208"/>
      <c r="HM1" s="206" t="s">
        <v>685</v>
      </c>
      <c r="HN1" s="207"/>
      <c r="HO1" s="208"/>
      <c r="HQ1" s="206" t="s">
        <v>686</v>
      </c>
      <c r="HR1" s="207"/>
      <c r="HS1" s="208"/>
      <c r="HU1" s="206" t="s">
        <v>689</v>
      </c>
      <c r="HV1" s="207"/>
      <c r="HW1" s="208"/>
      <c r="HY1" s="206" t="s">
        <v>687</v>
      </c>
      <c r="HZ1" s="207"/>
      <c r="IA1" s="208"/>
      <c r="IC1" s="206" t="s">
        <v>688</v>
      </c>
      <c r="ID1" s="207"/>
      <c r="IE1" s="208"/>
      <c r="IG1" s="206" t="s">
        <v>691</v>
      </c>
      <c r="IH1" s="207"/>
      <c r="II1" s="208"/>
      <c r="IK1" s="206" t="s">
        <v>690</v>
      </c>
      <c r="IL1" s="207"/>
      <c r="IM1" s="208"/>
      <c r="IO1" s="206" t="s">
        <v>692</v>
      </c>
      <c r="IP1" s="207"/>
      <c r="IQ1" s="208"/>
    </row>
    <row r="2" spans="1:251" ht="15" thickBot="1" x14ac:dyDescent="0.35">
      <c r="A2" s="78" t="s">
        <v>488</v>
      </c>
      <c r="B2" s="79" t="s">
        <v>489</v>
      </c>
      <c r="C2" s="80" t="s">
        <v>490</v>
      </c>
      <c r="E2" s="78" t="s">
        <v>488</v>
      </c>
      <c r="F2" s="79" t="s">
        <v>489</v>
      </c>
      <c r="G2" s="80" t="s">
        <v>490</v>
      </c>
      <c r="I2" s="78" t="s">
        <v>488</v>
      </c>
      <c r="J2" s="79" t="s">
        <v>489</v>
      </c>
      <c r="K2" s="80" t="s">
        <v>490</v>
      </c>
      <c r="M2" s="78" t="s">
        <v>488</v>
      </c>
      <c r="N2" s="79" t="s">
        <v>489</v>
      </c>
      <c r="O2" s="80" t="s">
        <v>490</v>
      </c>
      <c r="Q2" s="78" t="s">
        <v>488</v>
      </c>
      <c r="R2" s="79" t="s">
        <v>489</v>
      </c>
      <c r="S2" s="80" t="s">
        <v>490</v>
      </c>
      <c r="U2" s="78" t="s">
        <v>488</v>
      </c>
      <c r="V2" s="79" t="s">
        <v>489</v>
      </c>
      <c r="W2" s="80" t="s">
        <v>490</v>
      </c>
      <c r="Y2" s="78" t="s">
        <v>488</v>
      </c>
      <c r="Z2" s="79" t="s">
        <v>489</v>
      </c>
      <c r="AA2" s="80" t="s">
        <v>490</v>
      </c>
      <c r="AC2" s="78" t="s">
        <v>488</v>
      </c>
      <c r="AD2" s="79" t="s">
        <v>489</v>
      </c>
      <c r="AE2" s="80" t="s">
        <v>490</v>
      </c>
      <c r="AG2" s="78" t="s">
        <v>488</v>
      </c>
      <c r="AH2" s="79" t="s">
        <v>489</v>
      </c>
      <c r="AI2" s="80" t="s">
        <v>490</v>
      </c>
      <c r="AK2" s="78" t="s">
        <v>488</v>
      </c>
      <c r="AL2" s="79" t="s">
        <v>489</v>
      </c>
      <c r="AM2" s="80" t="s">
        <v>490</v>
      </c>
      <c r="AO2" s="78" t="s">
        <v>488</v>
      </c>
      <c r="AP2" s="79" t="s">
        <v>489</v>
      </c>
      <c r="AQ2" s="80" t="s">
        <v>490</v>
      </c>
      <c r="AS2" s="78" t="s">
        <v>488</v>
      </c>
      <c r="AT2" s="79" t="s">
        <v>489</v>
      </c>
      <c r="AU2" s="80" t="s">
        <v>490</v>
      </c>
      <c r="AW2" s="78" t="s">
        <v>488</v>
      </c>
      <c r="AX2" s="79" t="s">
        <v>489</v>
      </c>
      <c r="AY2" s="80" t="s">
        <v>490</v>
      </c>
      <c r="BA2" s="78" t="s">
        <v>488</v>
      </c>
      <c r="BB2" s="79" t="s">
        <v>489</v>
      </c>
      <c r="BC2" s="80" t="s">
        <v>490</v>
      </c>
      <c r="BE2" s="78" t="s">
        <v>488</v>
      </c>
      <c r="BF2" s="79" t="s">
        <v>489</v>
      </c>
      <c r="BG2" s="80" t="s">
        <v>490</v>
      </c>
      <c r="BI2" s="78" t="s">
        <v>488</v>
      </c>
      <c r="BJ2" s="79" t="s">
        <v>489</v>
      </c>
      <c r="BK2" s="80" t="s">
        <v>490</v>
      </c>
      <c r="BM2" s="78" t="s">
        <v>488</v>
      </c>
      <c r="BN2" s="79" t="s">
        <v>489</v>
      </c>
      <c r="BO2" s="80" t="s">
        <v>490</v>
      </c>
      <c r="BQ2" s="78" t="s">
        <v>488</v>
      </c>
      <c r="BR2" s="79" t="s">
        <v>489</v>
      </c>
      <c r="BS2" s="80" t="s">
        <v>490</v>
      </c>
      <c r="BU2" s="78" t="s">
        <v>488</v>
      </c>
      <c r="BV2" s="79" t="s">
        <v>489</v>
      </c>
      <c r="BW2" s="80" t="s">
        <v>490</v>
      </c>
      <c r="BY2" s="78" t="s">
        <v>488</v>
      </c>
      <c r="BZ2" s="79" t="s">
        <v>489</v>
      </c>
      <c r="CA2" s="80" t="s">
        <v>490</v>
      </c>
      <c r="CC2" s="78" t="s">
        <v>488</v>
      </c>
      <c r="CD2" s="79" t="s">
        <v>489</v>
      </c>
      <c r="CE2" s="80" t="s">
        <v>490</v>
      </c>
      <c r="CG2" s="78" t="s">
        <v>488</v>
      </c>
      <c r="CH2" s="79" t="s">
        <v>489</v>
      </c>
      <c r="CI2" s="80" t="s">
        <v>490</v>
      </c>
      <c r="CK2" s="78" t="s">
        <v>488</v>
      </c>
      <c r="CL2" s="79" t="s">
        <v>489</v>
      </c>
      <c r="CM2" s="80" t="s">
        <v>490</v>
      </c>
      <c r="CO2" s="78" t="s">
        <v>488</v>
      </c>
      <c r="CP2" s="79" t="s">
        <v>489</v>
      </c>
      <c r="CQ2" s="80" t="s">
        <v>490</v>
      </c>
      <c r="CS2" s="78" t="s">
        <v>488</v>
      </c>
      <c r="CT2" s="79" t="s">
        <v>489</v>
      </c>
      <c r="CU2" s="80" t="s">
        <v>490</v>
      </c>
      <c r="CW2" s="78" t="s">
        <v>488</v>
      </c>
      <c r="CX2" s="79" t="s">
        <v>489</v>
      </c>
      <c r="CY2" s="80" t="s">
        <v>490</v>
      </c>
      <c r="DA2" s="78" t="s">
        <v>488</v>
      </c>
      <c r="DB2" s="79" t="s">
        <v>489</v>
      </c>
      <c r="DC2" s="80" t="s">
        <v>490</v>
      </c>
      <c r="DE2" s="78" t="s">
        <v>488</v>
      </c>
      <c r="DF2" s="79" t="s">
        <v>489</v>
      </c>
      <c r="DG2" s="80" t="s">
        <v>490</v>
      </c>
      <c r="DI2" s="78" t="s">
        <v>488</v>
      </c>
      <c r="DJ2" s="79" t="s">
        <v>489</v>
      </c>
      <c r="DK2" s="80" t="s">
        <v>490</v>
      </c>
      <c r="DM2" s="78" t="s">
        <v>488</v>
      </c>
      <c r="DN2" s="79" t="s">
        <v>489</v>
      </c>
      <c r="DO2" s="80" t="s">
        <v>490</v>
      </c>
      <c r="DQ2" s="78" t="s">
        <v>488</v>
      </c>
      <c r="DR2" s="79" t="s">
        <v>489</v>
      </c>
      <c r="DS2" s="80" t="s">
        <v>490</v>
      </c>
      <c r="DU2" s="78" t="s">
        <v>488</v>
      </c>
      <c r="DV2" s="79" t="s">
        <v>489</v>
      </c>
      <c r="DW2" s="80" t="s">
        <v>490</v>
      </c>
      <c r="DY2" s="78" t="s">
        <v>488</v>
      </c>
      <c r="DZ2" s="79" t="s">
        <v>489</v>
      </c>
      <c r="EA2" s="80" t="s">
        <v>490</v>
      </c>
      <c r="EC2" s="78" t="s">
        <v>488</v>
      </c>
      <c r="ED2" s="79" t="s">
        <v>489</v>
      </c>
      <c r="EE2" s="80" t="s">
        <v>490</v>
      </c>
      <c r="EG2" s="78" t="s">
        <v>488</v>
      </c>
      <c r="EH2" s="79" t="s">
        <v>489</v>
      </c>
      <c r="EI2" s="80" t="s">
        <v>490</v>
      </c>
      <c r="EK2" s="78" t="s">
        <v>488</v>
      </c>
      <c r="EL2" s="79" t="s">
        <v>489</v>
      </c>
      <c r="EM2" s="80" t="s">
        <v>490</v>
      </c>
      <c r="EO2" s="78" t="s">
        <v>488</v>
      </c>
      <c r="EP2" s="79" t="s">
        <v>489</v>
      </c>
      <c r="EQ2" s="80" t="s">
        <v>490</v>
      </c>
      <c r="ES2" s="78" t="s">
        <v>488</v>
      </c>
      <c r="ET2" s="79" t="s">
        <v>489</v>
      </c>
      <c r="EU2" s="80" t="s">
        <v>490</v>
      </c>
      <c r="EW2" s="78" t="s">
        <v>488</v>
      </c>
      <c r="EX2" s="79" t="s">
        <v>489</v>
      </c>
      <c r="EY2" s="80" t="s">
        <v>490</v>
      </c>
      <c r="FA2" s="78" t="s">
        <v>488</v>
      </c>
      <c r="FB2" s="79" t="s">
        <v>489</v>
      </c>
      <c r="FC2" s="80" t="s">
        <v>490</v>
      </c>
      <c r="FE2" s="78" t="s">
        <v>488</v>
      </c>
      <c r="FF2" s="79" t="s">
        <v>489</v>
      </c>
      <c r="FG2" s="80" t="s">
        <v>490</v>
      </c>
      <c r="FI2" s="78" t="s">
        <v>488</v>
      </c>
      <c r="FJ2" s="79" t="s">
        <v>489</v>
      </c>
      <c r="FK2" s="80" t="s">
        <v>490</v>
      </c>
      <c r="FM2" s="78" t="s">
        <v>488</v>
      </c>
      <c r="FN2" s="79" t="s">
        <v>489</v>
      </c>
      <c r="FO2" s="80" t="s">
        <v>490</v>
      </c>
      <c r="FQ2" s="78" t="s">
        <v>488</v>
      </c>
      <c r="FR2" s="79" t="s">
        <v>489</v>
      </c>
      <c r="FS2" s="80" t="s">
        <v>490</v>
      </c>
      <c r="FU2" s="78" t="s">
        <v>488</v>
      </c>
      <c r="FV2" s="79" t="s">
        <v>489</v>
      </c>
      <c r="FW2" s="80" t="s">
        <v>490</v>
      </c>
      <c r="FY2" s="78" t="s">
        <v>488</v>
      </c>
      <c r="FZ2" s="79" t="s">
        <v>489</v>
      </c>
      <c r="GA2" s="80" t="s">
        <v>490</v>
      </c>
      <c r="GC2" s="78" t="s">
        <v>488</v>
      </c>
      <c r="GD2" s="79" t="s">
        <v>489</v>
      </c>
      <c r="GE2" s="80" t="s">
        <v>490</v>
      </c>
      <c r="GG2" s="78" t="s">
        <v>488</v>
      </c>
      <c r="GH2" s="79" t="s">
        <v>489</v>
      </c>
      <c r="GI2" s="80" t="s">
        <v>490</v>
      </c>
      <c r="GK2" s="78" t="s">
        <v>488</v>
      </c>
      <c r="GL2" s="79" t="s">
        <v>489</v>
      </c>
      <c r="GM2" s="80" t="s">
        <v>490</v>
      </c>
      <c r="GO2" s="78" t="s">
        <v>488</v>
      </c>
      <c r="GP2" s="79" t="s">
        <v>489</v>
      </c>
      <c r="GQ2" s="80" t="s">
        <v>490</v>
      </c>
      <c r="GS2" s="78" t="s">
        <v>488</v>
      </c>
      <c r="GT2" s="79" t="s">
        <v>489</v>
      </c>
      <c r="GU2" s="80" t="s">
        <v>490</v>
      </c>
      <c r="GW2" s="78" t="s">
        <v>488</v>
      </c>
      <c r="GX2" s="79" t="s">
        <v>489</v>
      </c>
      <c r="GY2" s="80" t="s">
        <v>490</v>
      </c>
      <c r="HA2" s="78" t="s">
        <v>488</v>
      </c>
      <c r="HB2" s="79" t="s">
        <v>489</v>
      </c>
      <c r="HC2" s="80" t="s">
        <v>490</v>
      </c>
      <c r="HE2" s="78" t="s">
        <v>488</v>
      </c>
      <c r="HF2" s="79" t="s">
        <v>489</v>
      </c>
      <c r="HG2" s="80" t="s">
        <v>490</v>
      </c>
      <c r="HI2" s="78" t="s">
        <v>488</v>
      </c>
      <c r="HJ2" s="79" t="s">
        <v>489</v>
      </c>
      <c r="HK2" s="80" t="s">
        <v>490</v>
      </c>
      <c r="HM2" s="78" t="s">
        <v>488</v>
      </c>
      <c r="HN2" s="79" t="s">
        <v>489</v>
      </c>
      <c r="HO2" s="80" t="s">
        <v>490</v>
      </c>
      <c r="HQ2" s="78" t="s">
        <v>488</v>
      </c>
      <c r="HR2" s="79" t="s">
        <v>489</v>
      </c>
      <c r="HS2" s="80" t="s">
        <v>490</v>
      </c>
      <c r="HU2" s="78" t="s">
        <v>488</v>
      </c>
      <c r="HV2" s="79" t="s">
        <v>489</v>
      </c>
      <c r="HW2" s="80" t="s">
        <v>490</v>
      </c>
      <c r="HY2" s="78" t="s">
        <v>488</v>
      </c>
      <c r="HZ2" s="79" t="s">
        <v>489</v>
      </c>
      <c r="IA2" s="80" t="s">
        <v>490</v>
      </c>
      <c r="IC2" s="78" t="s">
        <v>488</v>
      </c>
      <c r="ID2" s="79" t="s">
        <v>489</v>
      </c>
      <c r="IE2" s="80" t="s">
        <v>490</v>
      </c>
      <c r="IG2" s="78" t="s">
        <v>488</v>
      </c>
      <c r="IH2" s="79" t="s">
        <v>489</v>
      </c>
      <c r="II2" s="80" t="s">
        <v>490</v>
      </c>
      <c r="IK2" s="78" t="s">
        <v>488</v>
      </c>
      <c r="IL2" s="79" t="s">
        <v>489</v>
      </c>
      <c r="IM2" s="80" t="s">
        <v>490</v>
      </c>
      <c r="IO2" s="78" t="s">
        <v>488</v>
      </c>
      <c r="IP2" s="79" t="s">
        <v>489</v>
      </c>
      <c r="IQ2" s="80" t="s">
        <v>490</v>
      </c>
    </row>
    <row r="3" spans="1:251" ht="18" customHeight="1" x14ac:dyDescent="0.3">
      <c r="A3" s="73">
        <v>-8532840.5010000002</v>
      </c>
      <c r="B3">
        <v>398186.22100000002</v>
      </c>
      <c r="C3" s="74"/>
      <c r="E3" s="70">
        <v>-8532842.9169999994</v>
      </c>
      <c r="F3" s="71">
        <v>398186.52299999999</v>
      </c>
      <c r="G3" s="72"/>
      <c r="I3" s="70">
        <v>-8532840.9039999992</v>
      </c>
      <c r="J3" s="71">
        <v>398184.20699999999</v>
      </c>
      <c r="K3" s="72"/>
      <c r="M3" s="70">
        <v>-8532839.6960000005</v>
      </c>
      <c r="N3" s="71">
        <v>398185.41499999998</v>
      </c>
      <c r="O3" s="72"/>
      <c r="Q3" s="70">
        <v>-8532845.9370000008</v>
      </c>
      <c r="R3" s="71">
        <v>398189.03899999999</v>
      </c>
      <c r="S3" s="72"/>
      <c r="U3" s="70">
        <v>-8532826.1060000006</v>
      </c>
      <c r="V3" s="71">
        <v>398177.56400000001</v>
      </c>
      <c r="W3" s="72">
        <v>2.1999999999999999E-2</v>
      </c>
      <c r="Y3" s="70">
        <v>-8532841.8100000005</v>
      </c>
      <c r="Z3" s="71">
        <v>398186.17</v>
      </c>
      <c r="AA3" s="72"/>
      <c r="AC3" s="70">
        <v>-8532842.4140000008</v>
      </c>
      <c r="AD3" s="71">
        <v>398188.18400000001</v>
      </c>
      <c r="AE3" s="72"/>
      <c r="AG3" s="70">
        <v>-8532847.8499999996</v>
      </c>
      <c r="AH3" s="71">
        <v>398189.69400000002</v>
      </c>
      <c r="AI3" s="72"/>
      <c r="AK3" s="70">
        <v>-8532844.6280000005</v>
      </c>
      <c r="AL3" s="71">
        <v>398188.28399999999</v>
      </c>
      <c r="AM3" s="72"/>
      <c r="AO3" s="70">
        <v>-8532844.6280000005</v>
      </c>
      <c r="AP3" s="71">
        <v>398188.28399999999</v>
      </c>
      <c r="AQ3" s="72"/>
      <c r="AS3" s="70">
        <v>-8532841.6079999991</v>
      </c>
      <c r="AT3" s="71">
        <v>398185.36499999999</v>
      </c>
      <c r="AU3" s="72"/>
      <c r="AW3" s="70">
        <v>-8532841.6079999991</v>
      </c>
      <c r="AX3" s="71">
        <v>398185.36499999999</v>
      </c>
      <c r="AY3" s="72"/>
      <c r="BA3" s="70">
        <v>-8532841.6079999991</v>
      </c>
      <c r="BB3" s="71">
        <v>398185.36499999999</v>
      </c>
      <c r="BC3" s="72"/>
      <c r="BE3" s="70">
        <v>-8532841.6079999991</v>
      </c>
      <c r="BF3" s="71">
        <v>398185.36499999999</v>
      </c>
      <c r="BG3" s="72"/>
      <c r="BI3" s="70">
        <v>-8532841.6079999991</v>
      </c>
      <c r="BJ3" s="71">
        <v>398185.36499999999</v>
      </c>
      <c r="BK3" s="72"/>
      <c r="BM3" s="70">
        <v>-8532841.6079999991</v>
      </c>
      <c r="BN3" s="71">
        <v>398185.36499999999</v>
      </c>
      <c r="BO3" s="72"/>
      <c r="BQ3" s="70">
        <v>-8532841.6079999991</v>
      </c>
      <c r="BR3" s="71">
        <v>398185.36499999999</v>
      </c>
      <c r="BS3" s="72"/>
      <c r="BU3" s="70">
        <v>-8532841.6079999991</v>
      </c>
      <c r="BV3" s="71">
        <v>398185.36499999999</v>
      </c>
      <c r="BW3" s="72"/>
      <c r="BY3" s="70">
        <v>-8532841.6079999991</v>
      </c>
      <c r="BZ3" s="71">
        <v>398185.36499999999</v>
      </c>
      <c r="CA3" s="72"/>
      <c r="CC3" s="70">
        <v>-8532841.6079999991</v>
      </c>
      <c r="CD3" s="71">
        <v>398185.36499999999</v>
      </c>
      <c r="CE3" s="72"/>
      <c r="CG3" s="70">
        <v>-8532839.8469999991</v>
      </c>
      <c r="CH3" s="71">
        <v>398186.52299999999</v>
      </c>
      <c r="CI3" s="72"/>
      <c r="CK3" s="70">
        <v>-8532839.8469999991</v>
      </c>
      <c r="CL3" s="71">
        <v>398186.52299999999</v>
      </c>
      <c r="CM3" s="72"/>
      <c r="CO3" s="73">
        <v>-8532841.8220000006</v>
      </c>
      <c r="CP3">
        <v>398186.05099999998</v>
      </c>
      <c r="CQ3" s="74"/>
      <c r="CS3" s="73">
        <v>-8532841.8220000006</v>
      </c>
      <c r="CT3">
        <v>398186.05099999998</v>
      </c>
      <c r="CU3" s="74"/>
      <c r="CW3" s="73">
        <v>-8532841.8220000006</v>
      </c>
      <c r="CX3">
        <v>398186.05099999998</v>
      </c>
      <c r="CY3" s="74"/>
      <c r="DA3" s="73">
        <v>-8532838.5730000008</v>
      </c>
      <c r="DB3">
        <v>398184.61700000003</v>
      </c>
      <c r="DC3" s="74"/>
      <c r="DE3" s="73">
        <v>-8532837.5280000009</v>
      </c>
      <c r="DF3">
        <v>398184.777</v>
      </c>
      <c r="DG3" s="74"/>
      <c r="DI3" s="73">
        <v>-8532840.7019999996</v>
      </c>
      <c r="DJ3">
        <v>398185.68400000001</v>
      </c>
      <c r="DK3" s="74"/>
      <c r="DM3" s="70">
        <v>-8532841.6079999991</v>
      </c>
      <c r="DN3" s="71">
        <v>398185.36499999999</v>
      </c>
      <c r="DO3" s="72"/>
      <c r="DQ3" s="70">
        <v>-8532841.6079999991</v>
      </c>
      <c r="DR3" s="71">
        <v>398185.36499999999</v>
      </c>
      <c r="DS3" s="72"/>
      <c r="DU3" s="73">
        <v>-8532841.8220000006</v>
      </c>
      <c r="DV3">
        <v>398186.05099999998</v>
      </c>
      <c r="DW3" s="74"/>
      <c r="DY3" s="73">
        <v>-8532838.7750000004</v>
      </c>
      <c r="DZ3">
        <v>398187.04499999998</v>
      </c>
      <c r="EA3" s="74"/>
      <c r="EC3" s="73">
        <v>-8532842.6290000007</v>
      </c>
      <c r="ED3">
        <v>398185.00400000002</v>
      </c>
      <c r="EE3" s="74"/>
      <c r="EG3" s="70">
        <v>-8539566.8790000007</v>
      </c>
      <c r="EH3" s="71">
        <v>396698.20899999997</v>
      </c>
      <c r="EI3" s="72"/>
      <c r="EK3">
        <v>-8534693.943</v>
      </c>
      <c r="EL3">
        <v>399977.78600000002</v>
      </c>
      <c r="EO3">
        <v>-8532441.6500000004</v>
      </c>
      <c r="EP3">
        <v>398824.478</v>
      </c>
      <c r="ES3">
        <v>-8532579.7589999996</v>
      </c>
      <c r="ET3">
        <v>396785.14899999998</v>
      </c>
      <c r="EW3">
        <v>-8532409.9299999997</v>
      </c>
      <c r="EX3">
        <v>396945.13900000002</v>
      </c>
      <c r="FA3">
        <v>-8528797.2819999997</v>
      </c>
      <c r="FB3">
        <v>395465.60100000002</v>
      </c>
      <c r="FE3">
        <v>-8533441.7349999994</v>
      </c>
      <c r="FF3">
        <v>394620.16499999998</v>
      </c>
      <c r="FI3">
        <v>-8532271.1669999994</v>
      </c>
      <c r="FJ3">
        <v>397709.6</v>
      </c>
      <c r="FM3">
        <v>-8529458.1909999996</v>
      </c>
      <c r="FN3">
        <v>393636.11200000002</v>
      </c>
      <c r="FQ3">
        <v>-8534145.7190000005</v>
      </c>
      <c r="FR3">
        <v>396070.81599999999</v>
      </c>
      <c r="FU3">
        <v>-8534380.4959999993</v>
      </c>
      <c r="FV3">
        <v>400423.853</v>
      </c>
      <c r="FY3">
        <v>-8528985.0109999999</v>
      </c>
      <c r="FZ3">
        <v>396421.95799999998</v>
      </c>
      <c r="GC3">
        <v>-8530126.0309999995</v>
      </c>
      <c r="GD3">
        <v>396518.51</v>
      </c>
      <c r="GG3">
        <v>-8529618.2520000003</v>
      </c>
      <c r="GH3">
        <v>396449.05200000003</v>
      </c>
      <c r="GK3">
        <v>-8532288.852</v>
      </c>
      <c r="GL3">
        <v>397974.125</v>
      </c>
      <c r="GO3">
        <v>-8532254.9480000008</v>
      </c>
      <c r="GP3">
        <v>396672.848</v>
      </c>
      <c r="GS3">
        <v>-8530843.1260000002</v>
      </c>
      <c r="GT3">
        <v>397255.76500000001</v>
      </c>
      <c r="GW3">
        <v>-8531197.1850000005</v>
      </c>
      <c r="GX3">
        <v>398390.65299999999</v>
      </c>
      <c r="HA3">
        <v>-8532455.3090000004</v>
      </c>
      <c r="HB3">
        <v>397489.32500000001</v>
      </c>
      <c r="HE3">
        <v>-8534245.6469999999</v>
      </c>
      <c r="HF3">
        <v>396674.217</v>
      </c>
      <c r="HI3">
        <v>-8531398.8269999996</v>
      </c>
      <c r="HJ3">
        <v>398277.01799999998</v>
      </c>
      <c r="HM3">
        <v>-8533028.8450000007</v>
      </c>
      <c r="HN3">
        <v>396618.39299999998</v>
      </c>
      <c r="HQ3">
        <v>-8531683.2599999998</v>
      </c>
      <c r="HR3">
        <v>397886.87199999997</v>
      </c>
      <c r="HU3">
        <v>-8532222.3279999997</v>
      </c>
      <c r="HV3">
        <v>396866.84399999998</v>
      </c>
      <c r="HY3">
        <v>-8539634.2359999996</v>
      </c>
      <c r="HZ3">
        <v>398738.07699999999</v>
      </c>
      <c r="IC3">
        <v>-8532200.5940000005</v>
      </c>
      <c r="ID3">
        <v>398014.62699999998</v>
      </c>
      <c r="IG3">
        <v>-8531426.8570000008</v>
      </c>
      <c r="IH3">
        <v>397365.59899999999</v>
      </c>
      <c r="IK3">
        <v>-8532655.5160000008</v>
      </c>
      <c r="IL3">
        <v>395062.658</v>
      </c>
      <c r="IO3">
        <v>-8535057.8560000006</v>
      </c>
      <c r="IP3">
        <v>402022.94</v>
      </c>
    </row>
    <row r="4" spans="1:251" ht="18" customHeight="1" x14ac:dyDescent="0.3">
      <c r="A4" s="73">
        <v>-8532824.7980000004</v>
      </c>
      <c r="B4">
        <v>398176.55699999997</v>
      </c>
      <c r="C4" s="74">
        <v>1.7999999999999999E-2</v>
      </c>
      <c r="E4" s="73">
        <v>-8532825.6030000001</v>
      </c>
      <c r="F4">
        <v>398177.66399999999</v>
      </c>
      <c r="G4" s="74">
        <v>1.9E-2</v>
      </c>
      <c r="I4" s="73">
        <v>-8532870.2980000004</v>
      </c>
      <c r="J4">
        <v>398199.10600000003</v>
      </c>
      <c r="K4" s="74">
        <v>3.3000000000000002E-2</v>
      </c>
      <c r="M4" s="73">
        <v>-8532871.1030000001</v>
      </c>
      <c r="N4">
        <v>398199.91100000002</v>
      </c>
      <c r="O4" s="74">
        <v>3.5000000000000003E-2</v>
      </c>
      <c r="Q4" s="73">
        <v>-8532824.9989999998</v>
      </c>
      <c r="R4">
        <v>398177.56400000001</v>
      </c>
      <c r="S4" s="74">
        <v>2.4E-2</v>
      </c>
      <c r="U4" s="73">
        <v>-8532714.3690000009</v>
      </c>
      <c r="V4">
        <v>398153.80699999997</v>
      </c>
      <c r="W4" s="74">
        <v>0.114</v>
      </c>
      <c r="Y4" s="73">
        <v>-8532825.7039999999</v>
      </c>
      <c r="Z4">
        <v>398176.90899999999</v>
      </c>
      <c r="AA4" s="74">
        <v>1.9E-2</v>
      </c>
      <c r="AC4" s="73">
        <v>-8532826.7100000009</v>
      </c>
      <c r="AD4">
        <v>398177.71500000003</v>
      </c>
      <c r="AE4" s="74">
        <v>1.9E-2</v>
      </c>
      <c r="AG4" s="73">
        <v>-8532824.0930000003</v>
      </c>
      <c r="AH4">
        <v>398177.21100000001</v>
      </c>
      <c r="AI4" s="74">
        <v>2.7E-2</v>
      </c>
      <c r="AK4" s="73">
        <v>-8532824.2939999998</v>
      </c>
      <c r="AL4">
        <v>398176.20500000002</v>
      </c>
      <c r="AM4" s="74">
        <v>2.4E-2</v>
      </c>
      <c r="AO4" s="73">
        <v>-8532824.2939999998</v>
      </c>
      <c r="AP4">
        <v>398176.20500000002</v>
      </c>
      <c r="AQ4" s="74">
        <v>2.4E-2</v>
      </c>
      <c r="AS4" s="73">
        <v>-8532825.9049999993</v>
      </c>
      <c r="AT4">
        <v>398177.71500000003</v>
      </c>
      <c r="AU4" s="74">
        <v>1.7000000000000001E-2</v>
      </c>
      <c r="AW4" s="73">
        <v>-8532825.9049999993</v>
      </c>
      <c r="AX4">
        <v>398177.71500000003</v>
      </c>
      <c r="AY4" s="74">
        <v>1.7000000000000001E-2</v>
      </c>
      <c r="BA4" s="73">
        <v>-8532825.9049999993</v>
      </c>
      <c r="BB4">
        <v>398177.71500000003</v>
      </c>
      <c r="BC4" s="74">
        <v>1.7000000000000001E-2</v>
      </c>
      <c r="BE4" s="73">
        <v>-8532825.9049999993</v>
      </c>
      <c r="BF4">
        <v>398177.71500000003</v>
      </c>
      <c r="BG4" s="74">
        <v>1.7000000000000001E-2</v>
      </c>
      <c r="BI4" s="73">
        <v>-8532825.9049999993</v>
      </c>
      <c r="BJ4">
        <v>398177.71500000003</v>
      </c>
      <c r="BK4" s="74">
        <v>1.7000000000000001E-2</v>
      </c>
      <c r="BM4" s="73">
        <v>-8532825.9049999993</v>
      </c>
      <c r="BN4">
        <v>398177.71500000003</v>
      </c>
      <c r="BO4" s="74">
        <v>1.7000000000000001E-2</v>
      </c>
      <c r="BQ4" s="73">
        <v>-8532825.9049999993</v>
      </c>
      <c r="BR4">
        <v>398177.71500000003</v>
      </c>
      <c r="BS4" s="74">
        <v>1.7000000000000001E-2</v>
      </c>
      <c r="BU4" s="73">
        <v>-8532825.9049999993</v>
      </c>
      <c r="BV4">
        <v>398177.71500000003</v>
      </c>
      <c r="BW4" s="74">
        <v>1.7000000000000001E-2</v>
      </c>
      <c r="BY4" s="73">
        <v>-8532825.9049999993</v>
      </c>
      <c r="BZ4">
        <v>398177.71500000003</v>
      </c>
      <c r="CA4" s="74">
        <v>1.7000000000000001E-2</v>
      </c>
      <c r="CC4" s="73">
        <v>-8532825.9049999993</v>
      </c>
      <c r="CD4">
        <v>398177.71500000003</v>
      </c>
      <c r="CE4" s="74">
        <v>1.7000000000000001E-2</v>
      </c>
      <c r="CG4" s="73">
        <v>-8532825.6530000009</v>
      </c>
      <c r="CH4">
        <v>398177.16100000002</v>
      </c>
      <c r="CI4" s="74">
        <v>1.7000000000000001E-2</v>
      </c>
      <c r="CK4" s="73">
        <v>-8532825.6530000009</v>
      </c>
      <c r="CL4">
        <v>398177.16100000002</v>
      </c>
      <c r="CM4" s="74">
        <v>1.7000000000000001E-2</v>
      </c>
      <c r="CO4" s="73">
        <v>-8532873.1630000006</v>
      </c>
      <c r="CP4">
        <v>398202.103</v>
      </c>
      <c r="CQ4" s="74">
        <v>35.213000000000001</v>
      </c>
      <c r="CS4" s="73">
        <v>-8532873.1630000006</v>
      </c>
      <c r="CT4">
        <v>398202.103</v>
      </c>
      <c r="CU4" s="74">
        <v>35.213000000000001</v>
      </c>
      <c r="CW4" s="73">
        <v>-8532873.1630000006</v>
      </c>
      <c r="CX4">
        <v>398202.103</v>
      </c>
      <c r="CY4" s="74">
        <v>35.213000000000001</v>
      </c>
      <c r="DA4" s="73">
        <v>-8532860.3589999992</v>
      </c>
      <c r="DB4">
        <v>398194.93699999998</v>
      </c>
      <c r="DC4" s="74">
        <v>24.106000000000002</v>
      </c>
      <c r="DE4" s="73">
        <v>-8532862.9240000006</v>
      </c>
      <c r="DF4">
        <v>398197.022</v>
      </c>
      <c r="DG4" s="74">
        <v>2.8000000000000001E-2</v>
      </c>
      <c r="DI4" s="73">
        <v>-8532871.9940000009</v>
      </c>
      <c r="DJ4">
        <v>398199.28899999999</v>
      </c>
      <c r="DK4" s="74">
        <v>34.121000000000002</v>
      </c>
      <c r="DM4" s="73">
        <v>-8532825.9049999993</v>
      </c>
      <c r="DN4">
        <v>398177.71500000003</v>
      </c>
      <c r="DO4" s="74">
        <v>1.7000000000000001E-2</v>
      </c>
      <c r="DQ4" s="73">
        <v>-8532825.9049999993</v>
      </c>
      <c r="DR4">
        <v>398177.71500000003</v>
      </c>
      <c r="DS4" s="74">
        <v>1.7000000000000001E-2</v>
      </c>
      <c r="DU4" s="73">
        <v>-8532873.1630000006</v>
      </c>
      <c r="DV4">
        <v>398202.103</v>
      </c>
      <c r="DW4" s="74">
        <v>35.213000000000001</v>
      </c>
      <c r="DY4" s="73">
        <v>-8532873.2410000004</v>
      </c>
      <c r="DZ4">
        <v>398198.38199999998</v>
      </c>
      <c r="EA4" s="74">
        <v>3.5999999999999997E-2</v>
      </c>
      <c r="EC4" s="73">
        <v>-8532875.0549999997</v>
      </c>
      <c r="ED4">
        <v>398199.96899999998</v>
      </c>
      <c r="EE4" s="74">
        <v>3.5999999999999997E-2</v>
      </c>
      <c r="EG4" s="73">
        <v>-8539589.5539999995</v>
      </c>
      <c r="EH4">
        <v>396659.20799999998</v>
      </c>
      <c r="EI4" s="74">
        <v>4.4999999999999998E-2</v>
      </c>
      <c r="EK4">
        <v>-8534667.4849999994</v>
      </c>
      <c r="EL4">
        <v>399954.85499999998</v>
      </c>
      <c r="EM4">
        <v>3.5000000000000003E-2</v>
      </c>
      <c r="EO4">
        <v>-8532429</v>
      </c>
      <c r="EP4">
        <v>398842.08899999998</v>
      </c>
      <c r="EQ4">
        <v>2.1999999999999999E-2</v>
      </c>
      <c r="ES4">
        <v>-8532485.8320000004</v>
      </c>
      <c r="ET4">
        <v>396730.90899999999</v>
      </c>
      <c r="EU4">
        <v>0.108</v>
      </c>
      <c r="EW4">
        <v>-8532433.7420000006</v>
      </c>
      <c r="EX4">
        <v>396919.342</v>
      </c>
      <c r="EY4">
        <v>3.5000000000000003E-2</v>
      </c>
      <c r="FA4">
        <v>-8528819.1099999994</v>
      </c>
      <c r="FB4">
        <v>395510.25</v>
      </c>
      <c r="FE4">
        <v>-8533470.2909999993</v>
      </c>
      <c r="FF4">
        <v>394604.81699999998</v>
      </c>
      <c r="FG4">
        <v>3.2000000000000001E-2</v>
      </c>
      <c r="FI4">
        <v>-8532271.1669999994</v>
      </c>
      <c r="FJ4">
        <v>397800.88099999999</v>
      </c>
      <c r="FK4">
        <v>90.498000000000005</v>
      </c>
      <c r="FM4">
        <v>-8529436.3629999999</v>
      </c>
      <c r="FN4">
        <v>393675.304</v>
      </c>
      <c r="FO4">
        <v>44.548000000000002</v>
      </c>
      <c r="FQ4">
        <v>-8534118.1860000007</v>
      </c>
      <c r="FR4">
        <v>396111</v>
      </c>
      <c r="FS4">
        <v>48.398000000000003</v>
      </c>
      <c r="FU4">
        <v>-8534402.8200000003</v>
      </c>
      <c r="FV4">
        <v>400446.17700000003</v>
      </c>
      <c r="FW4">
        <v>3.1E-2</v>
      </c>
      <c r="FY4">
        <v>-8529028.5429999996</v>
      </c>
      <c r="FZ4">
        <v>396432.00400000002</v>
      </c>
      <c r="GA4">
        <v>4.4999999999999998E-2</v>
      </c>
      <c r="GC4">
        <v>-8530207.0260000005</v>
      </c>
      <c r="GD4">
        <v>396519.45199999999</v>
      </c>
      <c r="GE4">
        <v>80.844999999999999</v>
      </c>
      <c r="GG4">
        <v>-8529631.6730000004</v>
      </c>
      <c r="GH4">
        <v>396465.29800000001</v>
      </c>
      <c r="GI4">
        <v>20.949000000000002</v>
      </c>
      <c r="GK4">
        <v>-8532337.9440000001</v>
      </c>
      <c r="GL4">
        <v>397992.49099999998</v>
      </c>
      <c r="GM4">
        <v>5.1999999999999998E-2</v>
      </c>
      <c r="GO4">
        <v>-8532240.1140000001</v>
      </c>
      <c r="GP4">
        <v>396704.63400000002</v>
      </c>
      <c r="GQ4">
        <v>3.5000000000000003E-2</v>
      </c>
      <c r="GS4">
        <v>-8530849.4829999991</v>
      </c>
      <c r="GT4">
        <v>397229.98300000001</v>
      </c>
      <c r="GU4">
        <v>2.5999999999999999E-2</v>
      </c>
      <c r="GW4">
        <v>-8531261.5510000009</v>
      </c>
      <c r="GX4">
        <v>398365.22399999999</v>
      </c>
      <c r="GY4">
        <v>69.010999999999996</v>
      </c>
      <c r="HA4">
        <v>-8532391.5380000006</v>
      </c>
      <c r="HB4">
        <v>397535.61300000001</v>
      </c>
      <c r="HC4">
        <v>78.465999999999994</v>
      </c>
      <c r="HE4">
        <v>-8534200.352</v>
      </c>
      <c r="HF4">
        <v>396726.663</v>
      </c>
      <c r="HG4">
        <v>6.9000000000000006E-2</v>
      </c>
      <c r="HI4">
        <v>-8531389.8870000001</v>
      </c>
      <c r="HJ4">
        <v>398253.179</v>
      </c>
      <c r="HK4">
        <v>2.5000000000000001E-2</v>
      </c>
      <c r="HM4">
        <v>-8532913.2239999995</v>
      </c>
      <c r="HN4">
        <v>396421.71799999999</v>
      </c>
      <c r="HO4">
        <v>0.22700000000000001</v>
      </c>
      <c r="HQ4">
        <v>-8531711.8680000007</v>
      </c>
      <c r="HR4">
        <v>397865.86300000001</v>
      </c>
      <c r="HS4">
        <v>3.5000000000000003E-2</v>
      </c>
      <c r="HU4">
        <v>-8532222.3279999997</v>
      </c>
      <c r="HV4">
        <v>396866.84399999998</v>
      </c>
      <c r="HY4">
        <v>-8539650.3279999997</v>
      </c>
      <c r="HZ4">
        <v>398650.91499999998</v>
      </c>
      <c r="IA4">
        <v>8.7999999999999995E-2</v>
      </c>
      <c r="IC4">
        <v>-8532204.6170000006</v>
      </c>
      <c r="ID4">
        <v>397991.83</v>
      </c>
      <c r="IE4">
        <v>2.3E-2</v>
      </c>
      <c r="IG4">
        <v>-8531448.3120000008</v>
      </c>
      <c r="IH4">
        <v>397394.43</v>
      </c>
      <c r="II4">
        <v>3.5999999999999997E-2</v>
      </c>
      <c r="IK4">
        <v>-8532691.7219999991</v>
      </c>
      <c r="IL4">
        <v>395122.33100000001</v>
      </c>
      <c r="IM4">
        <v>6.9000000000000006E-2</v>
      </c>
      <c r="IO4">
        <v>-8535120.8809999991</v>
      </c>
      <c r="IP4">
        <v>401935.777</v>
      </c>
      <c r="IQ4">
        <v>0.107</v>
      </c>
    </row>
    <row r="5" spans="1:251" ht="18" customHeight="1" x14ac:dyDescent="0.3">
      <c r="A5" s="73">
        <v>-8532713.6649999991</v>
      </c>
      <c r="B5">
        <v>398154.41100000002</v>
      </c>
      <c r="C5" s="74">
        <v>0.113</v>
      </c>
      <c r="E5" s="73">
        <v>-8532710.0409999993</v>
      </c>
      <c r="F5">
        <v>398153.908</v>
      </c>
      <c r="G5" s="74">
        <v>0.11799999999999999</v>
      </c>
      <c r="I5" s="73">
        <v>-8532896.4700000007</v>
      </c>
      <c r="J5">
        <v>398206.353</v>
      </c>
      <c r="K5" s="74">
        <v>2.7E-2</v>
      </c>
      <c r="M5" s="73">
        <v>-8532898.0810000002</v>
      </c>
      <c r="N5">
        <v>398207.15899999999</v>
      </c>
      <c r="O5" s="74">
        <v>2.8000000000000001E-2</v>
      </c>
      <c r="Q5" s="73">
        <v>-8532716.4829999991</v>
      </c>
      <c r="R5">
        <v>398154.21</v>
      </c>
      <c r="S5" s="74">
        <v>0.111</v>
      </c>
      <c r="U5" s="73">
        <v>-8532671.2850000001</v>
      </c>
      <c r="V5">
        <v>398157.02799999999</v>
      </c>
      <c r="W5" s="74">
        <v>4.2999999999999997E-2</v>
      </c>
      <c r="Y5" s="73">
        <v>-8532740.341</v>
      </c>
      <c r="Z5">
        <v>398158.38699999999</v>
      </c>
      <c r="AA5" s="74">
        <v>8.6999999999999994E-2</v>
      </c>
      <c r="AC5" s="73">
        <v>-8532797.5179999992</v>
      </c>
      <c r="AD5">
        <v>398168.85600000003</v>
      </c>
      <c r="AE5" s="74">
        <v>3.1E-2</v>
      </c>
      <c r="AG5" s="73">
        <v>-8532713.1610000003</v>
      </c>
      <c r="AH5">
        <v>398154.46100000001</v>
      </c>
      <c r="AI5" s="74">
        <v>0.113</v>
      </c>
      <c r="AK5" s="73">
        <v>-8532714.5710000005</v>
      </c>
      <c r="AL5">
        <v>398155.065</v>
      </c>
      <c r="AM5" s="74">
        <v>0.112</v>
      </c>
      <c r="AO5" s="73">
        <v>-8532714.5710000005</v>
      </c>
      <c r="AP5">
        <v>398155.065</v>
      </c>
      <c r="AQ5" s="74">
        <v>0.112</v>
      </c>
      <c r="AS5" s="73">
        <v>-8532713.9670000002</v>
      </c>
      <c r="AT5">
        <v>398152.34700000001</v>
      </c>
      <c r="AU5" s="74">
        <v>0.115</v>
      </c>
      <c r="AW5" s="73">
        <v>-8532713.9670000002</v>
      </c>
      <c r="AX5">
        <v>398152.34700000001</v>
      </c>
      <c r="AY5" s="74">
        <v>0.115</v>
      </c>
      <c r="BA5" s="73">
        <v>-8532713.9670000002</v>
      </c>
      <c r="BB5">
        <v>398152.34700000001</v>
      </c>
      <c r="BC5" s="74">
        <v>0.115</v>
      </c>
      <c r="BE5" s="73">
        <v>-8532713.9670000002</v>
      </c>
      <c r="BF5">
        <v>398152.34700000001</v>
      </c>
      <c r="BG5" s="74">
        <v>0.115</v>
      </c>
      <c r="BI5" s="73">
        <v>-8532713.9670000002</v>
      </c>
      <c r="BJ5">
        <v>398152.34700000001</v>
      </c>
      <c r="BK5" s="74">
        <v>0.115</v>
      </c>
      <c r="BM5" s="73">
        <v>-8532713.9670000002</v>
      </c>
      <c r="BN5">
        <v>398152.34700000001</v>
      </c>
      <c r="BO5" s="74">
        <v>0.115</v>
      </c>
      <c r="BQ5" s="73">
        <v>-8532713.9670000002</v>
      </c>
      <c r="BR5">
        <v>398152.34700000001</v>
      </c>
      <c r="BS5" s="74">
        <v>0.115</v>
      </c>
      <c r="BU5" s="73">
        <v>-8532713.9670000002</v>
      </c>
      <c r="BV5">
        <v>398152.34700000001</v>
      </c>
      <c r="BW5" s="74">
        <v>0.115</v>
      </c>
      <c r="BY5" s="73">
        <v>-8532713.9670000002</v>
      </c>
      <c r="BZ5">
        <v>398152.34700000001</v>
      </c>
      <c r="CA5" s="74">
        <v>0.115</v>
      </c>
      <c r="CC5" s="73">
        <v>-8532713.9670000002</v>
      </c>
      <c r="CD5">
        <v>398152.34700000001</v>
      </c>
      <c r="CE5" s="74">
        <v>0.115</v>
      </c>
      <c r="CG5" s="73">
        <v>-8532739.284</v>
      </c>
      <c r="CH5">
        <v>398159.34299999999</v>
      </c>
      <c r="CI5" s="74">
        <v>8.7999999999999995E-2</v>
      </c>
      <c r="CK5" s="73">
        <v>-8532739.284</v>
      </c>
      <c r="CL5">
        <v>398159.34299999999</v>
      </c>
      <c r="CM5" s="74">
        <v>8.7999999999999995E-2</v>
      </c>
      <c r="CO5" s="73">
        <v>-8532894.5659999996</v>
      </c>
      <c r="CP5">
        <v>398202.86800000002</v>
      </c>
      <c r="CQ5" s="74">
        <v>21.417000000000002</v>
      </c>
      <c r="CS5" s="73">
        <v>-8532894.5659999996</v>
      </c>
      <c r="CT5">
        <v>398202.86800000002</v>
      </c>
      <c r="CU5" s="74">
        <v>21.417000000000002</v>
      </c>
      <c r="CW5" s="73">
        <v>-8532894.5659999996</v>
      </c>
      <c r="CX5">
        <v>398202.86800000002</v>
      </c>
      <c r="CY5" s="74">
        <v>21.417000000000002</v>
      </c>
      <c r="DA5" s="73">
        <v>-8532898.1970000006</v>
      </c>
      <c r="DB5">
        <v>398204.11</v>
      </c>
      <c r="DC5" s="74">
        <v>38.935000000000002</v>
      </c>
      <c r="DE5" s="73">
        <v>-8532895.1219999995</v>
      </c>
      <c r="DF5">
        <v>398205.185</v>
      </c>
      <c r="DG5" s="74">
        <v>3.3000000000000002E-2</v>
      </c>
      <c r="DI5" s="73">
        <v>-8532897.8430000003</v>
      </c>
      <c r="DJ5">
        <v>398204.73100000003</v>
      </c>
      <c r="DK5" s="74">
        <v>26.416</v>
      </c>
      <c r="DM5" s="73">
        <v>-8532713.9670000002</v>
      </c>
      <c r="DN5">
        <v>398152.34700000001</v>
      </c>
      <c r="DO5" s="74">
        <v>0.115</v>
      </c>
      <c r="DQ5" s="73">
        <v>-8532713.9670000002</v>
      </c>
      <c r="DR5">
        <v>398152.34700000001</v>
      </c>
      <c r="DS5" s="74">
        <v>0.115</v>
      </c>
      <c r="DU5" s="73">
        <v>-8532894.5659999996</v>
      </c>
      <c r="DV5">
        <v>398202.86800000002</v>
      </c>
      <c r="DW5" s="74">
        <v>21.417000000000002</v>
      </c>
      <c r="DY5" s="73">
        <v>-8532895.0089999996</v>
      </c>
      <c r="DZ5">
        <v>398205.63799999998</v>
      </c>
      <c r="EA5" s="74">
        <v>2.3E-2</v>
      </c>
      <c r="EC5" s="73">
        <v>-8532904.7589999996</v>
      </c>
      <c r="ED5">
        <v>398209.72</v>
      </c>
      <c r="EE5" s="74">
        <v>3.1E-2</v>
      </c>
      <c r="EG5" s="73">
        <v>-8539611.3220000006</v>
      </c>
      <c r="EH5">
        <v>396658.30099999998</v>
      </c>
      <c r="EI5" s="74">
        <v>2.1999999999999999E-2</v>
      </c>
      <c r="EK5">
        <v>-8534652.4920000006</v>
      </c>
      <c r="EL5">
        <v>399917.81400000001</v>
      </c>
      <c r="EM5">
        <v>0.04</v>
      </c>
      <c r="EO5">
        <v>-8532426.5189999994</v>
      </c>
      <c r="EP5">
        <v>398839.03</v>
      </c>
      <c r="EQ5">
        <v>4.0000000000000001E-3</v>
      </c>
      <c r="ES5">
        <v>-8532471.2799999993</v>
      </c>
      <c r="ET5">
        <v>396741.49300000002</v>
      </c>
      <c r="EU5">
        <v>1.7999999999999999E-2</v>
      </c>
      <c r="EW5">
        <v>-8532425.8049999997</v>
      </c>
      <c r="EX5">
        <v>396863.78</v>
      </c>
      <c r="EY5">
        <v>5.6000000000000001E-2</v>
      </c>
      <c r="FA5">
        <v>-8528812.6610000003</v>
      </c>
      <c r="FB5">
        <v>395536.54300000001</v>
      </c>
      <c r="FC5">
        <v>2.7E-2</v>
      </c>
      <c r="FE5">
        <v>-8533526.8460000008</v>
      </c>
      <c r="FF5">
        <v>394600.35200000001</v>
      </c>
      <c r="FG5">
        <v>5.7000000000000002E-2</v>
      </c>
      <c r="FI5">
        <v>-8532201.7139999997</v>
      </c>
      <c r="FJ5">
        <v>397886.21</v>
      </c>
      <c r="FK5">
        <v>109.369</v>
      </c>
      <c r="FM5">
        <v>-8529406.3499999996</v>
      </c>
      <c r="FN5">
        <v>393680.51299999998</v>
      </c>
      <c r="FO5">
        <v>30.399000000000001</v>
      </c>
      <c r="FQ5">
        <v>-8534075.7699999996</v>
      </c>
      <c r="FR5">
        <v>396132.58</v>
      </c>
      <c r="FS5">
        <v>47.433999999999997</v>
      </c>
      <c r="FU5">
        <v>-8534469.7919999994</v>
      </c>
      <c r="FV5">
        <v>400387.01799999998</v>
      </c>
      <c r="FW5">
        <v>8.8999999999999996E-2</v>
      </c>
      <c r="FY5">
        <v>-8529074.8660000004</v>
      </c>
      <c r="FZ5">
        <v>396443.16600000003</v>
      </c>
      <c r="GA5">
        <v>4.8000000000000001E-2</v>
      </c>
      <c r="GC5">
        <v>-8530244.6989999991</v>
      </c>
      <c r="GD5">
        <v>396501.55800000002</v>
      </c>
      <c r="GE5">
        <v>41.575000000000003</v>
      </c>
      <c r="GG5">
        <v>-8529666.9910000004</v>
      </c>
      <c r="GH5">
        <v>396477.071</v>
      </c>
      <c r="GI5">
        <v>37.131999999999998</v>
      </c>
      <c r="GK5">
        <v>-8532393.3929999992</v>
      </c>
      <c r="GL5">
        <v>397990.37199999997</v>
      </c>
      <c r="GM5">
        <v>5.5E-2</v>
      </c>
      <c r="GO5">
        <v>-8532254.9480000008</v>
      </c>
      <c r="GP5">
        <v>396734.83</v>
      </c>
      <c r="GQ5">
        <v>3.3000000000000002E-2</v>
      </c>
      <c r="GS5">
        <v>-8530833.943</v>
      </c>
      <c r="GT5">
        <v>397170.65</v>
      </c>
      <c r="GU5">
        <v>6.0999999999999999E-2</v>
      </c>
      <c r="GW5">
        <v>-8531309.2300000004</v>
      </c>
      <c r="GX5">
        <v>398336.61700000003</v>
      </c>
      <c r="GY5">
        <v>55.396999999999998</v>
      </c>
      <c r="HA5">
        <v>-8532365.7119999994</v>
      </c>
      <c r="HB5">
        <v>397551.50599999999</v>
      </c>
      <c r="HC5">
        <v>30.210999999999999</v>
      </c>
      <c r="HE5">
        <v>-8534150.2890000008</v>
      </c>
      <c r="HF5">
        <v>396771.163</v>
      </c>
      <c r="HG5">
        <v>6.7000000000000004E-2</v>
      </c>
      <c r="HI5">
        <v>-8531454.8489999995</v>
      </c>
      <c r="HJ5">
        <v>398195.36800000002</v>
      </c>
      <c r="HK5">
        <v>8.6999999999999994E-2</v>
      </c>
      <c r="HM5">
        <v>-8532887</v>
      </c>
      <c r="HN5">
        <v>396450.32500000001</v>
      </c>
      <c r="HO5">
        <v>3.9E-2</v>
      </c>
      <c r="HQ5">
        <v>-8531731.5350000001</v>
      </c>
      <c r="HR5">
        <v>397836.80900000001</v>
      </c>
      <c r="HS5">
        <v>3.5000000000000003E-2</v>
      </c>
      <c r="HU5">
        <v>-8532242.6659999993</v>
      </c>
      <c r="HV5">
        <v>396914.44799999997</v>
      </c>
      <c r="HW5">
        <v>5.0999999999999997E-2</v>
      </c>
      <c r="HY5">
        <v>-8539721.3990000002</v>
      </c>
      <c r="HZ5">
        <v>398587.88900000002</v>
      </c>
      <c r="IA5">
        <v>9.5000000000000001E-2</v>
      </c>
      <c r="IC5">
        <v>-8532248.8680000007</v>
      </c>
      <c r="ID5">
        <v>397962.32900000003</v>
      </c>
      <c r="IE5">
        <v>5.2999999999999999E-2</v>
      </c>
      <c r="IG5">
        <v>-8531474.4609999992</v>
      </c>
      <c r="IH5">
        <v>397468.18300000002</v>
      </c>
      <c r="II5">
        <v>7.8E-2</v>
      </c>
      <c r="IK5">
        <v>-8532725.9169999994</v>
      </c>
      <c r="IL5">
        <v>395210.83500000002</v>
      </c>
      <c r="IM5">
        <v>9.4E-2</v>
      </c>
      <c r="IO5">
        <v>-8535107.4719999991</v>
      </c>
      <c r="IP5">
        <v>401883.48</v>
      </c>
      <c r="IQ5">
        <v>5.3999999999999999E-2</v>
      </c>
    </row>
    <row r="6" spans="1:251" ht="18" customHeight="1" x14ac:dyDescent="0.3">
      <c r="A6" s="73">
        <v>-8532629.5099999998</v>
      </c>
      <c r="B6">
        <v>398158.43699999998</v>
      </c>
      <c r="C6" s="74">
        <v>8.4000000000000005E-2</v>
      </c>
      <c r="E6" s="73">
        <v>-8532626.8929999992</v>
      </c>
      <c r="F6">
        <v>398157.93400000001</v>
      </c>
      <c r="G6" s="74">
        <v>8.3000000000000004E-2</v>
      </c>
      <c r="I6" s="73">
        <v>-8532906.9389999993</v>
      </c>
      <c r="J6">
        <v>398132.26500000001</v>
      </c>
      <c r="K6" s="74">
        <v>7.4999999999999997E-2</v>
      </c>
      <c r="M6" s="73">
        <v>-8532907.3420000002</v>
      </c>
      <c r="N6">
        <v>398134.27799999999</v>
      </c>
      <c r="O6" s="74">
        <v>7.2999999999999995E-2</v>
      </c>
      <c r="Q6" s="73">
        <v>-8532656.2860000003</v>
      </c>
      <c r="R6">
        <v>398157.43099999998</v>
      </c>
      <c r="S6" s="74">
        <v>0.06</v>
      </c>
      <c r="U6" s="73">
        <v>-8532631.8249999993</v>
      </c>
      <c r="V6">
        <v>398158.23599999998</v>
      </c>
      <c r="W6" s="74">
        <v>3.9E-2</v>
      </c>
      <c r="Y6" s="73">
        <v>-8532712.9600000009</v>
      </c>
      <c r="Z6">
        <v>398153.95799999998</v>
      </c>
      <c r="AA6" s="74">
        <v>2.8000000000000001E-2</v>
      </c>
      <c r="AC6" s="73">
        <v>-8532715.1750000007</v>
      </c>
      <c r="AD6">
        <v>398155.16600000003</v>
      </c>
      <c r="AE6" s="74">
        <v>8.3000000000000004E-2</v>
      </c>
      <c r="AG6" s="73">
        <v>-8532633.2339999992</v>
      </c>
      <c r="AH6">
        <v>398158.28600000002</v>
      </c>
      <c r="AI6" s="74">
        <v>0.08</v>
      </c>
      <c r="AK6" s="73">
        <v>-8532631.2210000008</v>
      </c>
      <c r="AL6">
        <v>398158.68900000001</v>
      </c>
      <c r="AM6" s="74">
        <v>8.3000000000000004E-2</v>
      </c>
      <c r="AO6" s="73">
        <v>-8532631.2210000008</v>
      </c>
      <c r="AP6">
        <v>398158.68900000001</v>
      </c>
      <c r="AQ6" s="74">
        <v>8.3000000000000004E-2</v>
      </c>
      <c r="AS6" s="73">
        <v>-8532666.4529999997</v>
      </c>
      <c r="AT6">
        <v>398157.179</v>
      </c>
      <c r="AU6" s="74">
        <v>4.8000000000000001E-2</v>
      </c>
      <c r="AW6" s="73">
        <v>-8532666.4529999997</v>
      </c>
      <c r="AX6">
        <v>398157.179</v>
      </c>
      <c r="AY6" s="74">
        <v>4.8000000000000001E-2</v>
      </c>
      <c r="BA6" s="73">
        <v>-8532666.4529999997</v>
      </c>
      <c r="BB6">
        <v>398157.179</v>
      </c>
      <c r="BC6" s="74">
        <v>4.8000000000000001E-2</v>
      </c>
      <c r="BE6" s="73">
        <v>-8532666.4529999997</v>
      </c>
      <c r="BF6">
        <v>398157.179</v>
      </c>
      <c r="BG6" s="74">
        <v>4.8000000000000001E-2</v>
      </c>
      <c r="BI6" s="73">
        <v>-8532666.4529999997</v>
      </c>
      <c r="BJ6">
        <v>398157.179</v>
      </c>
      <c r="BK6" s="74">
        <v>4.8000000000000001E-2</v>
      </c>
      <c r="BM6" s="73">
        <v>-8532666.4529999997</v>
      </c>
      <c r="BN6">
        <v>398157.179</v>
      </c>
      <c r="BO6" s="74">
        <v>4.8000000000000001E-2</v>
      </c>
      <c r="BQ6" s="73">
        <v>-8532666.4529999997</v>
      </c>
      <c r="BR6">
        <v>398157.179</v>
      </c>
      <c r="BS6" s="74">
        <v>4.8000000000000001E-2</v>
      </c>
      <c r="BU6" s="73">
        <v>-8532666.4529999997</v>
      </c>
      <c r="BV6">
        <v>398157.179</v>
      </c>
      <c r="BW6" s="74">
        <v>4.8000000000000001E-2</v>
      </c>
      <c r="BY6" s="73">
        <v>-8532666.4529999997</v>
      </c>
      <c r="BZ6">
        <v>398157.179</v>
      </c>
      <c r="CA6" s="74">
        <v>4.8000000000000001E-2</v>
      </c>
      <c r="CC6" s="73">
        <v>-8532666.4529999997</v>
      </c>
      <c r="CD6">
        <v>398157.179</v>
      </c>
      <c r="CE6" s="74">
        <v>4.8000000000000001E-2</v>
      </c>
      <c r="CG6" s="73">
        <v>-8532713.0099999998</v>
      </c>
      <c r="CH6">
        <v>398153.908</v>
      </c>
      <c r="CI6" s="74">
        <v>2.7E-2</v>
      </c>
      <c r="CK6" s="73">
        <v>-8532713.0099999998</v>
      </c>
      <c r="CL6">
        <v>398153.908</v>
      </c>
      <c r="CM6" s="74">
        <v>2.7E-2</v>
      </c>
      <c r="CO6" s="73">
        <v>-8532907.5610000007</v>
      </c>
      <c r="CP6">
        <v>398133.30599999998</v>
      </c>
      <c r="CQ6" s="74">
        <v>70.765000000000001</v>
      </c>
      <c r="CS6" s="73">
        <v>-8532907.5610000007</v>
      </c>
      <c r="CT6">
        <v>398133.30599999998</v>
      </c>
      <c r="CU6" s="74">
        <v>70.765000000000001</v>
      </c>
      <c r="CW6" s="73">
        <v>-8532907.5610000007</v>
      </c>
      <c r="CX6">
        <v>398133.30599999998</v>
      </c>
      <c r="CY6" s="74">
        <v>70.765000000000001</v>
      </c>
      <c r="DA6" s="73">
        <v>-8532910.8100000005</v>
      </c>
      <c r="DB6">
        <v>398124.42</v>
      </c>
      <c r="DC6" s="74">
        <v>80.682000000000002</v>
      </c>
      <c r="DE6" s="73">
        <v>-8532907.8200000003</v>
      </c>
      <c r="DF6">
        <v>398133.53200000001</v>
      </c>
      <c r="DG6" s="74">
        <v>7.2999999999999995E-2</v>
      </c>
      <c r="DI6" s="73">
        <v>-8532907.8200000003</v>
      </c>
      <c r="DJ6">
        <v>398127.636</v>
      </c>
      <c r="DK6" s="74">
        <v>77.738</v>
      </c>
      <c r="DM6" s="73">
        <v>-8532666.4529999997</v>
      </c>
      <c r="DN6">
        <v>398157.179</v>
      </c>
      <c r="DO6" s="74">
        <v>4.8000000000000001E-2</v>
      </c>
      <c r="DQ6" s="73">
        <v>-8532666.4529999997</v>
      </c>
      <c r="DR6">
        <v>398157.179</v>
      </c>
      <c r="DS6" s="74">
        <v>4.8000000000000001E-2</v>
      </c>
      <c r="DU6" s="73">
        <v>-8532907.5610000007</v>
      </c>
      <c r="DV6">
        <v>398133.30599999998</v>
      </c>
      <c r="DW6" s="74">
        <v>70.765000000000001</v>
      </c>
      <c r="DY6" s="73">
        <v>-8532907.7070000004</v>
      </c>
      <c r="DZ6">
        <v>398129.45</v>
      </c>
      <c r="EA6" s="74">
        <v>7.6999999999999999E-2</v>
      </c>
      <c r="EC6" s="73">
        <v>-8532906.1190000009</v>
      </c>
      <c r="ED6">
        <v>398133.53200000001</v>
      </c>
      <c r="EE6" s="74">
        <v>7.5999999999999998E-2</v>
      </c>
      <c r="EG6" s="73">
        <v>-8539676.6260000002</v>
      </c>
      <c r="EH6">
        <v>396699.11599999998</v>
      </c>
      <c r="EI6" s="74">
        <v>7.6999999999999999E-2</v>
      </c>
      <c r="EK6">
        <v>-8534637.4989999998</v>
      </c>
      <c r="EL6">
        <v>399886.946</v>
      </c>
      <c r="EM6">
        <v>3.4000000000000002E-2</v>
      </c>
      <c r="EO6">
        <v>-8532388.3200000003</v>
      </c>
      <c r="EP6">
        <v>398817.533</v>
      </c>
      <c r="EQ6">
        <v>4.3999999999999997E-2</v>
      </c>
      <c r="ES6">
        <v>-8532455.4049999993</v>
      </c>
      <c r="ET6">
        <v>396771.92</v>
      </c>
      <c r="EU6">
        <v>3.4000000000000002E-2</v>
      </c>
      <c r="EW6">
        <v>-8532449.6170000006</v>
      </c>
      <c r="EX6">
        <v>396855.842</v>
      </c>
      <c r="EY6">
        <v>2.5000000000000001E-2</v>
      </c>
      <c r="FA6">
        <v>-8528785.3760000002</v>
      </c>
      <c r="FB6">
        <v>395583.67200000002</v>
      </c>
      <c r="FC6">
        <v>5.3999999999999999E-2</v>
      </c>
      <c r="FE6">
        <v>-8533590.8420000002</v>
      </c>
      <c r="FF6">
        <v>394646.489</v>
      </c>
      <c r="FG6">
        <v>7.9000000000000001E-2</v>
      </c>
      <c r="FI6">
        <v>-8532342.6040000003</v>
      </c>
      <c r="FJ6">
        <v>397991.38099999999</v>
      </c>
      <c r="FK6">
        <v>175.059</v>
      </c>
      <c r="FM6">
        <v>-8529355.9959999993</v>
      </c>
      <c r="FN6">
        <v>393675.55200000003</v>
      </c>
      <c r="FO6">
        <v>50.497999999999998</v>
      </c>
      <c r="FQ6">
        <v>-8533900.1530000009</v>
      </c>
      <c r="FR6">
        <v>396188.391</v>
      </c>
      <c r="FS6">
        <v>183.80699999999999</v>
      </c>
      <c r="FU6">
        <v>-8534479.8379999995</v>
      </c>
      <c r="FV6">
        <v>400366.92599999998</v>
      </c>
      <c r="FW6">
        <v>2.1999999999999999E-2</v>
      </c>
      <c r="FY6">
        <v>-8529124.5370000005</v>
      </c>
      <c r="FZ6">
        <v>396432.56199999998</v>
      </c>
      <c r="GA6">
        <v>5.0999999999999997E-2</v>
      </c>
      <c r="GC6">
        <v>-8530285.1960000005</v>
      </c>
      <c r="GD6">
        <v>396496.37800000003</v>
      </c>
      <c r="GE6">
        <v>40.744999999999997</v>
      </c>
      <c r="GG6">
        <v>-8529698.5409999993</v>
      </c>
      <c r="GH6">
        <v>396475.18699999998</v>
      </c>
      <c r="GI6">
        <v>31.545000000000002</v>
      </c>
      <c r="GK6">
        <v>-8532472.8570000008</v>
      </c>
      <c r="GL6">
        <v>397959.29200000002</v>
      </c>
      <c r="GM6">
        <v>8.5000000000000006E-2</v>
      </c>
      <c r="GO6">
        <v>-8532270.3110000007</v>
      </c>
      <c r="GP6">
        <v>396765.55699999997</v>
      </c>
      <c r="GQ6">
        <v>3.4000000000000002E-2</v>
      </c>
      <c r="GS6">
        <v>-8530815.5779999997</v>
      </c>
      <c r="GT6">
        <v>397119.79200000002</v>
      </c>
      <c r="GU6">
        <v>5.3999999999999999E-2</v>
      </c>
      <c r="GW6">
        <v>-8531368.8289999999</v>
      </c>
      <c r="GX6">
        <v>398274.63400000002</v>
      </c>
      <c r="GY6">
        <v>85.524000000000001</v>
      </c>
      <c r="HA6">
        <v>-8532331.3440000005</v>
      </c>
      <c r="HB6">
        <v>397554.88299999997</v>
      </c>
      <c r="HC6">
        <v>34.465000000000003</v>
      </c>
      <c r="HE6">
        <v>-8534085.9230000004</v>
      </c>
      <c r="HF6">
        <v>396802.15500000003</v>
      </c>
      <c r="HG6">
        <v>7.0999999999999994E-2</v>
      </c>
      <c r="HI6">
        <v>-8531476.3049999997</v>
      </c>
      <c r="HJ6">
        <v>398179.277</v>
      </c>
      <c r="HK6">
        <v>2.7E-2</v>
      </c>
      <c r="HM6">
        <v>-8532859.5850000009</v>
      </c>
      <c r="HN6">
        <v>396545.68300000002</v>
      </c>
      <c r="HO6">
        <v>9.8000000000000004E-2</v>
      </c>
      <c r="HQ6">
        <v>-8531746.7329999991</v>
      </c>
      <c r="HR6">
        <v>397829.65700000001</v>
      </c>
      <c r="HS6">
        <v>1.7000000000000001E-2</v>
      </c>
      <c r="HU6">
        <v>-8532251.159</v>
      </c>
      <c r="HV6">
        <v>396974.12099999998</v>
      </c>
      <c r="HW6">
        <v>0.06</v>
      </c>
      <c r="HY6">
        <v>-8539701.2850000001</v>
      </c>
      <c r="HZ6">
        <v>398504.74900000001</v>
      </c>
      <c r="IA6">
        <v>8.5000000000000006E-2</v>
      </c>
      <c r="IC6">
        <v>-8532268.3120000008</v>
      </c>
      <c r="ID6">
        <v>397940.87300000002</v>
      </c>
      <c r="IE6">
        <v>2.9000000000000001E-2</v>
      </c>
      <c r="IG6">
        <v>-8531507.3139999993</v>
      </c>
      <c r="IH6">
        <v>397501.03700000001</v>
      </c>
      <c r="II6">
        <v>4.5999999999999999E-2</v>
      </c>
      <c r="IK6">
        <v>-8532762.1229999997</v>
      </c>
      <c r="IL6">
        <v>395280.565</v>
      </c>
      <c r="IM6">
        <v>7.8E-2</v>
      </c>
      <c r="IO6">
        <v>-8535036.4010000005</v>
      </c>
      <c r="IP6">
        <v>401794.97600000002</v>
      </c>
      <c r="IQ6">
        <v>0.113</v>
      </c>
    </row>
    <row r="7" spans="1:251" ht="18" customHeight="1" x14ac:dyDescent="0.3">
      <c r="A7" s="73">
        <v>-8532576.7620000001</v>
      </c>
      <c r="B7">
        <v>398174.141</v>
      </c>
      <c r="C7" s="74">
        <v>5.5E-2</v>
      </c>
      <c r="E7" s="73">
        <v>-8532575.3530000001</v>
      </c>
      <c r="F7">
        <v>398173.23499999999</v>
      </c>
      <c r="G7" s="74">
        <v>5.3999999999999999E-2</v>
      </c>
      <c r="I7" s="73">
        <v>-8532911.3680000007</v>
      </c>
      <c r="J7">
        <v>398096.83100000001</v>
      </c>
      <c r="K7" s="74">
        <v>3.5999999999999997E-2</v>
      </c>
      <c r="M7" s="73">
        <v>-8532911.7709999997</v>
      </c>
      <c r="N7">
        <v>398097.636</v>
      </c>
      <c r="O7" s="74">
        <v>3.6999999999999998E-2</v>
      </c>
      <c r="Q7" s="73">
        <v>-8532627.4969999995</v>
      </c>
      <c r="R7">
        <v>398158.23599999998</v>
      </c>
      <c r="S7" s="74">
        <v>2.9000000000000001E-2</v>
      </c>
      <c r="U7" s="73">
        <v>-8532575.7550000008</v>
      </c>
      <c r="V7">
        <v>398173.63799999998</v>
      </c>
      <c r="W7" s="74">
        <v>5.8000000000000003E-2</v>
      </c>
      <c r="Y7" s="73">
        <v>-8532626.3890000004</v>
      </c>
      <c r="Z7">
        <v>398158.38699999999</v>
      </c>
      <c r="AA7" s="74">
        <v>8.6999999999999994E-2</v>
      </c>
      <c r="AC7" s="73">
        <v>-8532649.5419999994</v>
      </c>
      <c r="AD7">
        <v>398158.38699999999</v>
      </c>
      <c r="AE7" s="74">
        <v>6.6000000000000003E-2</v>
      </c>
      <c r="AG7" s="73">
        <v>-8532612.9000000004</v>
      </c>
      <c r="AH7">
        <v>398161.30599999998</v>
      </c>
      <c r="AI7" s="74">
        <v>2.1000000000000001E-2</v>
      </c>
      <c r="AK7" s="73">
        <v>-8532614.1079999991</v>
      </c>
      <c r="AL7">
        <v>398161.10499999998</v>
      </c>
      <c r="AM7" s="74">
        <v>1.7000000000000001E-2</v>
      </c>
      <c r="AO7" s="73">
        <v>-8532614.1079999991</v>
      </c>
      <c r="AP7">
        <v>398161.10499999998</v>
      </c>
      <c r="AQ7" s="74">
        <v>1.7000000000000001E-2</v>
      </c>
      <c r="AS7" s="73">
        <v>-8532621.3560000006</v>
      </c>
      <c r="AT7">
        <v>398159.19199999998</v>
      </c>
      <c r="AU7" s="74">
        <v>4.4999999999999998E-2</v>
      </c>
      <c r="AW7" s="73">
        <v>-8532621.3560000006</v>
      </c>
      <c r="AX7">
        <v>398159.19199999998</v>
      </c>
      <c r="AY7" s="74">
        <v>4.4999999999999998E-2</v>
      </c>
      <c r="BA7" s="73">
        <v>-8532621.3560000006</v>
      </c>
      <c r="BB7">
        <v>398159.19199999998</v>
      </c>
      <c r="BC7" s="74">
        <v>4.4999999999999998E-2</v>
      </c>
      <c r="BE7" s="73">
        <v>-8532621.3560000006</v>
      </c>
      <c r="BF7">
        <v>398159.19199999998</v>
      </c>
      <c r="BG7" s="74">
        <v>4.4999999999999998E-2</v>
      </c>
      <c r="BI7" s="73">
        <v>-8532621.3560000006</v>
      </c>
      <c r="BJ7">
        <v>398159.19199999998</v>
      </c>
      <c r="BK7" s="74">
        <v>4.4999999999999998E-2</v>
      </c>
      <c r="BM7" s="73">
        <v>-8532621.3560000006</v>
      </c>
      <c r="BN7">
        <v>398159.19199999998</v>
      </c>
      <c r="BO7" s="74">
        <v>4.4999999999999998E-2</v>
      </c>
      <c r="BQ7" s="73">
        <v>-8532621.3560000006</v>
      </c>
      <c r="BR7">
        <v>398159.19199999998</v>
      </c>
      <c r="BS7" s="74">
        <v>4.4999999999999998E-2</v>
      </c>
      <c r="BU7" s="73">
        <v>-8532621.3560000006</v>
      </c>
      <c r="BV7">
        <v>398159.19199999998</v>
      </c>
      <c r="BW7" s="74">
        <v>4.4999999999999998E-2</v>
      </c>
      <c r="BY7" s="73">
        <v>-8532621.3560000006</v>
      </c>
      <c r="BZ7">
        <v>398159.19199999998</v>
      </c>
      <c r="CA7" s="74">
        <v>4.4999999999999998E-2</v>
      </c>
      <c r="CC7" s="73">
        <v>-8532621.3560000006</v>
      </c>
      <c r="CD7">
        <v>398159.19199999998</v>
      </c>
      <c r="CE7" s="74">
        <v>4.4999999999999998E-2</v>
      </c>
      <c r="CG7" s="73">
        <v>-8532666.5040000007</v>
      </c>
      <c r="CH7">
        <v>398158.13500000001</v>
      </c>
      <c r="CI7" s="74">
        <v>4.7E-2</v>
      </c>
      <c r="CK7" s="73">
        <v>-8532666.5040000007</v>
      </c>
      <c r="CL7">
        <v>398158.13500000001</v>
      </c>
      <c r="CM7" s="74">
        <v>4.7E-2</v>
      </c>
      <c r="CO7" s="73">
        <v>-8532912.9120000005</v>
      </c>
      <c r="CP7">
        <v>398095.08500000002</v>
      </c>
      <c r="CQ7" s="74">
        <v>38.594000000000001</v>
      </c>
      <c r="CS7" s="73">
        <v>-8532912.9120000005</v>
      </c>
      <c r="CT7">
        <v>398095.08500000002</v>
      </c>
      <c r="CU7" s="74">
        <v>38.594000000000001</v>
      </c>
      <c r="CW7" s="73">
        <v>-8532912.9120000005</v>
      </c>
      <c r="CX7">
        <v>398095.08500000002</v>
      </c>
      <c r="CY7" s="74">
        <v>38.594000000000001</v>
      </c>
      <c r="DA7" s="73">
        <v>-8532911.9570000004</v>
      </c>
      <c r="DB7">
        <v>398093.46100000001</v>
      </c>
      <c r="DC7" s="74">
        <v>30.98</v>
      </c>
      <c r="DE7" s="73">
        <v>-8532911.9010000005</v>
      </c>
      <c r="DF7">
        <v>398095.43800000002</v>
      </c>
      <c r="DG7" s="74">
        <v>3.7999999999999999E-2</v>
      </c>
      <c r="DI7" s="73">
        <v>-8532912.8080000002</v>
      </c>
      <c r="DJ7">
        <v>398095.43800000002</v>
      </c>
      <c r="DK7" s="74">
        <v>32.582999999999998</v>
      </c>
      <c r="DM7" s="73">
        <v>-8532621.3560000006</v>
      </c>
      <c r="DN7">
        <v>398159.19199999998</v>
      </c>
      <c r="DO7" s="74">
        <v>4.4999999999999998E-2</v>
      </c>
      <c r="DQ7" s="73">
        <v>-8532621.3560000006</v>
      </c>
      <c r="DR7">
        <v>398159.19199999998</v>
      </c>
      <c r="DS7" s="74">
        <v>4.4999999999999998E-2</v>
      </c>
      <c r="DU7" s="73">
        <v>-8532912.9120000005</v>
      </c>
      <c r="DV7">
        <v>398095.08500000002</v>
      </c>
      <c r="DW7" s="74">
        <v>38.594000000000001</v>
      </c>
      <c r="DY7" s="73">
        <v>-8532912.2420000006</v>
      </c>
      <c r="DZ7">
        <v>398094.984</v>
      </c>
      <c r="EA7" s="74">
        <v>3.5000000000000003E-2</v>
      </c>
      <c r="EC7" s="73">
        <v>-8532909.0669999998</v>
      </c>
      <c r="ED7">
        <v>398112.67099999997</v>
      </c>
      <c r="EE7" s="74">
        <v>2.1000000000000001E-2</v>
      </c>
      <c r="EG7" s="73">
        <v>-8539818.1170000006</v>
      </c>
      <c r="EH7">
        <v>396686.41800000001</v>
      </c>
      <c r="EI7" s="74">
        <v>0.14199999999999999</v>
      </c>
      <c r="EK7">
        <v>-8534613.6860000007</v>
      </c>
      <c r="EL7">
        <v>399875.48</v>
      </c>
      <c r="EM7">
        <v>2.5999999999999999E-2</v>
      </c>
      <c r="EO7">
        <v>-8532237.9210000001</v>
      </c>
      <c r="EP7">
        <v>398719.141</v>
      </c>
      <c r="EQ7">
        <v>0.17899999999999999</v>
      </c>
      <c r="ES7">
        <v>-8532256.9680000003</v>
      </c>
      <c r="ET7">
        <v>396666.08600000001</v>
      </c>
      <c r="EU7">
        <v>0.224</v>
      </c>
      <c r="EW7">
        <v>-8532499.227</v>
      </c>
      <c r="EX7">
        <v>396901.48300000001</v>
      </c>
      <c r="EY7">
        <v>6.7000000000000004E-2</v>
      </c>
      <c r="FA7">
        <v>-8528810.1799999997</v>
      </c>
      <c r="FB7">
        <v>395654.11700000003</v>
      </c>
      <c r="FC7">
        <v>7.3999999999999996E-2</v>
      </c>
      <c r="FE7">
        <v>-8533671.2090000007</v>
      </c>
      <c r="FF7">
        <v>394661.37099999998</v>
      </c>
      <c r="FG7">
        <v>8.2000000000000003E-2</v>
      </c>
      <c r="FI7">
        <v>-8532414.0419999994</v>
      </c>
      <c r="FJ7">
        <v>397991.38099999999</v>
      </c>
      <c r="FK7">
        <v>71.3</v>
      </c>
      <c r="FM7">
        <v>-8529327.4710000008</v>
      </c>
      <c r="FN7">
        <v>393695.39600000001</v>
      </c>
      <c r="FO7">
        <v>34.607999999999997</v>
      </c>
      <c r="FQ7">
        <v>-8533740.1630000006</v>
      </c>
      <c r="FR7">
        <v>396253.13099999999</v>
      </c>
      <c r="FS7">
        <v>172.101</v>
      </c>
      <c r="FU7">
        <v>-8534439.6549999993</v>
      </c>
      <c r="FV7">
        <v>400264.23499999999</v>
      </c>
      <c r="FW7">
        <v>0.109</v>
      </c>
      <c r="FY7">
        <v>-8529169.1860000007</v>
      </c>
      <c r="FZ7">
        <v>396450.42099999997</v>
      </c>
      <c r="GA7">
        <v>4.8000000000000001E-2</v>
      </c>
      <c r="GC7">
        <v>-8530302.6190000009</v>
      </c>
      <c r="GD7">
        <v>396455.88</v>
      </c>
      <c r="GE7">
        <v>43.755000000000003</v>
      </c>
      <c r="GG7">
        <v>-8529721.6150000002</v>
      </c>
      <c r="GH7">
        <v>396453.29</v>
      </c>
      <c r="GI7">
        <v>31.649000000000001</v>
      </c>
      <c r="GK7">
        <v>-8532512.4130000006</v>
      </c>
      <c r="GL7">
        <v>397933.86300000001</v>
      </c>
      <c r="GM7">
        <v>4.7E-2</v>
      </c>
      <c r="GO7">
        <v>-8532252.8289999999</v>
      </c>
      <c r="GP7">
        <v>396796.81300000002</v>
      </c>
      <c r="GQ7">
        <v>3.5999999999999997E-2</v>
      </c>
      <c r="GS7">
        <v>-8530786.6180000007</v>
      </c>
      <c r="GT7">
        <v>397094.364</v>
      </c>
      <c r="GU7">
        <v>3.7999999999999999E-2</v>
      </c>
      <c r="GW7">
        <v>-8531471.3379999995</v>
      </c>
      <c r="GX7">
        <v>398180.86599999998</v>
      </c>
      <c r="GY7">
        <v>138.238</v>
      </c>
      <c r="HA7">
        <v>-8532293.9959999993</v>
      </c>
      <c r="HB7">
        <v>397575.74300000002</v>
      </c>
      <c r="HC7">
        <v>42.628999999999998</v>
      </c>
      <c r="HE7">
        <v>-8534033.4759999998</v>
      </c>
      <c r="HF7">
        <v>396818.842</v>
      </c>
      <c r="HG7">
        <v>5.5E-2</v>
      </c>
      <c r="HI7">
        <v>-8531507.8920000009</v>
      </c>
      <c r="HJ7">
        <v>398169.14500000002</v>
      </c>
      <c r="HK7">
        <v>3.3000000000000002E-2</v>
      </c>
      <c r="HM7">
        <v>-8532858.3929999992</v>
      </c>
      <c r="HN7">
        <v>396633.88799999998</v>
      </c>
      <c r="HO7">
        <v>8.6999999999999994E-2</v>
      </c>
      <c r="HQ7">
        <v>-8531768.1879999992</v>
      </c>
      <c r="HR7">
        <v>397833.68</v>
      </c>
      <c r="HS7">
        <v>2.1999999999999999E-2</v>
      </c>
      <c r="HU7">
        <v>-8532268.1449999996</v>
      </c>
      <c r="HV7">
        <v>397043.85100000002</v>
      </c>
      <c r="HW7">
        <v>7.0999999999999994E-2</v>
      </c>
      <c r="HY7">
        <v>-8539707.9890000001</v>
      </c>
      <c r="HZ7">
        <v>398410.88199999998</v>
      </c>
      <c r="IA7">
        <v>9.2999999999999999E-2</v>
      </c>
      <c r="IC7">
        <v>-8532327.3149999995</v>
      </c>
      <c r="ID7">
        <v>397985.79599999997</v>
      </c>
      <c r="IE7">
        <v>7.3999999999999996E-2</v>
      </c>
      <c r="IG7">
        <v>-8531591.125</v>
      </c>
      <c r="IH7">
        <v>397544.61800000002</v>
      </c>
      <c r="II7">
        <v>9.4E-2</v>
      </c>
      <c r="IK7">
        <v>-8532843.2510000002</v>
      </c>
      <c r="IL7">
        <v>395454.891</v>
      </c>
      <c r="IM7">
        <v>0.191</v>
      </c>
      <c r="IO7">
        <v>-8534978.7390000001</v>
      </c>
      <c r="IP7">
        <v>401699.76799999998</v>
      </c>
      <c r="IQ7">
        <v>0.111</v>
      </c>
    </row>
    <row r="8" spans="1:251" ht="18" customHeight="1" x14ac:dyDescent="0.3">
      <c r="A8" s="73">
        <v>-8532561.8640000001</v>
      </c>
      <c r="B8">
        <v>398175.34899999999</v>
      </c>
      <c r="C8" s="74">
        <v>1.4999999999999999E-2</v>
      </c>
      <c r="E8" s="73">
        <v>-8532561.8640000001</v>
      </c>
      <c r="F8">
        <v>398175.24800000002</v>
      </c>
      <c r="G8" s="74">
        <v>1.4E-2</v>
      </c>
      <c r="I8" s="73">
        <v>-8532909.7579999994</v>
      </c>
      <c r="J8">
        <v>398085.95899999997</v>
      </c>
      <c r="K8" s="74">
        <v>1.0999999999999999E-2</v>
      </c>
      <c r="M8" s="73">
        <v>-8532909.3550000004</v>
      </c>
      <c r="N8">
        <v>398087.57</v>
      </c>
      <c r="O8" s="74">
        <v>0.01</v>
      </c>
      <c r="Q8" s="73">
        <v>-8532613.8059999999</v>
      </c>
      <c r="R8">
        <v>398161.86</v>
      </c>
      <c r="S8" s="74">
        <v>1.4E-2</v>
      </c>
      <c r="U8" s="73">
        <v>-8532562.3169999998</v>
      </c>
      <c r="V8">
        <v>398175.95299999998</v>
      </c>
      <c r="W8" s="74">
        <v>1.4E-2</v>
      </c>
      <c r="Y8" s="73">
        <v>-8532575.6549999993</v>
      </c>
      <c r="Z8">
        <v>398173.28499999997</v>
      </c>
      <c r="AA8" s="74">
        <v>5.2999999999999999E-2</v>
      </c>
      <c r="AC8" s="73">
        <v>-8532619.3430000003</v>
      </c>
      <c r="AD8">
        <v>398159.59499999997</v>
      </c>
      <c r="AE8" s="74">
        <v>0.03</v>
      </c>
      <c r="AG8" s="73">
        <v>-8532576.057</v>
      </c>
      <c r="AH8">
        <v>398173.78899999999</v>
      </c>
      <c r="AI8" s="74">
        <v>3.9E-2</v>
      </c>
      <c r="AK8" s="73">
        <v>-8532576.057</v>
      </c>
      <c r="AL8">
        <v>398173.386</v>
      </c>
      <c r="AM8" s="74">
        <v>0.04</v>
      </c>
      <c r="AO8" s="73">
        <v>-8532576.057</v>
      </c>
      <c r="AP8">
        <v>398173.386</v>
      </c>
      <c r="AQ8" s="74">
        <v>0.04</v>
      </c>
      <c r="AS8" s="73">
        <v>-8532577.8690000009</v>
      </c>
      <c r="AT8">
        <v>398171.67499999999</v>
      </c>
      <c r="AU8" s="74">
        <v>4.4999999999999998E-2</v>
      </c>
      <c r="AW8" s="73">
        <v>-8532577.8690000009</v>
      </c>
      <c r="AX8">
        <v>398171.67499999999</v>
      </c>
      <c r="AY8" s="74">
        <v>4.4999999999999998E-2</v>
      </c>
      <c r="BA8" s="73">
        <v>-8532577.8690000009</v>
      </c>
      <c r="BB8">
        <v>398171.67499999999</v>
      </c>
      <c r="BC8" s="74">
        <v>4.4999999999999998E-2</v>
      </c>
      <c r="BE8" s="73">
        <v>-8532577.8690000009</v>
      </c>
      <c r="BF8">
        <v>398171.67499999999</v>
      </c>
      <c r="BG8" s="74">
        <v>4.4999999999999998E-2</v>
      </c>
      <c r="BI8" s="73">
        <v>-8532577.8690000009</v>
      </c>
      <c r="BJ8">
        <v>398171.67499999999</v>
      </c>
      <c r="BK8" s="74">
        <v>4.4999999999999998E-2</v>
      </c>
      <c r="BM8" s="73">
        <v>-8532577.8690000009</v>
      </c>
      <c r="BN8">
        <v>398171.67499999999</v>
      </c>
      <c r="BO8" s="74">
        <v>4.4999999999999998E-2</v>
      </c>
      <c r="BQ8" s="73">
        <v>-8532577.8690000009</v>
      </c>
      <c r="BR8">
        <v>398171.67499999999</v>
      </c>
      <c r="BS8" s="74">
        <v>4.4999999999999998E-2</v>
      </c>
      <c r="BU8" s="73">
        <v>-8532577.8690000009</v>
      </c>
      <c r="BV8">
        <v>398171.67499999999</v>
      </c>
      <c r="BW8" s="74">
        <v>4.4999999999999998E-2</v>
      </c>
      <c r="BY8" s="73">
        <v>-8532577.8690000009</v>
      </c>
      <c r="BZ8">
        <v>398171.67499999999</v>
      </c>
      <c r="CA8" s="74">
        <v>4.4999999999999998E-2</v>
      </c>
      <c r="CC8" s="73">
        <v>-8532577.8690000009</v>
      </c>
      <c r="CD8">
        <v>398171.67499999999</v>
      </c>
      <c r="CE8" s="74">
        <v>4.4999999999999998E-2</v>
      </c>
      <c r="CG8" s="73">
        <v>-8532627.5470000003</v>
      </c>
      <c r="CH8">
        <v>398157.83299999998</v>
      </c>
      <c r="CI8" s="74">
        <v>3.9E-2</v>
      </c>
      <c r="CK8" s="73">
        <v>-8532627.5470000003</v>
      </c>
      <c r="CL8">
        <v>398157.83299999998</v>
      </c>
      <c r="CM8" s="74">
        <v>3.9E-2</v>
      </c>
      <c r="CO8" s="73">
        <v>-8532908.3259999994</v>
      </c>
      <c r="CP8">
        <v>398084.38299999997</v>
      </c>
      <c r="CQ8" s="74">
        <v>11.643000000000001</v>
      </c>
      <c r="CS8" s="73">
        <v>-8532908.3259999994</v>
      </c>
      <c r="CT8">
        <v>398084.38299999997</v>
      </c>
      <c r="CU8" s="74">
        <v>11.643000000000001</v>
      </c>
      <c r="CW8" s="73">
        <v>-8532908.3259999994</v>
      </c>
      <c r="CX8">
        <v>398084.38299999997</v>
      </c>
      <c r="CY8" s="74">
        <v>11.643000000000001</v>
      </c>
      <c r="DA8" s="73">
        <v>-8532907.3699999992</v>
      </c>
      <c r="DB8">
        <v>398085.435</v>
      </c>
      <c r="DC8" s="74">
        <v>9.2439999999999998</v>
      </c>
      <c r="DE8" s="73">
        <v>-8532909.6339999996</v>
      </c>
      <c r="DF8">
        <v>398088.63500000001</v>
      </c>
      <c r="DG8" s="74">
        <v>7.0000000000000001E-3</v>
      </c>
      <c r="DI8" s="73">
        <v>-8532909.1799999997</v>
      </c>
      <c r="DJ8">
        <v>398086.36800000002</v>
      </c>
      <c r="DK8" s="74">
        <v>9.7690000000000001</v>
      </c>
      <c r="DM8" s="73">
        <v>-8532577.8690000009</v>
      </c>
      <c r="DN8">
        <v>398171.67499999999</v>
      </c>
      <c r="DO8" s="74">
        <v>4.4999999999999998E-2</v>
      </c>
      <c r="DQ8" s="73">
        <v>-8532577.8690000009</v>
      </c>
      <c r="DR8">
        <v>398171.67499999999</v>
      </c>
      <c r="DS8" s="74">
        <v>4.4999999999999998E-2</v>
      </c>
      <c r="DU8" s="73">
        <v>-8532908.3259999994</v>
      </c>
      <c r="DV8">
        <v>398084.38299999997</v>
      </c>
      <c r="DW8" s="74">
        <v>11.643000000000001</v>
      </c>
      <c r="DY8" s="73">
        <v>-8532909.0669999998</v>
      </c>
      <c r="DZ8">
        <v>398085.00699999998</v>
      </c>
      <c r="EA8" s="74">
        <v>0.01</v>
      </c>
      <c r="EC8" s="73">
        <v>-8532912.0150000006</v>
      </c>
      <c r="ED8">
        <v>398093.17</v>
      </c>
      <c r="EE8" s="74">
        <v>0.02</v>
      </c>
      <c r="EG8" s="73">
        <v>-8539887.0490000006</v>
      </c>
      <c r="EH8">
        <v>396649.23100000003</v>
      </c>
      <c r="EI8" s="74">
        <v>7.8E-2</v>
      </c>
      <c r="EK8">
        <v>-8534579.2899999991</v>
      </c>
      <c r="EL8">
        <v>399867.54300000001</v>
      </c>
      <c r="EM8">
        <v>3.5000000000000003E-2</v>
      </c>
      <c r="EO8">
        <v>-8532207.4940000009</v>
      </c>
      <c r="EP8">
        <v>398664.90100000001</v>
      </c>
      <c r="EQ8">
        <v>6.2E-2</v>
      </c>
      <c r="ES8">
        <v>-8532241.0930000003</v>
      </c>
      <c r="ET8">
        <v>396712.38799999998</v>
      </c>
      <c r="EU8">
        <v>4.9000000000000002E-2</v>
      </c>
      <c r="EW8">
        <v>-8532562.727</v>
      </c>
      <c r="EX8">
        <v>396955.06099999999</v>
      </c>
      <c r="EY8">
        <v>8.3000000000000004E-2</v>
      </c>
      <c r="FA8">
        <v>-8528790.8330000006</v>
      </c>
      <c r="FB8">
        <v>395672.96899999998</v>
      </c>
      <c r="FC8">
        <v>2.7E-2</v>
      </c>
      <c r="FE8">
        <v>-8533631.0260000005</v>
      </c>
      <c r="FF8">
        <v>394743.22700000001</v>
      </c>
      <c r="FG8">
        <v>9.0999999999999998E-2</v>
      </c>
      <c r="FI8">
        <v>-8532487.4639999997</v>
      </c>
      <c r="FJ8">
        <v>397949.71</v>
      </c>
      <c r="FK8">
        <v>84.123999999999995</v>
      </c>
      <c r="FM8">
        <v>-8529322.7579999994</v>
      </c>
      <c r="FN8">
        <v>393710.03</v>
      </c>
      <c r="FO8">
        <v>15.253</v>
      </c>
      <c r="FQ8">
        <v>-8533672.4460000005</v>
      </c>
      <c r="FR8">
        <v>396260.57199999999</v>
      </c>
      <c r="FS8">
        <v>67.989000000000004</v>
      </c>
      <c r="FU8">
        <v>-8534434.0739999991</v>
      </c>
      <c r="FV8">
        <v>400145.91700000002</v>
      </c>
      <c r="FW8">
        <v>0.11700000000000001</v>
      </c>
      <c r="FY8">
        <v>-8529213.8340000007</v>
      </c>
      <c r="FZ8">
        <v>396487.25599999999</v>
      </c>
      <c r="GA8">
        <v>5.8000000000000003E-2</v>
      </c>
      <c r="GC8">
        <v>-8530311.5669999998</v>
      </c>
      <c r="GD8">
        <v>396439.87</v>
      </c>
      <c r="GE8">
        <v>18.213000000000001</v>
      </c>
      <c r="GG8">
        <v>-8529724.4409999996</v>
      </c>
      <c r="GH8">
        <v>396419.85600000003</v>
      </c>
      <c r="GI8">
        <v>33.267000000000003</v>
      </c>
      <c r="GK8">
        <v>-8532561.8579999991</v>
      </c>
      <c r="GL8">
        <v>397916.20500000002</v>
      </c>
      <c r="GM8">
        <v>5.1999999999999998E-2</v>
      </c>
      <c r="GO8">
        <v>-8532222.6319999993</v>
      </c>
      <c r="GP8">
        <v>396818.00300000003</v>
      </c>
      <c r="GQ8">
        <v>3.6999999999999998E-2</v>
      </c>
      <c r="GS8">
        <v>-8530753.4189999998</v>
      </c>
      <c r="GT8">
        <v>397085.18099999998</v>
      </c>
      <c r="GU8">
        <v>3.4000000000000002E-2</v>
      </c>
      <c r="GW8">
        <v>-8531515.8379999995</v>
      </c>
      <c r="GX8">
        <v>398161.79399999999</v>
      </c>
      <c r="GY8">
        <v>48.271000000000001</v>
      </c>
      <c r="HA8">
        <v>-8532279.6919999998</v>
      </c>
      <c r="HB8">
        <v>397603.95299999998</v>
      </c>
      <c r="HC8">
        <v>31.401</v>
      </c>
      <c r="HE8">
        <v>-8533981.0299999993</v>
      </c>
      <c r="HF8">
        <v>396818.04800000001</v>
      </c>
      <c r="HG8">
        <v>5.1999999999999998E-2</v>
      </c>
      <c r="HI8">
        <v>-8531522.7909999993</v>
      </c>
      <c r="HJ8">
        <v>398143.51799999998</v>
      </c>
      <c r="HK8">
        <v>2.9000000000000001E-2</v>
      </c>
      <c r="HM8">
        <v>-8532895.3440000005</v>
      </c>
      <c r="HN8">
        <v>396688.71899999998</v>
      </c>
      <c r="HO8">
        <v>6.6000000000000003E-2</v>
      </c>
      <c r="HQ8">
        <v>-8531791.8790000007</v>
      </c>
      <c r="HR8">
        <v>397842.17300000001</v>
      </c>
      <c r="HS8">
        <v>2.5000000000000001E-2</v>
      </c>
      <c r="HU8">
        <v>-8532283.3420000002</v>
      </c>
      <c r="HV8">
        <v>397105.53600000002</v>
      </c>
      <c r="HW8">
        <v>6.3E-2</v>
      </c>
      <c r="HY8">
        <v>-8539677.1469999999</v>
      </c>
      <c r="HZ8">
        <v>398334.44699999999</v>
      </c>
      <c r="IA8">
        <v>8.2000000000000003E-2</v>
      </c>
      <c r="IC8">
        <v>-8532434.5920000002</v>
      </c>
      <c r="ID8">
        <v>397982.44300000003</v>
      </c>
      <c r="IE8">
        <v>0.107</v>
      </c>
      <c r="IG8">
        <v>-8531640.7410000004</v>
      </c>
      <c r="IH8">
        <v>397560.71</v>
      </c>
      <c r="II8">
        <v>5.1999999999999998E-2</v>
      </c>
      <c r="IK8">
        <v>-8532864.7070000004</v>
      </c>
      <c r="IL8">
        <v>395489.75599999999</v>
      </c>
      <c r="IM8">
        <v>4.1000000000000002E-2</v>
      </c>
      <c r="IO8">
        <v>-8534935.8279999997</v>
      </c>
      <c r="IP8">
        <v>401621.99200000003</v>
      </c>
      <c r="IQ8">
        <v>8.7999999999999995E-2</v>
      </c>
    </row>
    <row r="9" spans="1:251" ht="18" customHeight="1" x14ac:dyDescent="0.3">
      <c r="A9" s="73">
        <v>-8532542.1339999996</v>
      </c>
      <c r="B9">
        <v>398154.81400000001</v>
      </c>
      <c r="C9" s="74">
        <v>2.8000000000000001E-2</v>
      </c>
      <c r="E9" s="73">
        <v>-8532590.6539999992</v>
      </c>
      <c r="F9">
        <v>398229.50599999999</v>
      </c>
      <c r="G9" s="74">
        <v>6.0999999999999999E-2</v>
      </c>
      <c r="I9" s="73">
        <v>-8532887.2090000007</v>
      </c>
      <c r="J9">
        <v>398076.69799999997</v>
      </c>
      <c r="K9" s="74">
        <v>2.4E-2</v>
      </c>
      <c r="M9" s="73">
        <v>-8532900.0940000005</v>
      </c>
      <c r="N9">
        <v>398081.93300000002</v>
      </c>
      <c r="O9" s="74">
        <v>1.0999999999999999E-2</v>
      </c>
      <c r="Q9" s="73">
        <v>-8532576.5610000007</v>
      </c>
      <c r="R9">
        <v>398172.73200000002</v>
      </c>
      <c r="S9" s="74">
        <v>3.9E-2</v>
      </c>
      <c r="U9" s="73">
        <v>-8532571.7290000003</v>
      </c>
      <c r="V9">
        <v>398190.49900000001</v>
      </c>
      <c r="W9" s="74">
        <v>1.7000000000000001E-2</v>
      </c>
      <c r="Y9" s="73">
        <v>-8532561.159</v>
      </c>
      <c r="Z9">
        <v>398174.09100000001</v>
      </c>
      <c r="AA9" s="74">
        <v>1.4999999999999999E-2</v>
      </c>
      <c r="AC9" s="73">
        <v>-8532576.6610000003</v>
      </c>
      <c r="AD9">
        <v>398174.49300000002</v>
      </c>
      <c r="AE9" s="74">
        <v>4.4999999999999998E-2</v>
      </c>
      <c r="AG9" s="73">
        <v>-8532563.1720000003</v>
      </c>
      <c r="AH9">
        <v>398174.99699999997</v>
      </c>
      <c r="AI9" s="74">
        <v>1.2999999999999999E-2</v>
      </c>
      <c r="AK9" s="73">
        <v>-8532561.9639999997</v>
      </c>
      <c r="AL9">
        <v>398174.99699999997</v>
      </c>
      <c r="AM9" s="74">
        <v>1.4E-2</v>
      </c>
      <c r="AO9" s="73">
        <v>-8532561.9639999997</v>
      </c>
      <c r="AP9">
        <v>398174.99699999997</v>
      </c>
      <c r="AQ9" s="74">
        <v>1.4E-2</v>
      </c>
      <c r="AS9" s="73">
        <v>-8532561.3599999994</v>
      </c>
      <c r="AT9">
        <v>398174.09100000001</v>
      </c>
      <c r="AU9" s="74">
        <v>1.7000000000000001E-2</v>
      </c>
      <c r="AW9" s="73">
        <v>-8532561.3599999994</v>
      </c>
      <c r="AX9">
        <v>398174.09100000001</v>
      </c>
      <c r="AY9" s="74">
        <v>1.7000000000000001E-2</v>
      </c>
      <c r="BA9" s="73">
        <v>-8532561.3599999994</v>
      </c>
      <c r="BB9">
        <v>398174.09100000001</v>
      </c>
      <c r="BC9" s="74">
        <v>1.7000000000000001E-2</v>
      </c>
      <c r="BE9" s="73">
        <v>-8532561.3599999994</v>
      </c>
      <c r="BF9">
        <v>398174.09100000001</v>
      </c>
      <c r="BG9" s="74">
        <v>1.7000000000000001E-2</v>
      </c>
      <c r="BI9" s="73">
        <v>-8532561.3599999994</v>
      </c>
      <c r="BJ9">
        <v>398174.09100000001</v>
      </c>
      <c r="BK9" s="74">
        <v>1.7000000000000001E-2</v>
      </c>
      <c r="BM9" s="73">
        <v>-8532561.3599999994</v>
      </c>
      <c r="BN9">
        <v>398174.09100000001</v>
      </c>
      <c r="BO9" s="74">
        <v>1.7000000000000001E-2</v>
      </c>
      <c r="BQ9" s="73">
        <v>-8532561.3599999994</v>
      </c>
      <c r="BR9">
        <v>398174.09100000001</v>
      </c>
      <c r="BS9" s="74">
        <v>1.7000000000000001E-2</v>
      </c>
      <c r="BU9" s="73">
        <v>-8532561.3599999994</v>
      </c>
      <c r="BV9">
        <v>398174.09100000001</v>
      </c>
      <c r="BW9" s="74">
        <v>1.7000000000000001E-2</v>
      </c>
      <c r="BY9" s="73">
        <v>-8532561.3599999994</v>
      </c>
      <c r="BZ9">
        <v>398174.09100000001</v>
      </c>
      <c r="CA9" s="74">
        <v>1.7000000000000001E-2</v>
      </c>
      <c r="CC9" s="73">
        <v>-8532561.3599999994</v>
      </c>
      <c r="CD9">
        <v>398174.09100000001</v>
      </c>
      <c r="CE9" s="74">
        <v>1.7000000000000001E-2</v>
      </c>
      <c r="CG9" s="73">
        <v>-8532575.6040000003</v>
      </c>
      <c r="CH9">
        <v>398174.141</v>
      </c>
      <c r="CI9" s="74">
        <v>5.3999999999999999E-2</v>
      </c>
      <c r="CK9" s="73">
        <v>-8532575.6040000003</v>
      </c>
      <c r="CL9">
        <v>398174.141</v>
      </c>
      <c r="CM9" s="74">
        <v>5.3999999999999999E-2</v>
      </c>
      <c r="CO9" s="73">
        <v>-8532748.5629999992</v>
      </c>
      <c r="CP9">
        <v>398049.98499999999</v>
      </c>
      <c r="CQ9" s="74">
        <v>163.42400000000001</v>
      </c>
      <c r="CS9" s="73">
        <v>-8532748.5629999992</v>
      </c>
      <c r="CT9">
        <v>398049.98499999999</v>
      </c>
      <c r="CU9" s="74">
        <v>163.42400000000001</v>
      </c>
      <c r="CW9" s="73">
        <v>-8532748.5629999992</v>
      </c>
      <c r="CX9">
        <v>398049.98499999999</v>
      </c>
      <c r="CY9" s="74">
        <v>163.42400000000001</v>
      </c>
      <c r="DA9" s="73">
        <v>-8532755.443</v>
      </c>
      <c r="DB9">
        <v>398049.88900000002</v>
      </c>
      <c r="DC9" s="74">
        <v>156.03</v>
      </c>
      <c r="DE9" s="73">
        <v>-8532895.5749999993</v>
      </c>
      <c r="DF9">
        <v>398081.83299999998</v>
      </c>
      <c r="DG9" s="74">
        <v>1.6E-2</v>
      </c>
      <c r="DI9" s="73">
        <v>-8532788.5500000007</v>
      </c>
      <c r="DJ9">
        <v>398054.62300000002</v>
      </c>
      <c r="DK9" s="74">
        <v>124.738</v>
      </c>
      <c r="DM9" s="73">
        <v>-8532561.3599999994</v>
      </c>
      <c r="DN9">
        <v>398174.09100000001</v>
      </c>
      <c r="DO9" s="74">
        <v>1.7000000000000001E-2</v>
      </c>
      <c r="DQ9" s="73">
        <v>-8532561.3599999994</v>
      </c>
      <c r="DR9">
        <v>398174.09100000001</v>
      </c>
      <c r="DS9" s="74">
        <v>1.7000000000000001E-2</v>
      </c>
      <c r="DU9" s="73">
        <v>-8532748.5629999992</v>
      </c>
      <c r="DV9">
        <v>398049.98499999999</v>
      </c>
      <c r="DW9" s="74">
        <v>163.42400000000001</v>
      </c>
      <c r="DY9" s="73">
        <v>-8532755.7850000001</v>
      </c>
      <c r="DZ9">
        <v>398048.27399999998</v>
      </c>
      <c r="EA9" s="74">
        <v>0.158</v>
      </c>
      <c r="EC9" s="73">
        <v>-8532908.8399999999</v>
      </c>
      <c r="ED9">
        <v>398084.78100000002</v>
      </c>
      <c r="EE9" s="74">
        <v>8.9999999999999993E-3</v>
      </c>
      <c r="EG9" s="73">
        <v>-8539908.8169999998</v>
      </c>
      <c r="EH9">
        <v>396645.603</v>
      </c>
      <c r="EI9" s="74">
        <v>2.1999999999999999E-2</v>
      </c>
      <c r="EK9">
        <v>-8534535.193</v>
      </c>
      <c r="EL9">
        <v>399863.13299999997</v>
      </c>
      <c r="EM9">
        <v>4.3999999999999997E-2</v>
      </c>
      <c r="EO9">
        <v>-8532178.3900000006</v>
      </c>
      <c r="EP9">
        <v>398611.98499999999</v>
      </c>
      <c r="EQ9">
        <v>0.06</v>
      </c>
      <c r="ES9">
        <v>-8532268.8739999998</v>
      </c>
      <c r="ET9">
        <v>396762.65899999999</v>
      </c>
      <c r="EU9">
        <v>5.7000000000000002E-2</v>
      </c>
      <c r="EW9">
        <v>-8532570.6640000008</v>
      </c>
      <c r="EX9">
        <v>397072.13900000002</v>
      </c>
      <c r="EY9">
        <v>0.11600000000000001</v>
      </c>
      <c r="FA9">
        <v>-8528747.5179999992</v>
      </c>
      <c r="FB9">
        <v>395701.49400000001</v>
      </c>
      <c r="FC9">
        <v>5.1999999999999998E-2</v>
      </c>
      <c r="FE9">
        <v>-8533564.0529999994</v>
      </c>
      <c r="FF9">
        <v>394859.31300000002</v>
      </c>
      <c r="FG9">
        <v>0.13300000000000001</v>
      </c>
      <c r="FI9">
        <v>-8532543.0260000005</v>
      </c>
      <c r="FJ9">
        <v>397919.94400000002</v>
      </c>
      <c r="FK9">
        <v>62.817999999999998</v>
      </c>
      <c r="FM9">
        <v>-8529353.5160000008</v>
      </c>
      <c r="FN9">
        <v>393771.05</v>
      </c>
      <c r="FO9">
        <v>67.841999999999999</v>
      </c>
      <c r="FQ9">
        <v>-8533580.1720000003</v>
      </c>
      <c r="FR9">
        <v>396373.68199999997</v>
      </c>
      <c r="FS9">
        <v>145.11099999999999</v>
      </c>
      <c r="FU9">
        <v>-8534430.7249999996</v>
      </c>
      <c r="FV9">
        <v>400066.66600000003</v>
      </c>
      <c r="FW9">
        <v>7.9000000000000001E-2</v>
      </c>
      <c r="FY9">
        <v>-8529231.6940000001</v>
      </c>
      <c r="FZ9">
        <v>396539.16</v>
      </c>
      <c r="GA9">
        <v>5.3999999999999999E-2</v>
      </c>
      <c r="GC9">
        <v>-8530330.4030000009</v>
      </c>
      <c r="GD9">
        <v>396445.99099999998</v>
      </c>
      <c r="GE9">
        <v>19.754999999999999</v>
      </c>
      <c r="GG9">
        <v>-8529736.4489999991</v>
      </c>
      <c r="GH9">
        <v>396397.25300000003</v>
      </c>
      <c r="GI9">
        <v>25.413</v>
      </c>
      <c r="GK9">
        <v>-8532749.7469999995</v>
      </c>
      <c r="GL9">
        <v>397914.08500000002</v>
      </c>
      <c r="GM9">
        <v>0.188</v>
      </c>
      <c r="GO9">
        <v>-8532220.5130000003</v>
      </c>
      <c r="GP9">
        <v>396845.02100000001</v>
      </c>
      <c r="GQ9">
        <v>2.7E-2</v>
      </c>
      <c r="GS9">
        <v>-8530689.8479999993</v>
      </c>
      <c r="GT9">
        <v>397098.60200000001</v>
      </c>
      <c r="GU9">
        <v>6.5000000000000002E-2</v>
      </c>
      <c r="GW9">
        <v>-8531536.4989999998</v>
      </c>
      <c r="GX9">
        <v>398127.625</v>
      </c>
      <c r="GY9">
        <v>39.658999999999999</v>
      </c>
      <c r="HA9">
        <v>-8532282.8709999993</v>
      </c>
      <c r="HB9">
        <v>397655.20699999999</v>
      </c>
      <c r="HC9">
        <v>50.914000000000001</v>
      </c>
      <c r="HE9">
        <v>-8533942.8870000001</v>
      </c>
      <c r="HF9">
        <v>396856.98499999999</v>
      </c>
      <c r="HG9">
        <v>5.3999999999999999E-2</v>
      </c>
      <c r="HI9">
        <v>-8531532.3269999996</v>
      </c>
      <c r="HJ9">
        <v>398131.598</v>
      </c>
      <c r="HK9">
        <v>1.4999999999999999E-2</v>
      </c>
      <c r="HM9">
        <v>-8533008.5810000002</v>
      </c>
      <c r="HN9">
        <v>396790.03600000002</v>
      </c>
      <c r="HO9">
        <v>0.151</v>
      </c>
      <c r="HQ9">
        <v>-8531810.2050000001</v>
      </c>
      <c r="HR9">
        <v>397835.02100000001</v>
      </c>
      <c r="HS9">
        <v>0.02</v>
      </c>
      <c r="HU9">
        <v>-8532262.7809999995</v>
      </c>
      <c r="HV9">
        <v>397161.85600000003</v>
      </c>
      <c r="HW9">
        <v>5.8999999999999997E-2</v>
      </c>
      <c r="HY9">
        <v>-8539752.2410000004</v>
      </c>
      <c r="HZ9">
        <v>398290.19500000001</v>
      </c>
      <c r="IA9">
        <v>8.6999999999999994E-2</v>
      </c>
      <c r="IC9">
        <v>-8532519.7430000007</v>
      </c>
      <c r="ID9">
        <v>397932.15700000001</v>
      </c>
      <c r="IE9">
        <v>9.9000000000000005E-2</v>
      </c>
      <c r="IG9">
        <v>-8531662.1960000005</v>
      </c>
      <c r="IH9">
        <v>397591.55200000003</v>
      </c>
      <c r="II9">
        <v>3.6999999999999998E-2</v>
      </c>
      <c r="IK9">
        <v>-8532884.8210000005</v>
      </c>
      <c r="IL9">
        <v>395556.804</v>
      </c>
      <c r="IM9">
        <v>6.9000000000000006E-2</v>
      </c>
      <c r="IO9">
        <v>-8534803.0730000008</v>
      </c>
      <c r="IP9">
        <v>401545.55599999998</v>
      </c>
      <c r="IQ9">
        <v>0.153</v>
      </c>
    </row>
    <row r="10" spans="1:251" ht="18" customHeight="1" x14ac:dyDescent="0.3">
      <c r="A10" s="73">
        <v>-8532480.5270000007</v>
      </c>
      <c r="B10">
        <v>398194.27399999998</v>
      </c>
      <c r="C10" s="74">
        <v>7.2999999999999995E-2</v>
      </c>
      <c r="E10" s="73">
        <v>-8532659.5079999994</v>
      </c>
      <c r="F10">
        <v>398321.71399999998</v>
      </c>
      <c r="G10" s="74">
        <v>0.115</v>
      </c>
      <c r="I10" s="73">
        <v>-8532759.5669999998</v>
      </c>
      <c r="J10">
        <v>398050.12300000002</v>
      </c>
      <c r="K10" s="74">
        <v>0.13</v>
      </c>
      <c r="M10" s="73">
        <v>-8532756.7489999998</v>
      </c>
      <c r="N10">
        <v>398048.51299999998</v>
      </c>
      <c r="O10" s="74">
        <v>0.14699999999999999</v>
      </c>
      <c r="Q10" s="73">
        <v>-8532562.2660000008</v>
      </c>
      <c r="R10">
        <v>398175.55</v>
      </c>
      <c r="S10" s="74">
        <v>1.4999999999999999E-2</v>
      </c>
      <c r="U10" s="73">
        <v>-8532589.6469999999</v>
      </c>
      <c r="V10">
        <v>398230.96600000001</v>
      </c>
      <c r="W10" s="74">
        <v>4.3999999999999997E-2</v>
      </c>
      <c r="Y10" s="73">
        <v>-8532509.6190000009</v>
      </c>
      <c r="Z10">
        <v>398121.745</v>
      </c>
      <c r="AA10" s="74">
        <v>7.2999999999999995E-2</v>
      </c>
      <c r="AC10" s="73">
        <v>-8532560.5549999997</v>
      </c>
      <c r="AD10">
        <v>398176.10399999999</v>
      </c>
      <c r="AE10" s="74">
        <v>1.6E-2</v>
      </c>
      <c r="AG10" s="73">
        <v>-8532503.3780000005</v>
      </c>
      <c r="AH10">
        <v>398116.20899999997</v>
      </c>
      <c r="AI10" s="74">
        <v>8.4000000000000005E-2</v>
      </c>
      <c r="AK10" s="73">
        <v>-8532541.6300000008</v>
      </c>
      <c r="AL10">
        <v>398154.05900000001</v>
      </c>
      <c r="AM10" s="74">
        <v>2.9000000000000001E-2</v>
      </c>
      <c r="AO10" s="73">
        <v>-8532541.6300000008</v>
      </c>
      <c r="AP10">
        <v>398154.05900000001</v>
      </c>
      <c r="AQ10" s="74">
        <v>2.9000000000000001E-2</v>
      </c>
      <c r="AS10" s="73">
        <v>-8532541.6300000008</v>
      </c>
      <c r="AT10">
        <v>398153.75699999998</v>
      </c>
      <c r="AU10" s="74">
        <v>2.8000000000000001E-2</v>
      </c>
      <c r="AW10" s="73">
        <v>-8532541.6300000008</v>
      </c>
      <c r="AX10">
        <v>398153.75699999998</v>
      </c>
      <c r="AY10" s="74">
        <v>2.8000000000000001E-2</v>
      </c>
      <c r="BA10" s="73">
        <v>-8532541.6300000008</v>
      </c>
      <c r="BB10">
        <v>398153.75699999998</v>
      </c>
      <c r="BC10" s="74">
        <v>2.8000000000000001E-2</v>
      </c>
      <c r="BE10" s="73">
        <v>-8532541.6300000008</v>
      </c>
      <c r="BF10">
        <v>398153.75699999998</v>
      </c>
      <c r="BG10" s="74">
        <v>2.8000000000000001E-2</v>
      </c>
      <c r="BI10" s="73">
        <v>-8532541.6300000008</v>
      </c>
      <c r="BJ10">
        <v>398153.75699999998</v>
      </c>
      <c r="BK10" s="74">
        <v>2.8000000000000001E-2</v>
      </c>
      <c r="BM10" s="73">
        <v>-8532541.6300000008</v>
      </c>
      <c r="BN10">
        <v>398153.75699999998</v>
      </c>
      <c r="BO10" s="74">
        <v>2.8000000000000001E-2</v>
      </c>
      <c r="BQ10" s="73">
        <v>-8532541.6300000008</v>
      </c>
      <c r="BR10">
        <v>398153.75699999998</v>
      </c>
      <c r="BS10" s="74">
        <v>2.8000000000000001E-2</v>
      </c>
      <c r="BU10" s="73">
        <v>-8532541.6300000008</v>
      </c>
      <c r="BV10">
        <v>398153.75699999998</v>
      </c>
      <c r="BW10" s="74">
        <v>2.8000000000000001E-2</v>
      </c>
      <c r="BY10" s="73">
        <v>-8532541.6300000008</v>
      </c>
      <c r="BZ10">
        <v>398153.75699999998</v>
      </c>
      <c r="CA10" s="74">
        <v>2.8000000000000001E-2</v>
      </c>
      <c r="CC10" s="73">
        <v>-8532541.6300000008</v>
      </c>
      <c r="CD10">
        <v>398153.75699999998</v>
      </c>
      <c r="CE10" s="74">
        <v>2.8000000000000001E-2</v>
      </c>
      <c r="CG10" s="73">
        <v>-8532561.4110000003</v>
      </c>
      <c r="CH10">
        <v>398174.141</v>
      </c>
      <c r="CI10" s="74">
        <v>1.4E-2</v>
      </c>
      <c r="CK10" s="73">
        <v>-8532561.4110000003</v>
      </c>
      <c r="CL10">
        <v>398174.141</v>
      </c>
      <c r="CM10" s="74">
        <v>1.4E-2</v>
      </c>
      <c r="CO10" s="73">
        <v>-8532727.9240000006</v>
      </c>
      <c r="CP10">
        <v>398049.22</v>
      </c>
      <c r="CQ10" s="74">
        <v>20.652999999999999</v>
      </c>
      <c r="CS10" s="73">
        <v>-8532727.9240000006</v>
      </c>
      <c r="CT10">
        <v>398049.22</v>
      </c>
      <c r="CU10" s="74">
        <v>20.652999999999999</v>
      </c>
      <c r="CW10" s="73">
        <v>-8532727.9240000006</v>
      </c>
      <c r="CX10">
        <v>398049.22</v>
      </c>
      <c r="CY10" s="74">
        <v>20.652999999999999</v>
      </c>
      <c r="DA10" s="73">
        <v>-8532727.3499999996</v>
      </c>
      <c r="DB10">
        <v>398046.44900000002</v>
      </c>
      <c r="DC10" s="74">
        <v>28.302</v>
      </c>
      <c r="DE10" s="73">
        <v>-8532755.898</v>
      </c>
      <c r="DF10">
        <v>398048.27399999998</v>
      </c>
      <c r="DG10" s="74">
        <v>0.14399999999999999</v>
      </c>
      <c r="DI10" s="73">
        <v>-8532750.0020000003</v>
      </c>
      <c r="DJ10">
        <v>398048.27399999998</v>
      </c>
      <c r="DK10" s="74">
        <v>39.067</v>
      </c>
      <c r="DM10" s="73">
        <v>-8532541.6300000008</v>
      </c>
      <c r="DN10">
        <v>398153.75699999998</v>
      </c>
      <c r="DO10" s="74">
        <v>2.8000000000000001E-2</v>
      </c>
      <c r="DQ10" s="73">
        <v>-8532541.6300000008</v>
      </c>
      <c r="DR10">
        <v>398153.75699999998</v>
      </c>
      <c r="DS10" s="74">
        <v>2.8000000000000001E-2</v>
      </c>
      <c r="DU10" s="73">
        <v>-8532727.9240000006</v>
      </c>
      <c r="DV10">
        <v>398049.22</v>
      </c>
      <c r="DW10" s="74">
        <v>20.652999999999999</v>
      </c>
      <c r="DY10" s="73">
        <v>-8532726.7609999999</v>
      </c>
      <c r="DZ10">
        <v>398049.63500000001</v>
      </c>
      <c r="EA10" s="74">
        <v>2.9000000000000001E-2</v>
      </c>
      <c r="EC10" s="73">
        <v>-8532896.8230000008</v>
      </c>
      <c r="ED10">
        <v>398080.92599999998</v>
      </c>
      <c r="EE10" s="74">
        <v>1.2999999999999999E-2</v>
      </c>
      <c r="EG10" s="73">
        <v>-8539927.8640000001</v>
      </c>
      <c r="EH10">
        <v>396665.55699999997</v>
      </c>
      <c r="EI10" s="74">
        <v>2.8000000000000001E-2</v>
      </c>
      <c r="EK10">
        <v>-8534504.3249999993</v>
      </c>
      <c r="EL10">
        <v>399849.90399999998</v>
      </c>
      <c r="EM10">
        <v>3.3000000000000002E-2</v>
      </c>
      <c r="EO10">
        <v>-8532153.2540000007</v>
      </c>
      <c r="EP10">
        <v>398576.266</v>
      </c>
      <c r="EQ10">
        <v>4.2999999999999997E-2</v>
      </c>
      <c r="ES10">
        <v>-8532258.2899999991</v>
      </c>
      <c r="ET10">
        <v>396789.11800000002</v>
      </c>
      <c r="EU10">
        <v>2.8000000000000001E-2</v>
      </c>
      <c r="EW10">
        <v>-8532655.9920000006</v>
      </c>
      <c r="EX10">
        <v>397191.20199999999</v>
      </c>
      <c r="EY10">
        <v>0.14599999999999999</v>
      </c>
      <c r="FA10">
        <v>-8528709.318</v>
      </c>
      <c r="FB10">
        <v>395710.424</v>
      </c>
      <c r="FC10">
        <v>3.9E-2</v>
      </c>
      <c r="FE10">
        <v>-8533543.2170000002</v>
      </c>
      <c r="FF10">
        <v>394914.37900000002</v>
      </c>
      <c r="FG10">
        <v>5.8000000000000003E-2</v>
      </c>
      <c r="FI10">
        <v>-8532662.0889999997</v>
      </c>
      <c r="FJ10">
        <v>397912.00599999999</v>
      </c>
      <c r="FK10">
        <v>119.093</v>
      </c>
      <c r="FM10">
        <v>-8529383.2809999995</v>
      </c>
      <c r="FN10">
        <v>393798.83100000001</v>
      </c>
      <c r="FO10">
        <v>40.512999999999998</v>
      </c>
      <c r="FQ10">
        <v>-8533288.4690000005</v>
      </c>
      <c r="FR10">
        <v>396378.147</v>
      </c>
      <c r="FS10">
        <v>291.178</v>
      </c>
      <c r="FU10">
        <v>-8534411.7489999998</v>
      </c>
      <c r="FV10">
        <v>399897.00199999998</v>
      </c>
      <c r="FW10">
        <v>0.16900000000000001</v>
      </c>
      <c r="FY10">
        <v>-8529271.3190000001</v>
      </c>
      <c r="FZ10">
        <v>396546.973</v>
      </c>
      <c r="GA10">
        <v>0.04</v>
      </c>
      <c r="GC10">
        <v>-8530358.6569999997</v>
      </c>
      <c r="GD10">
        <v>396489.31400000001</v>
      </c>
      <c r="GE10">
        <v>51.381999999999998</v>
      </c>
      <c r="GG10">
        <v>-8529759.7579999994</v>
      </c>
      <c r="GH10">
        <v>396391.60200000001</v>
      </c>
      <c r="GI10">
        <v>23.93</v>
      </c>
      <c r="GK10">
        <v>-8532729.9690000005</v>
      </c>
      <c r="GL10">
        <v>397987.54599999997</v>
      </c>
      <c r="GM10">
        <v>7.4999999999999997E-2</v>
      </c>
      <c r="GO10">
        <v>-8532243.8230000008</v>
      </c>
      <c r="GP10">
        <v>396909.12300000002</v>
      </c>
      <c r="GQ10">
        <v>6.8000000000000005E-2</v>
      </c>
      <c r="GS10">
        <v>-8530646.0539999995</v>
      </c>
      <c r="GT10">
        <v>397105.66499999998</v>
      </c>
      <c r="GU10">
        <v>4.3999999999999997E-2</v>
      </c>
      <c r="GW10">
        <v>-8531582.5889999997</v>
      </c>
      <c r="GX10">
        <v>398122.85700000002</v>
      </c>
      <c r="GY10">
        <v>46.243000000000002</v>
      </c>
      <c r="HA10">
        <v>-8532261.4149999991</v>
      </c>
      <c r="HB10">
        <v>397696.52899999998</v>
      </c>
      <c r="HC10">
        <v>46.225999999999999</v>
      </c>
      <c r="HE10">
        <v>-8533941.2970000003</v>
      </c>
      <c r="HF10">
        <v>396895.92300000001</v>
      </c>
      <c r="HG10">
        <v>3.9E-2</v>
      </c>
      <c r="HI10">
        <v>-8531584.1779999994</v>
      </c>
      <c r="HJ10">
        <v>398119.67800000001</v>
      </c>
      <c r="HK10">
        <v>5.2999999999999999E-2</v>
      </c>
      <c r="HM10">
        <v>-8533018.1170000006</v>
      </c>
      <c r="HN10">
        <v>396819.83600000001</v>
      </c>
      <c r="HO10">
        <v>3.1E-2</v>
      </c>
      <c r="HQ10">
        <v>-8531836.1300000008</v>
      </c>
      <c r="HR10">
        <v>397818.03499999997</v>
      </c>
      <c r="HS10">
        <v>3.1E-2</v>
      </c>
      <c r="HU10">
        <v>-8532259.2050000001</v>
      </c>
      <c r="HV10">
        <v>397243.20799999998</v>
      </c>
      <c r="HW10">
        <v>8.1000000000000003E-2</v>
      </c>
      <c r="HY10">
        <v>-8539754.9230000004</v>
      </c>
      <c r="HZ10">
        <v>398243.261</v>
      </c>
      <c r="IA10">
        <v>4.7E-2</v>
      </c>
      <c r="IC10">
        <v>-8532570.6999999993</v>
      </c>
      <c r="ID10">
        <v>397918.07699999999</v>
      </c>
      <c r="IE10">
        <v>5.2999999999999999E-2</v>
      </c>
      <c r="IG10">
        <v>-8531650.1270000003</v>
      </c>
      <c r="IH10">
        <v>397621.05300000001</v>
      </c>
      <c r="II10">
        <v>3.2000000000000001E-2</v>
      </c>
      <c r="IK10">
        <v>-8532879.4570000004</v>
      </c>
      <c r="IL10">
        <v>395669.44500000001</v>
      </c>
      <c r="IM10">
        <v>0.112</v>
      </c>
      <c r="IO10">
        <v>-8534777.5940000005</v>
      </c>
      <c r="IP10">
        <v>401541.53399999999</v>
      </c>
      <c r="IQ10">
        <v>2.5999999999999999E-2</v>
      </c>
    </row>
    <row r="11" spans="1:251" ht="18" customHeight="1" x14ac:dyDescent="0.3">
      <c r="A11" s="73">
        <v>-8532455.5629999992</v>
      </c>
      <c r="B11">
        <v>398160.853</v>
      </c>
      <c r="C11" s="74">
        <v>4.2000000000000003E-2</v>
      </c>
      <c r="E11" s="73">
        <v>-8532672.7949999999</v>
      </c>
      <c r="F11">
        <v>398371.44199999998</v>
      </c>
      <c r="G11" s="74">
        <v>5.0999999999999997E-2</v>
      </c>
      <c r="I11" s="73">
        <v>-8532729.7709999997</v>
      </c>
      <c r="J11">
        <v>398049.72100000002</v>
      </c>
      <c r="K11" s="74">
        <v>0.03</v>
      </c>
      <c r="M11" s="73">
        <v>-8532730.1740000006</v>
      </c>
      <c r="N11">
        <v>398050.92800000001</v>
      </c>
      <c r="O11" s="74">
        <v>2.7E-2</v>
      </c>
      <c r="Q11" s="73">
        <v>-8532590.352</v>
      </c>
      <c r="R11">
        <v>398231.31800000003</v>
      </c>
      <c r="S11" s="74">
        <v>6.2E-2</v>
      </c>
      <c r="U11" s="73">
        <v>-8532659.3059999999</v>
      </c>
      <c r="V11">
        <v>398321.16</v>
      </c>
      <c r="W11" s="74">
        <v>0.114</v>
      </c>
      <c r="Y11" s="73">
        <v>-8532462.1060000006</v>
      </c>
      <c r="Z11">
        <v>398066.58199999999</v>
      </c>
      <c r="AA11" s="74">
        <v>7.2999999999999995E-2</v>
      </c>
      <c r="AC11" s="73">
        <v>-8532482.8430000003</v>
      </c>
      <c r="AD11">
        <v>398092.35200000001</v>
      </c>
      <c r="AE11" s="74">
        <v>0.114</v>
      </c>
      <c r="AG11" s="73">
        <v>-8532481.2320000008</v>
      </c>
      <c r="AH11">
        <v>398092.25099999999</v>
      </c>
      <c r="AI11" s="74">
        <v>3.3000000000000002E-2</v>
      </c>
      <c r="AK11" s="73">
        <v>-8532482.4399999995</v>
      </c>
      <c r="AL11">
        <v>398093.45899999997</v>
      </c>
      <c r="AM11" s="74">
        <v>8.5000000000000006E-2</v>
      </c>
      <c r="AO11" s="73">
        <v>-8532482.4399999995</v>
      </c>
      <c r="AP11">
        <v>398093.45899999997</v>
      </c>
      <c r="AQ11" s="74">
        <v>8.5000000000000006E-2</v>
      </c>
      <c r="AS11" s="73">
        <v>-8532507.2029999997</v>
      </c>
      <c r="AT11">
        <v>398120.33600000001</v>
      </c>
      <c r="AU11" s="74">
        <v>4.8000000000000001E-2</v>
      </c>
      <c r="AW11" s="73">
        <v>-8532507.2029999997</v>
      </c>
      <c r="AX11">
        <v>398120.33600000001</v>
      </c>
      <c r="AY11" s="74">
        <v>4.8000000000000001E-2</v>
      </c>
      <c r="BA11" s="73">
        <v>-8532507.2029999997</v>
      </c>
      <c r="BB11">
        <v>398120.33600000001</v>
      </c>
      <c r="BC11" s="74">
        <v>4.8000000000000001E-2</v>
      </c>
      <c r="BE11" s="73">
        <v>-8532507.2029999997</v>
      </c>
      <c r="BF11">
        <v>398120.33600000001</v>
      </c>
      <c r="BG11" s="74">
        <v>4.8000000000000001E-2</v>
      </c>
      <c r="BI11" s="73">
        <v>-8532507.2029999997</v>
      </c>
      <c r="BJ11">
        <v>398120.33600000001</v>
      </c>
      <c r="BK11" s="74">
        <v>4.8000000000000001E-2</v>
      </c>
      <c r="BM11" s="73">
        <v>-8532507.2029999997</v>
      </c>
      <c r="BN11">
        <v>398120.33600000001</v>
      </c>
      <c r="BO11" s="74">
        <v>4.8000000000000001E-2</v>
      </c>
      <c r="BQ11" s="73">
        <v>-8532507.2029999997</v>
      </c>
      <c r="BR11">
        <v>398120.33600000001</v>
      </c>
      <c r="BS11" s="74">
        <v>4.8000000000000001E-2</v>
      </c>
      <c r="BU11" s="73">
        <v>-8532507.2029999997</v>
      </c>
      <c r="BV11">
        <v>398120.33600000001</v>
      </c>
      <c r="BW11" s="74">
        <v>4.8000000000000001E-2</v>
      </c>
      <c r="BY11" s="73">
        <v>-8532507.2029999997</v>
      </c>
      <c r="BZ11">
        <v>398120.33600000001</v>
      </c>
      <c r="CA11" s="74">
        <v>4.8000000000000001E-2</v>
      </c>
      <c r="CC11" s="73">
        <v>-8532507.2029999997</v>
      </c>
      <c r="CD11">
        <v>398120.33600000001</v>
      </c>
      <c r="CE11" s="74">
        <v>4.8000000000000001E-2</v>
      </c>
      <c r="CG11" s="73">
        <v>-8532483.1950000003</v>
      </c>
      <c r="CH11">
        <v>398093.50900000002</v>
      </c>
      <c r="CI11" s="74">
        <v>0.112</v>
      </c>
      <c r="CK11" s="73">
        <v>-8532483.1950000003</v>
      </c>
      <c r="CL11">
        <v>398093.50900000002</v>
      </c>
      <c r="CM11" s="74">
        <v>0.112</v>
      </c>
      <c r="CO11" s="73">
        <v>-8532733.2750000004</v>
      </c>
      <c r="CP11">
        <v>398037.75400000002</v>
      </c>
      <c r="CQ11" s="74">
        <v>12.653</v>
      </c>
      <c r="CS11" s="73">
        <v>-8532733.2750000004</v>
      </c>
      <c r="CT11">
        <v>398037.75400000002</v>
      </c>
      <c r="CU11" s="74">
        <v>12.653</v>
      </c>
      <c r="CW11" s="73">
        <v>-8532733.2750000004</v>
      </c>
      <c r="CX11">
        <v>398037.75400000002</v>
      </c>
      <c r="CY11" s="74">
        <v>12.653</v>
      </c>
      <c r="DA11" s="73">
        <v>-8532730.7899999991</v>
      </c>
      <c r="DB11">
        <v>398040.14299999998</v>
      </c>
      <c r="DC11" s="74">
        <v>7.1840000000000002</v>
      </c>
      <c r="DE11" s="73">
        <v>-8532727.3269999996</v>
      </c>
      <c r="DF11">
        <v>398049.18099999998</v>
      </c>
      <c r="DG11" s="74">
        <v>2.9000000000000001E-2</v>
      </c>
      <c r="DI11" s="73">
        <v>-8532724.6060000006</v>
      </c>
      <c r="DJ11">
        <v>398048.27399999998</v>
      </c>
      <c r="DK11" s="74">
        <v>25.396000000000001</v>
      </c>
      <c r="DM11" s="73">
        <v>-8532507.2029999997</v>
      </c>
      <c r="DN11">
        <v>398120.33600000001</v>
      </c>
      <c r="DO11" s="74">
        <v>4.8000000000000001E-2</v>
      </c>
      <c r="DQ11" s="73">
        <v>-8532507.2029999997</v>
      </c>
      <c r="DR11">
        <v>398120.33600000001</v>
      </c>
      <c r="DS11" s="74">
        <v>4.8000000000000001E-2</v>
      </c>
      <c r="DU11" s="73">
        <v>-8532733.2750000004</v>
      </c>
      <c r="DV11">
        <v>398037.75400000002</v>
      </c>
      <c r="DW11" s="74">
        <v>12.653</v>
      </c>
      <c r="DY11" s="73">
        <v>-8532731.7489999998</v>
      </c>
      <c r="DZ11">
        <v>398040.565</v>
      </c>
      <c r="EA11" s="74">
        <v>0.01</v>
      </c>
      <c r="EC11" s="73">
        <v>-8532780.273</v>
      </c>
      <c r="ED11">
        <v>398052.80900000001</v>
      </c>
      <c r="EE11" s="74">
        <v>0.12</v>
      </c>
      <c r="EG11" s="73">
        <v>-8539920.6079999991</v>
      </c>
      <c r="EH11">
        <v>396683.69699999999</v>
      </c>
      <c r="EI11" s="74">
        <v>0.02</v>
      </c>
      <c r="EK11">
        <v>-8534440.8249999993</v>
      </c>
      <c r="EL11">
        <v>399745.83399999997</v>
      </c>
      <c r="EM11">
        <v>0.121</v>
      </c>
      <c r="EO11">
        <v>-8532104.3059999999</v>
      </c>
      <c r="EP11">
        <v>398539.22399999999</v>
      </c>
      <c r="EQ11">
        <v>6.0999999999999999E-2</v>
      </c>
      <c r="ES11">
        <v>-8532219.9260000009</v>
      </c>
      <c r="ET11">
        <v>396823.51299999998</v>
      </c>
      <c r="EU11">
        <v>5.0999999999999997E-2</v>
      </c>
      <c r="EW11">
        <v>-8532711.5549999997</v>
      </c>
      <c r="EX11">
        <v>397230.88900000002</v>
      </c>
      <c r="EY11">
        <v>6.8000000000000005E-2</v>
      </c>
      <c r="FA11">
        <v>-8528681.0409999993</v>
      </c>
      <c r="FB11">
        <v>395708.43900000001</v>
      </c>
      <c r="FC11">
        <v>2.8000000000000001E-2</v>
      </c>
      <c r="FE11">
        <v>-8533543.2170000002</v>
      </c>
      <c r="FF11">
        <v>394938.19199999998</v>
      </c>
      <c r="FG11">
        <v>2.4E-2</v>
      </c>
      <c r="FI11">
        <v>-8532749.4010000005</v>
      </c>
      <c r="FJ11">
        <v>397913.99099999998</v>
      </c>
      <c r="FK11">
        <v>87.165999999999997</v>
      </c>
      <c r="FM11">
        <v>-8529365.4220000003</v>
      </c>
      <c r="FN11">
        <v>393814.70600000001</v>
      </c>
      <c r="FO11">
        <v>23.78</v>
      </c>
      <c r="FQ11">
        <v>-8533230.4260000009</v>
      </c>
      <c r="FR11">
        <v>396381.12300000002</v>
      </c>
      <c r="FS11">
        <v>58.006999999999998</v>
      </c>
      <c r="FU11">
        <v>-8534402.8200000003</v>
      </c>
      <c r="FV11">
        <v>399798.77500000002</v>
      </c>
      <c r="FW11">
        <v>9.8000000000000004E-2</v>
      </c>
      <c r="FY11">
        <v>-8529301.4570000004</v>
      </c>
      <c r="FZ11">
        <v>396510.13799999998</v>
      </c>
      <c r="GA11">
        <v>4.7E-2</v>
      </c>
      <c r="GC11">
        <v>-8530385.9690000005</v>
      </c>
      <c r="GD11">
        <v>396517.56800000003</v>
      </c>
      <c r="GE11">
        <v>39.087000000000003</v>
      </c>
      <c r="GG11">
        <v>-8529797.4299999997</v>
      </c>
      <c r="GH11">
        <v>396409.49599999998</v>
      </c>
      <c r="GI11">
        <v>41.575000000000003</v>
      </c>
      <c r="GK11">
        <v>-8532708.7789999992</v>
      </c>
      <c r="GL11">
        <v>398029.22100000002</v>
      </c>
      <c r="GM11">
        <v>4.5999999999999999E-2</v>
      </c>
      <c r="GO11">
        <v>-8532251.7689999994</v>
      </c>
      <c r="GP11">
        <v>396992.29599999997</v>
      </c>
      <c r="GQ11">
        <v>8.3000000000000004E-2</v>
      </c>
      <c r="GS11">
        <v>-8530619.2119999994</v>
      </c>
      <c r="GT11">
        <v>397081.64899999998</v>
      </c>
      <c r="GU11">
        <v>3.5999999999999997E-2</v>
      </c>
      <c r="GW11">
        <v>-8531603.2489999998</v>
      </c>
      <c r="GX11">
        <v>398070.41</v>
      </c>
      <c r="GY11">
        <v>55.936</v>
      </c>
      <c r="HA11">
        <v>-8532272.5399999991</v>
      </c>
      <c r="HB11">
        <v>397759.30599999998</v>
      </c>
      <c r="HC11">
        <v>63.220999999999997</v>
      </c>
      <c r="HE11">
        <v>-8533901.5649999995</v>
      </c>
      <c r="HF11">
        <v>396914.99400000001</v>
      </c>
      <c r="HG11">
        <v>4.3999999999999997E-2</v>
      </c>
      <c r="HI11">
        <v>-8531606.2290000003</v>
      </c>
      <c r="HJ11">
        <v>398057.696</v>
      </c>
      <c r="HK11">
        <v>6.5000000000000002E-2</v>
      </c>
      <c r="HM11">
        <v>-8532977.5899999999</v>
      </c>
      <c r="HN11">
        <v>396880.62599999999</v>
      </c>
      <c r="HO11">
        <v>7.2999999999999995E-2</v>
      </c>
      <c r="HQ11">
        <v>-8531858.0329999998</v>
      </c>
      <c r="HR11">
        <v>397802.83799999999</v>
      </c>
      <c r="HS11">
        <v>2.7E-2</v>
      </c>
      <c r="HU11">
        <v>-8532207.3540000003</v>
      </c>
      <c r="HV11">
        <v>397264.217</v>
      </c>
      <c r="HW11">
        <v>5.6000000000000001E-2</v>
      </c>
      <c r="HY11">
        <v>-8539726.7630000003</v>
      </c>
      <c r="HZ11">
        <v>398174.87199999997</v>
      </c>
      <c r="IA11">
        <v>7.2999999999999995E-2</v>
      </c>
      <c r="IC11">
        <v>-8532719.5470000003</v>
      </c>
      <c r="ID11">
        <v>397903.326</v>
      </c>
      <c r="IE11">
        <v>0.14899999999999999</v>
      </c>
      <c r="IG11">
        <v>-8531666.2190000005</v>
      </c>
      <c r="IH11">
        <v>397662.62300000002</v>
      </c>
      <c r="II11">
        <v>4.3999999999999997E-2</v>
      </c>
      <c r="IK11">
        <v>-8532880.7980000004</v>
      </c>
      <c r="IL11">
        <v>395775.38199999998</v>
      </c>
      <c r="IM11">
        <v>0.105</v>
      </c>
      <c r="IO11">
        <v>-8534762.8440000005</v>
      </c>
      <c r="IP11">
        <v>401499.96399999998</v>
      </c>
      <c r="IQ11">
        <v>4.3999999999999997E-2</v>
      </c>
    </row>
    <row r="12" spans="1:251" ht="18.75" customHeight="1" thickBot="1" x14ac:dyDescent="0.35">
      <c r="A12" s="75">
        <v>-8532411.6730000004</v>
      </c>
      <c r="B12" s="76">
        <v>398173.73800000001</v>
      </c>
      <c r="C12" s="77"/>
      <c r="E12" s="73">
        <v>-8532700.5779999997</v>
      </c>
      <c r="F12">
        <v>398414.12300000002</v>
      </c>
      <c r="G12" s="74">
        <v>5.0999999999999997E-2</v>
      </c>
      <c r="I12" s="73">
        <v>-8532727.3550000004</v>
      </c>
      <c r="J12">
        <v>398045.69400000002</v>
      </c>
      <c r="K12" s="74">
        <v>5.0000000000000001E-3</v>
      </c>
      <c r="M12" s="73">
        <v>-8532727.7579999994</v>
      </c>
      <c r="N12">
        <v>398044.88900000002</v>
      </c>
      <c r="O12" s="74">
        <v>7.0000000000000001E-3</v>
      </c>
      <c r="Q12" s="73">
        <v>-8532659.2060000002</v>
      </c>
      <c r="R12">
        <v>398322.51899999997</v>
      </c>
      <c r="S12" s="74">
        <v>0.114</v>
      </c>
      <c r="U12" s="73">
        <v>-8532674.4059999995</v>
      </c>
      <c r="V12">
        <v>398373.908</v>
      </c>
      <c r="W12" s="74">
        <v>5.5E-2</v>
      </c>
      <c r="Y12" s="73">
        <v>-8532450.4289999995</v>
      </c>
      <c r="Z12">
        <v>398030.34299999999</v>
      </c>
      <c r="AA12" s="74">
        <v>3.7999999999999999E-2</v>
      </c>
      <c r="AC12" s="73">
        <v>-8532462.307</v>
      </c>
      <c r="AD12">
        <v>398067.38699999999</v>
      </c>
      <c r="AE12" s="74">
        <v>3.2000000000000001E-2</v>
      </c>
      <c r="AG12" s="73">
        <v>-8532462.5089999996</v>
      </c>
      <c r="AH12">
        <v>398066.48100000003</v>
      </c>
      <c r="AI12" s="74">
        <v>3.2000000000000001E-2</v>
      </c>
      <c r="AK12" s="73">
        <v>-8532462.307</v>
      </c>
      <c r="AL12">
        <v>398066.07799999998</v>
      </c>
      <c r="AM12" s="74">
        <v>3.4000000000000002E-2</v>
      </c>
      <c r="AO12" s="73">
        <v>-8532462.307</v>
      </c>
      <c r="AP12">
        <v>398066.07799999998</v>
      </c>
      <c r="AQ12" s="74">
        <v>3.4000000000000002E-2</v>
      </c>
      <c r="AS12" s="73">
        <v>-8532461.7029999997</v>
      </c>
      <c r="AT12">
        <v>398067.58799999999</v>
      </c>
      <c r="AU12" s="74">
        <v>7.0000000000000007E-2</v>
      </c>
      <c r="AW12" s="73">
        <v>-8532461.7029999997</v>
      </c>
      <c r="AX12">
        <v>398067.58799999999</v>
      </c>
      <c r="AY12" s="74">
        <v>7.0000000000000007E-2</v>
      </c>
      <c r="BA12" s="73">
        <v>-8532461.7029999997</v>
      </c>
      <c r="BB12">
        <v>398067.58799999999</v>
      </c>
      <c r="BC12" s="74">
        <v>7.0000000000000007E-2</v>
      </c>
      <c r="BE12" s="73">
        <v>-8532461.7029999997</v>
      </c>
      <c r="BF12">
        <v>398067.58799999999</v>
      </c>
      <c r="BG12" s="74">
        <v>7.0000000000000007E-2</v>
      </c>
      <c r="BI12" s="73">
        <v>-8532461.7029999997</v>
      </c>
      <c r="BJ12">
        <v>398067.58799999999</v>
      </c>
      <c r="BK12" s="74">
        <v>7.0000000000000007E-2</v>
      </c>
      <c r="BM12" s="73">
        <v>-8532461.7029999997</v>
      </c>
      <c r="BN12">
        <v>398067.58799999999</v>
      </c>
      <c r="BO12" s="74">
        <v>7.0000000000000007E-2</v>
      </c>
      <c r="BQ12" s="73">
        <v>-8532461.7029999997</v>
      </c>
      <c r="BR12">
        <v>398067.58799999999</v>
      </c>
      <c r="BS12" s="74">
        <v>7.0000000000000007E-2</v>
      </c>
      <c r="BU12" s="73">
        <v>-8532461.7029999997</v>
      </c>
      <c r="BV12">
        <v>398067.58799999999</v>
      </c>
      <c r="BW12" s="74">
        <v>7.0000000000000007E-2</v>
      </c>
      <c r="BY12" s="73">
        <v>-8532461.7029999997</v>
      </c>
      <c r="BZ12">
        <v>398067.58799999999</v>
      </c>
      <c r="CA12" s="74">
        <v>7.0000000000000007E-2</v>
      </c>
      <c r="CC12" s="73">
        <v>-8532461.7029999997</v>
      </c>
      <c r="CD12">
        <v>398067.58799999999</v>
      </c>
      <c r="CE12" s="74">
        <v>7.0000000000000007E-2</v>
      </c>
      <c r="CG12" s="73">
        <v>-8532460.2440000009</v>
      </c>
      <c r="CH12">
        <v>398064.51799999998</v>
      </c>
      <c r="CI12" s="74">
        <v>3.6999999999999998E-2</v>
      </c>
      <c r="CK12" s="73">
        <v>-8532460.2440000009</v>
      </c>
      <c r="CL12">
        <v>398064.51799999998</v>
      </c>
      <c r="CM12" s="74">
        <v>3.6999999999999998E-2</v>
      </c>
      <c r="CO12" s="73">
        <v>-8532731.7459999993</v>
      </c>
      <c r="CP12">
        <v>398026.288</v>
      </c>
      <c r="CQ12" s="74">
        <v>11.568</v>
      </c>
      <c r="CS12" s="73">
        <v>-8532731.7459999993</v>
      </c>
      <c r="CT12">
        <v>398026.288</v>
      </c>
      <c r="CU12" s="74">
        <v>11.568</v>
      </c>
      <c r="CW12" s="73">
        <v>-8532731.7459999993</v>
      </c>
      <c r="CX12">
        <v>398026.288</v>
      </c>
      <c r="CY12" s="74">
        <v>11.568</v>
      </c>
      <c r="DA12" s="73">
        <v>-8532733.0830000006</v>
      </c>
      <c r="DB12">
        <v>398025.23700000002</v>
      </c>
      <c r="DC12" s="74">
        <v>15.081</v>
      </c>
      <c r="DE12" s="73">
        <v>-8532731.8619999997</v>
      </c>
      <c r="DF12">
        <v>398040.11099999998</v>
      </c>
      <c r="DG12" s="74">
        <v>0.01</v>
      </c>
      <c r="DI12" s="73">
        <v>-8532731.409</v>
      </c>
      <c r="DJ12">
        <v>398039.658</v>
      </c>
      <c r="DK12" s="74">
        <v>10.978</v>
      </c>
      <c r="DM12" s="73">
        <v>-8532461.7029999997</v>
      </c>
      <c r="DN12">
        <v>398067.58799999999</v>
      </c>
      <c r="DO12" s="74">
        <v>7.0000000000000007E-2</v>
      </c>
      <c r="DQ12" s="73">
        <v>-8532461.7029999997</v>
      </c>
      <c r="DR12">
        <v>398067.58799999999</v>
      </c>
      <c r="DS12" s="74">
        <v>7.0000000000000007E-2</v>
      </c>
      <c r="DU12" s="73">
        <v>-8532731.7459999993</v>
      </c>
      <c r="DV12">
        <v>398026.288</v>
      </c>
      <c r="DW12" s="74">
        <v>11.568</v>
      </c>
      <c r="DY12" s="73">
        <v>-8532733.5629999992</v>
      </c>
      <c r="DZ12">
        <v>398027.86700000003</v>
      </c>
      <c r="EA12" s="74">
        <v>1.2999999999999999E-2</v>
      </c>
      <c r="EC12" s="73">
        <v>-8532753.0639999993</v>
      </c>
      <c r="ED12">
        <v>398048.728</v>
      </c>
      <c r="EE12" s="74">
        <v>2.8000000000000001E-2</v>
      </c>
      <c r="EG12" s="73">
        <v>-8539881.6070000008</v>
      </c>
      <c r="EH12">
        <v>396725.41899999999</v>
      </c>
      <c r="EI12" s="74">
        <v>5.7000000000000002E-2</v>
      </c>
      <c r="EK12">
        <v>-8534404.6649999991</v>
      </c>
      <c r="EL12">
        <v>399684.98</v>
      </c>
      <c r="EM12">
        <v>7.0000000000000007E-2</v>
      </c>
      <c r="EO12">
        <v>-8532101.6600000001</v>
      </c>
      <c r="EP12">
        <v>398458.52600000001</v>
      </c>
      <c r="EQ12">
        <v>0.08</v>
      </c>
      <c r="ES12">
        <v>-8532247.7070000004</v>
      </c>
      <c r="ET12">
        <v>396953.15899999999</v>
      </c>
      <c r="EU12">
        <v>0.13100000000000001</v>
      </c>
      <c r="EW12">
        <v>-8532710.5629999992</v>
      </c>
      <c r="EX12">
        <v>397266.60800000001</v>
      </c>
      <c r="EY12">
        <v>3.5000000000000003E-2</v>
      </c>
      <c r="FA12">
        <v>-8528662.6860000007</v>
      </c>
      <c r="FB12">
        <v>395717.245</v>
      </c>
      <c r="FC12">
        <v>0.02</v>
      </c>
      <c r="FE12">
        <v>-8533595.307</v>
      </c>
      <c r="FF12">
        <v>395003.67599999998</v>
      </c>
      <c r="FG12">
        <v>8.3000000000000004E-2</v>
      </c>
      <c r="FI12">
        <v>-8532747.9130000006</v>
      </c>
      <c r="FJ12">
        <v>397927.38500000001</v>
      </c>
      <c r="FK12">
        <v>13.362</v>
      </c>
      <c r="FM12">
        <v>-8529295.9690000005</v>
      </c>
      <c r="FN12">
        <v>393814.70600000001</v>
      </c>
      <c r="FO12">
        <v>69.322000000000003</v>
      </c>
      <c r="FQ12">
        <v>-8533167.9179999996</v>
      </c>
      <c r="FR12">
        <v>396349.86900000001</v>
      </c>
      <c r="FS12">
        <v>69.659000000000006</v>
      </c>
      <c r="FU12">
        <v>-8534426.2599999998</v>
      </c>
      <c r="FV12">
        <v>399716.17499999999</v>
      </c>
      <c r="FW12">
        <v>8.5000000000000006E-2</v>
      </c>
      <c r="FY12">
        <v>-8529319.8739999998</v>
      </c>
      <c r="FZ12">
        <v>396481.67499999999</v>
      </c>
      <c r="GA12">
        <v>3.4000000000000002E-2</v>
      </c>
      <c r="GC12">
        <v>-8530396.8000000007</v>
      </c>
      <c r="GD12">
        <v>396591.02899999998</v>
      </c>
      <c r="GE12">
        <v>73.629000000000005</v>
      </c>
      <c r="GG12">
        <v>-8529815.3249999993</v>
      </c>
      <c r="GH12">
        <v>396418.44300000003</v>
      </c>
      <c r="GI12">
        <v>19.942</v>
      </c>
      <c r="GK12">
        <v>-8532684.7630000003</v>
      </c>
      <c r="GL12">
        <v>398026.39500000002</v>
      </c>
      <c r="GM12">
        <v>2.4E-2</v>
      </c>
      <c r="GO12">
        <v>-8532281.4360000007</v>
      </c>
      <c r="GP12">
        <v>397072.82</v>
      </c>
      <c r="GQ12">
        <v>8.5000000000000006E-2</v>
      </c>
      <c r="GS12">
        <v>-8530619.2119999994</v>
      </c>
      <c r="GT12">
        <v>397052.68900000001</v>
      </c>
      <c r="GU12">
        <v>2.9000000000000001E-2</v>
      </c>
      <c r="GW12">
        <v>-8531627.0889999997</v>
      </c>
      <c r="GX12">
        <v>397955.98100000003</v>
      </c>
      <c r="GY12">
        <v>115.91500000000001</v>
      </c>
      <c r="HA12">
        <v>-8532264.5940000005</v>
      </c>
      <c r="HB12">
        <v>397830.03</v>
      </c>
      <c r="HC12">
        <v>70.563999999999993</v>
      </c>
      <c r="HE12">
        <v>-8533847.5289999992</v>
      </c>
      <c r="HF12">
        <v>396907.84299999999</v>
      </c>
      <c r="HG12">
        <v>5.3999999999999999E-2</v>
      </c>
      <c r="HI12">
        <v>-8531614.5730000008</v>
      </c>
      <c r="HJ12">
        <v>398010.61300000001</v>
      </c>
      <c r="HK12">
        <v>4.7E-2</v>
      </c>
      <c r="HM12">
        <v>-8532976.398</v>
      </c>
      <c r="HN12">
        <v>396935.45699999999</v>
      </c>
      <c r="HO12">
        <v>5.3999999999999999E-2</v>
      </c>
      <c r="HQ12">
        <v>-8531924.1870000008</v>
      </c>
      <c r="HR12">
        <v>397814.45899999997</v>
      </c>
      <c r="HS12">
        <v>6.7000000000000004E-2</v>
      </c>
      <c r="HU12">
        <v>-8532198.4149999991</v>
      </c>
      <c r="HV12">
        <v>397274.05</v>
      </c>
      <c r="HW12">
        <v>1.2999999999999999E-2</v>
      </c>
      <c r="HY12">
        <v>-8539801.8570000008</v>
      </c>
      <c r="HZ12">
        <v>397987.13699999999</v>
      </c>
      <c r="IA12">
        <v>0.20100000000000001</v>
      </c>
      <c r="IC12">
        <v>-8532747.7080000006</v>
      </c>
      <c r="ID12">
        <v>397912.71299999999</v>
      </c>
      <c r="IE12">
        <v>0.03</v>
      </c>
      <c r="IG12">
        <v>-8531689.0150000006</v>
      </c>
      <c r="IH12">
        <v>397677.37400000001</v>
      </c>
      <c r="II12">
        <v>2.7E-2</v>
      </c>
      <c r="IK12">
        <v>-8532896.8900000006</v>
      </c>
      <c r="IL12">
        <v>395870.59</v>
      </c>
      <c r="IM12">
        <v>9.6000000000000002E-2</v>
      </c>
      <c r="IO12">
        <v>-8534722.6150000002</v>
      </c>
      <c r="IP12">
        <v>401459.73499999999</v>
      </c>
      <c r="IQ12">
        <v>5.7000000000000002E-2</v>
      </c>
    </row>
    <row r="13" spans="1:251" ht="18" customHeight="1" x14ac:dyDescent="0.3">
      <c r="C13">
        <f>SUM(C3:C12)</f>
        <v>0.42800000000000005</v>
      </c>
      <c r="E13" s="73">
        <v>-8532713.8660000004</v>
      </c>
      <c r="F13">
        <v>398421.37099999998</v>
      </c>
      <c r="G13" s="74">
        <v>1.4999999999999999E-2</v>
      </c>
      <c r="I13" s="73">
        <v>-8532732.9920000006</v>
      </c>
      <c r="J13">
        <v>398040.05699999997</v>
      </c>
      <c r="K13" s="74">
        <v>8.0000000000000002E-3</v>
      </c>
      <c r="M13" s="73">
        <v>-8532731.784</v>
      </c>
      <c r="N13">
        <v>398041.66700000002</v>
      </c>
      <c r="O13" s="74">
        <v>5.0000000000000001E-3</v>
      </c>
      <c r="Q13" s="73">
        <v>-8532672.091</v>
      </c>
      <c r="R13">
        <v>398373.25400000002</v>
      </c>
      <c r="S13" s="74">
        <v>5.1999999999999998E-2</v>
      </c>
      <c r="U13" s="73">
        <v>-8532701.2829999998</v>
      </c>
      <c r="V13">
        <v>398416.89199999999</v>
      </c>
      <c r="W13" s="74">
        <v>5.0999999999999997E-2</v>
      </c>
      <c r="Y13" s="73">
        <v>-8532431.5040000007</v>
      </c>
      <c r="Z13">
        <v>397979.60800000001</v>
      </c>
      <c r="AA13" s="74">
        <v>5.3999999999999999E-2</v>
      </c>
      <c r="AC13" s="73">
        <v>-8532451.0329999998</v>
      </c>
      <c r="AD13">
        <v>398031.14799999999</v>
      </c>
      <c r="AE13" s="74">
        <v>3.7999999999999999E-2</v>
      </c>
      <c r="AG13" s="73">
        <v>-8532451.2339999992</v>
      </c>
      <c r="AH13">
        <v>398031.24900000001</v>
      </c>
      <c r="AI13" s="74">
        <v>3.6999999999999998E-2</v>
      </c>
      <c r="AK13" s="73">
        <v>-8532443.1809999999</v>
      </c>
      <c r="AL13">
        <v>398008.7</v>
      </c>
      <c r="AM13" s="74">
        <v>0.06</v>
      </c>
      <c r="AO13" s="73">
        <v>-8532443.1809999999</v>
      </c>
      <c r="AP13">
        <v>398008.7</v>
      </c>
      <c r="AQ13" s="74">
        <v>0.06</v>
      </c>
      <c r="AS13" s="73">
        <v>-8532448.818</v>
      </c>
      <c r="AT13">
        <v>398030.54399999999</v>
      </c>
      <c r="AU13" s="74">
        <v>3.9E-2</v>
      </c>
      <c r="AW13" s="73">
        <v>-8532448.818</v>
      </c>
      <c r="AX13">
        <v>398030.54399999999</v>
      </c>
      <c r="AY13" s="74">
        <v>3.9E-2</v>
      </c>
      <c r="BA13" s="73">
        <v>-8532448.818</v>
      </c>
      <c r="BB13">
        <v>398030.54399999999</v>
      </c>
      <c r="BC13" s="74">
        <v>3.9E-2</v>
      </c>
      <c r="BE13" s="73">
        <v>-8532448.818</v>
      </c>
      <c r="BF13">
        <v>398030.54399999999</v>
      </c>
      <c r="BG13" s="74">
        <v>3.9E-2</v>
      </c>
      <c r="BI13" s="73">
        <v>-8532448.818</v>
      </c>
      <c r="BJ13">
        <v>398030.54399999999</v>
      </c>
      <c r="BK13" s="74">
        <v>3.9E-2</v>
      </c>
      <c r="BM13" s="73">
        <v>-8532448.818</v>
      </c>
      <c r="BN13">
        <v>398030.54399999999</v>
      </c>
      <c r="BO13" s="74">
        <v>3.9E-2</v>
      </c>
      <c r="BQ13" s="73">
        <v>-8532448.818</v>
      </c>
      <c r="BR13">
        <v>398030.54399999999</v>
      </c>
      <c r="BS13" s="74">
        <v>3.9E-2</v>
      </c>
      <c r="BU13" s="73">
        <v>-8532448.818</v>
      </c>
      <c r="BV13">
        <v>398030.54399999999</v>
      </c>
      <c r="BW13" s="74">
        <v>3.9E-2</v>
      </c>
      <c r="BY13" s="73">
        <v>-8532448.818</v>
      </c>
      <c r="BZ13">
        <v>398030.54399999999</v>
      </c>
      <c r="CA13" s="74">
        <v>3.9E-2</v>
      </c>
      <c r="CC13" s="73">
        <v>-8532448.818</v>
      </c>
      <c r="CD13">
        <v>398030.54399999999</v>
      </c>
      <c r="CE13" s="74">
        <v>3.9E-2</v>
      </c>
      <c r="CG13" s="73">
        <v>-8532449.3719999995</v>
      </c>
      <c r="CH13">
        <v>398032.50699999998</v>
      </c>
      <c r="CI13" s="74">
        <v>3.4000000000000002E-2</v>
      </c>
      <c r="CK13" s="73">
        <v>-8532449.3719999995</v>
      </c>
      <c r="CL13">
        <v>398032.50699999998</v>
      </c>
      <c r="CM13" s="74">
        <v>3.4000000000000002E-2</v>
      </c>
      <c r="CO13" s="73">
        <v>-8532753.9140000008</v>
      </c>
      <c r="CP13">
        <v>398012.52799999999</v>
      </c>
      <c r="CQ13" s="74">
        <v>26.091000000000001</v>
      </c>
      <c r="CS13" s="73">
        <v>-8532753.9140000008</v>
      </c>
      <c r="CT13">
        <v>398012.52799999999</v>
      </c>
      <c r="CU13" s="74">
        <v>26.091000000000001</v>
      </c>
      <c r="CW13" s="73">
        <v>-8532753.9140000008</v>
      </c>
      <c r="CX13">
        <v>398012.52799999999</v>
      </c>
      <c r="CY13" s="74">
        <v>26.091000000000001</v>
      </c>
      <c r="DA13" s="73">
        <v>-8532752.0030000005</v>
      </c>
      <c r="DB13">
        <v>398017.21</v>
      </c>
      <c r="DC13" s="74">
        <v>20.550999999999998</v>
      </c>
      <c r="DE13" s="73">
        <v>-8532733.6760000009</v>
      </c>
      <c r="DF13">
        <v>398027.86700000003</v>
      </c>
      <c r="DG13" s="74">
        <v>1.2E-2</v>
      </c>
      <c r="DI13" s="73">
        <v>-8532732.3159999996</v>
      </c>
      <c r="DJ13">
        <v>398028.32</v>
      </c>
      <c r="DK13" s="74">
        <v>11.374000000000001</v>
      </c>
      <c r="DM13" s="73">
        <v>-8532448.818</v>
      </c>
      <c r="DN13">
        <v>398030.54399999999</v>
      </c>
      <c r="DO13" s="74">
        <v>3.9E-2</v>
      </c>
      <c r="DQ13" s="73">
        <v>-8532448.818</v>
      </c>
      <c r="DR13">
        <v>398030.54399999999</v>
      </c>
      <c r="DS13" s="74">
        <v>3.9E-2</v>
      </c>
      <c r="DU13" s="73">
        <v>-8532753.9140000008</v>
      </c>
      <c r="DV13">
        <v>398012.52799999999</v>
      </c>
      <c r="DW13" s="74">
        <v>26.091000000000001</v>
      </c>
      <c r="DY13" s="73">
        <v>-8532752.6099999994</v>
      </c>
      <c r="DZ13">
        <v>398009.72700000001</v>
      </c>
      <c r="EA13" s="74">
        <v>2.5999999999999999E-2</v>
      </c>
      <c r="EC13" s="73">
        <v>-8532726.7609999999</v>
      </c>
      <c r="ED13">
        <v>398050.08799999999</v>
      </c>
      <c r="EE13" s="74">
        <v>2.5999999999999999E-2</v>
      </c>
      <c r="EG13" s="73">
        <v>-8539886.1420000009</v>
      </c>
      <c r="EH13">
        <v>396751.72200000001</v>
      </c>
      <c r="EI13" s="74">
        <v>2.7E-2</v>
      </c>
      <c r="EK13">
        <v>-8534358.8039999995</v>
      </c>
      <c r="EL13">
        <v>399612.66100000002</v>
      </c>
      <c r="EM13">
        <v>8.5000000000000006E-2</v>
      </c>
      <c r="EO13">
        <v>-8532090.4159999993</v>
      </c>
      <c r="EP13">
        <v>398417.516</v>
      </c>
      <c r="EQ13">
        <v>4.2000000000000003E-2</v>
      </c>
      <c r="ES13">
        <v>-8532409.1030000001</v>
      </c>
      <c r="ET13">
        <v>396951.83600000001</v>
      </c>
      <c r="EU13">
        <v>0.161</v>
      </c>
      <c r="EW13">
        <v>-8532687.7420000006</v>
      </c>
      <c r="EX13">
        <v>397294.38900000002</v>
      </c>
      <c r="EY13">
        <v>3.5999999999999997E-2</v>
      </c>
      <c r="FA13">
        <v>-8528662.9340000004</v>
      </c>
      <c r="FB13">
        <v>395753.212</v>
      </c>
      <c r="FC13">
        <v>3.5999999999999997E-2</v>
      </c>
      <c r="FE13">
        <v>-8533686.0920000002</v>
      </c>
      <c r="FF13">
        <v>394997.723</v>
      </c>
      <c r="FG13">
        <v>9.0999999999999998E-2</v>
      </c>
      <c r="FI13">
        <v>-8532734.5179999992</v>
      </c>
      <c r="FJ13">
        <v>397952.19</v>
      </c>
      <c r="FK13">
        <v>27.991</v>
      </c>
      <c r="FM13">
        <v>-8529282.0779999997</v>
      </c>
      <c r="FN13">
        <v>393842.48700000002</v>
      </c>
      <c r="FO13">
        <v>30.835999999999999</v>
      </c>
      <c r="FQ13">
        <v>-8533135.1760000009</v>
      </c>
      <c r="FR13">
        <v>396348.38099999999</v>
      </c>
      <c r="FS13">
        <v>32.713000000000001</v>
      </c>
      <c r="FU13">
        <v>-8534389.9829999991</v>
      </c>
      <c r="FV13">
        <v>399649.20299999998</v>
      </c>
      <c r="FW13">
        <v>7.5999999999999998E-2</v>
      </c>
      <c r="FY13">
        <v>-8529360.0580000002</v>
      </c>
      <c r="FZ13">
        <v>396485.02399999998</v>
      </c>
      <c r="GA13">
        <v>0.04</v>
      </c>
      <c r="GC13">
        <v>-8530431.6459999997</v>
      </c>
      <c r="GD13">
        <v>396627.75900000002</v>
      </c>
      <c r="GE13">
        <v>50.356000000000002</v>
      </c>
      <c r="GG13">
        <v>-8529852.0549999997</v>
      </c>
      <c r="GH13">
        <v>396407.61300000001</v>
      </c>
      <c r="GI13">
        <v>38.200000000000003</v>
      </c>
      <c r="GK13">
        <v>-8532727.8499999996</v>
      </c>
      <c r="GL13">
        <v>398080.07799999998</v>
      </c>
      <c r="GM13">
        <v>6.8000000000000005E-2</v>
      </c>
      <c r="GO13">
        <v>-8532277.1980000008</v>
      </c>
      <c r="GP13">
        <v>397117.32</v>
      </c>
      <c r="GQ13">
        <v>4.3999999999999997E-2</v>
      </c>
      <c r="GS13">
        <v>-8530618.5059999991</v>
      </c>
      <c r="GT13">
        <v>397039.26799999998</v>
      </c>
      <c r="GU13">
        <v>1.2999999999999999E-2</v>
      </c>
      <c r="GW13">
        <v>-8531743.1070000008</v>
      </c>
      <c r="GX13">
        <v>397827.24800000002</v>
      </c>
      <c r="GY13">
        <v>172.32900000000001</v>
      </c>
      <c r="HA13">
        <v>-8532225.6559999995</v>
      </c>
      <c r="HB13">
        <v>397907.90500000003</v>
      </c>
      <c r="HC13">
        <v>86.436000000000007</v>
      </c>
      <c r="HE13">
        <v>-8533797.466</v>
      </c>
      <c r="HF13">
        <v>396930.09299999999</v>
      </c>
      <c r="HG13">
        <v>5.5E-2</v>
      </c>
      <c r="HI13">
        <v>-8531631.8570000008</v>
      </c>
      <c r="HJ13">
        <v>397940.28700000001</v>
      </c>
      <c r="HK13">
        <v>7.1999999999999995E-2</v>
      </c>
      <c r="HM13">
        <v>-8532952.5590000004</v>
      </c>
      <c r="HN13">
        <v>396948.56800000003</v>
      </c>
      <c r="HO13">
        <v>2.7E-2</v>
      </c>
      <c r="HQ13">
        <v>-8531946.5370000005</v>
      </c>
      <c r="HR13">
        <v>397852.00699999998</v>
      </c>
      <c r="HS13">
        <v>4.2999999999999997E-2</v>
      </c>
      <c r="HU13">
        <v>-8532216.2939999998</v>
      </c>
      <c r="HV13">
        <v>397316.06699999998</v>
      </c>
      <c r="HW13">
        <v>4.4999999999999998E-2</v>
      </c>
      <c r="HY13">
        <v>-8539847.4499999993</v>
      </c>
      <c r="HZ13">
        <v>397984.45500000002</v>
      </c>
      <c r="IA13">
        <v>4.5999999999999999E-2</v>
      </c>
      <c r="IC13">
        <v>-8532730.2750000004</v>
      </c>
      <c r="ID13">
        <v>397977.07900000003</v>
      </c>
      <c r="IE13">
        <v>6.6000000000000003E-2</v>
      </c>
      <c r="IG13">
        <v>-8531734.6079999991</v>
      </c>
      <c r="IH13">
        <v>397653.23599999998</v>
      </c>
      <c r="II13">
        <v>5.0999999999999997E-2</v>
      </c>
      <c r="IK13">
        <v>-8532958.5739999991</v>
      </c>
      <c r="IL13">
        <v>396051.62099999998</v>
      </c>
      <c r="IM13">
        <v>0.19</v>
      </c>
      <c r="IO13">
        <v>-8534715.9100000001</v>
      </c>
      <c r="IP13">
        <v>401426.21100000001</v>
      </c>
      <c r="IQ13">
        <v>3.4000000000000002E-2</v>
      </c>
    </row>
    <row r="14" spans="1:251" ht="18" customHeight="1" x14ac:dyDescent="0.3">
      <c r="E14" s="73">
        <v>-8532778.6940000001</v>
      </c>
      <c r="F14">
        <v>398420.56599999999</v>
      </c>
      <c r="G14" s="74">
        <v>6.5000000000000002E-2</v>
      </c>
      <c r="I14" s="73">
        <v>-8532731.784</v>
      </c>
      <c r="J14">
        <v>398026.76899999997</v>
      </c>
      <c r="K14" s="74">
        <v>1.2999999999999999E-2</v>
      </c>
      <c r="M14" s="73">
        <v>-8532732.1870000008</v>
      </c>
      <c r="N14">
        <v>398030.39299999998</v>
      </c>
      <c r="O14" s="74">
        <v>1.0999999999999999E-2</v>
      </c>
      <c r="Q14" s="73">
        <v>-8532699.8739999998</v>
      </c>
      <c r="R14">
        <v>398414.72700000001</v>
      </c>
      <c r="S14" s="74">
        <v>0.05</v>
      </c>
      <c r="U14" s="73">
        <v>-8532714.1679999996</v>
      </c>
      <c r="V14">
        <v>398422.93199999997</v>
      </c>
      <c r="W14" s="74">
        <v>1.4E-2</v>
      </c>
      <c r="Y14" s="73">
        <v>-8532395.2650000006</v>
      </c>
      <c r="Z14">
        <v>397990.07699999999</v>
      </c>
      <c r="AA14" s="74">
        <v>3.7999999999999999E-2</v>
      </c>
      <c r="AC14" s="73">
        <v>-8532432.5109999999</v>
      </c>
      <c r="AD14">
        <v>397983.63500000001</v>
      </c>
      <c r="AE14" s="74">
        <v>5.0999999999999997E-2</v>
      </c>
      <c r="AG14" s="73">
        <v>-8532442.9800000004</v>
      </c>
      <c r="AH14">
        <v>398007.69300000003</v>
      </c>
      <c r="AI14" s="74">
        <v>2.5000000000000001E-2</v>
      </c>
      <c r="AK14" s="73">
        <v>-8532431.5040000007</v>
      </c>
      <c r="AL14">
        <v>397981.31900000002</v>
      </c>
      <c r="AM14" s="74">
        <v>0.03</v>
      </c>
      <c r="AO14" s="73">
        <v>-8532431.5040000007</v>
      </c>
      <c r="AP14">
        <v>397981.31900000002</v>
      </c>
      <c r="AQ14" s="74">
        <v>0.03</v>
      </c>
      <c r="AS14" s="73">
        <v>-8532432.3090000004</v>
      </c>
      <c r="AT14">
        <v>397984.239</v>
      </c>
      <c r="AU14" s="74">
        <v>4.9000000000000002E-2</v>
      </c>
      <c r="AW14" s="73">
        <v>-8532432.3090000004</v>
      </c>
      <c r="AX14">
        <v>397984.239</v>
      </c>
      <c r="AY14" s="74">
        <v>4.9000000000000002E-2</v>
      </c>
      <c r="BA14" s="73">
        <v>-8532432.3090000004</v>
      </c>
      <c r="BB14">
        <v>397984.239</v>
      </c>
      <c r="BC14" s="74">
        <v>4.9000000000000002E-2</v>
      </c>
      <c r="BE14" s="73">
        <v>-8532432.3090000004</v>
      </c>
      <c r="BF14">
        <v>397984.239</v>
      </c>
      <c r="BG14" s="74">
        <v>4.9000000000000002E-2</v>
      </c>
      <c r="BI14" s="73">
        <v>-8532432.3090000004</v>
      </c>
      <c r="BJ14">
        <v>397984.239</v>
      </c>
      <c r="BK14" s="74">
        <v>4.9000000000000002E-2</v>
      </c>
      <c r="BM14" s="73">
        <v>-8532432.3090000004</v>
      </c>
      <c r="BN14">
        <v>397984.239</v>
      </c>
      <c r="BO14" s="74">
        <v>4.9000000000000002E-2</v>
      </c>
      <c r="BQ14" s="73">
        <v>-8532432.3090000004</v>
      </c>
      <c r="BR14">
        <v>397984.239</v>
      </c>
      <c r="BS14" s="74">
        <v>4.9000000000000002E-2</v>
      </c>
      <c r="BU14" s="73">
        <v>-8532432.3090000004</v>
      </c>
      <c r="BV14">
        <v>397984.239</v>
      </c>
      <c r="BW14" s="74">
        <v>4.9000000000000002E-2</v>
      </c>
      <c r="BY14" s="73">
        <v>-8532432.3090000004</v>
      </c>
      <c r="BZ14">
        <v>397984.239</v>
      </c>
      <c r="CA14" s="74">
        <v>4.9000000000000002E-2</v>
      </c>
      <c r="CC14" s="73">
        <v>-8532432.3090000004</v>
      </c>
      <c r="CD14">
        <v>397984.239</v>
      </c>
      <c r="CE14" s="74">
        <v>4.9000000000000002E-2</v>
      </c>
      <c r="CG14" s="73">
        <v>-8532431.2530000005</v>
      </c>
      <c r="CH14">
        <v>397981.16800000001</v>
      </c>
      <c r="CI14" s="74">
        <v>5.3999999999999999E-2</v>
      </c>
      <c r="CK14" s="73">
        <v>-8532431.2530000005</v>
      </c>
      <c r="CL14">
        <v>397981.16800000001</v>
      </c>
      <c r="CM14" s="74">
        <v>5.3999999999999999E-2</v>
      </c>
      <c r="CO14" s="73">
        <v>-8532750.8560000006</v>
      </c>
      <c r="CP14">
        <v>398003.35499999998</v>
      </c>
      <c r="CQ14" s="74">
        <v>9.6690000000000005</v>
      </c>
      <c r="CS14" s="73">
        <v>-8532750.8560000006</v>
      </c>
      <c r="CT14">
        <v>398003.35499999998</v>
      </c>
      <c r="CU14" s="74">
        <v>9.6690000000000005</v>
      </c>
      <c r="CW14" s="73">
        <v>-8532750.8560000006</v>
      </c>
      <c r="CX14">
        <v>398003.35499999998</v>
      </c>
      <c r="CY14" s="74">
        <v>9.6690000000000005</v>
      </c>
      <c r="DA14" s="73">
        <v>-8532748.5629999992</v>
      </c>
      <c r="DB14">
        <v>398003.451</v>
      </c>
      <c r="DC14" s="74">
        <v>14.183</v>
      </c>
      <c r="DE14" s="73">
        <v>-8532752.7229999993</v>
      </c>
      <c r="DF14">
        <v>398012.90100000001</v>
      </c>
      <c r="DG14" s="74">
        <v>2.4E-2</v>
      </c>
      <c r="DI14" s="73">
        <v>-8532753.6300000008</v>
      </c>
      <c r="DJ14">
        <v>398010.63400000002</v>
      </c>
      <c r="DK14" s="74">
        <v>27.696999999999999</v>
      </c>
      <c r="DM14" s="73">
        <v>-8532432.3090000004</v>
      </c>
      <c r="DN14">
        <v>397984.239</v>
      </c>
      <c r="DO14" s="74">
        <v>4.9000000000000002E-2</v>
      </c>
      <c r="DQ14" s="73">
        <v>-8532432.3090000004</v>
      </c>
      <c r="DR14">
        <v>397984.239</v>
      </c>
      <c r="DS14" s="74">
        <v>4.9000000000000002E-2</v>
      </c>
      <c r="DU14" s="73">
        <v>-8532750.8560000006</v>
      </c>
      <c r="DV14">
        <v>398003.35499999998</v>
      </c>
      <c r="DW14" s="74">
        <v>9.6690000000000005</v>
      </c>
      <c r="DY14" s="73">
        <v>-8532750.5690000001</v>
      </c>
      <c r="DZ14">
        <v>398002.69699999999</v>
      </c>
      <c r="EA14" s="74">
        <v>7.0000000000000001E-3</v>
      </c>
      <c r="EC14" s="73">
        <v>-8532728.5749999993</v>
      </c>
      <c r="ED14">
        <v>398043.28600000002</v>
      </c>
      <c r="EE14" s="74">
        <v>7.0000000000000001E-3</v>
      </c>
      <c r="EG14" s="73">
        <v>-8539907.0030000005</v>
      </c>
      <c r="EH14">
        <v>396760.79200000002</v>
      </c>
      <c r="EI14" s="74">
        <v>2.3E-2</v>
      </c>
      <c r="EK14">
        <v>-8534316.4710000008</v>
      </c>
      <c r="EL14">
        <v>399543.86900000001</v>
      </c>
      <c r="EM14">
        <v>0.08</v>
      </c>
      <c r="EO14">
        <v>-8532064.9499999993</v>
      </c>
      <c r="EP14">
        <v>398387.75</v>
      </c>
      <c r="EQ14">
        <v>3.9E-2</v>
      </c>
      <c r="ES14">
        <v>-8532430.2699999996</v>
      </c>
      <c r="ET14">
        <v>396925.37800000003</v>
      </c>
      <c r="EU14">
        <v>3.4000000000000002E-2</v>
      </c>
      <c r="EW14">
        <v>-8532677.8200000003</v>
      </c>
      <c r="EX14">
        <v>397357.88900000002</v>
      </c>
      <c r="EY14">
        <v>6.4000000000000001E-2</v>
      </c>
      <c r="FA14">
        <v>-8528688.2339999992</v>
      </c>
      <c r="FB14">
        <v>395789.67499999999</v>
      </c>
      <c r="FC14">
        <v>4.3999999999999997E-2</v>
      </c>
      <c r="FE14">
        <v>-8533703.9519999996</v>
      </c>
      <c r="FF14">
        <v>395012.60600000003</v>
      </c>
      <c r="FG14">
        <v>2.3E-2</v>
      </c>
      <c r="FI14">
        <v>-8532732.0380000006</v>
      </c>
      <c r="FJ14">
        <v>397987.413</v>
      </c>
      <c r="FK14">
        <v>35.008000000000003</v>
      </c>
      <c r="FM14">
        <v>-8529303.9059999995</v>
      </c>
      <c r="FN14">
        <v>393979.40899999999</v>
      </c>
      <c r="FO14">
        <v>137.489</v>
      </c>
      <c r="FQ14">
        <v>-8533081.5979999993</v>
      </c>
      <c r="FR14">
        <v>396390.05300000001</v>
      </c>
      <c r="FS14">
        <v>67.575999999999993</v>
      </c>
      <c r="FU14">
        <v>-8534325.2430000007</v>
      </c>
      <c r="FV14">
        <v>399555.44099999999</v>
      </c>
      <c r="FW14">
        <v>0.113</v>
      </c>
      <c r="FY14">
        <v>-8529410.2870000005</v>
      </c>
      <c r="FZ14">
        <v>396496.74400000001</v>
      </c>
      <c r="GA14">
        <v>5.0999999999999997E-2</v>
      </c>
      <c r="GC14">
        <v>-8530474.4979999997</v>
      </c>
      <c r="GD14">
        <v>396639.53200000001</v>
      </c>
      <c r="GE14">
        <v>44.334000000000003</v>
      </c>
      <c r="GG14">
        <v>-8529900.5580000002</v>
      </c>
      <c r="GH14">
        <v>396446.69799999997</v>
      </c>
      <c r="GI14">
        <v>62.009</v>
      </c>
      <c r="GK14">
        <v>-8532832.3910000008</v>
      </c>
      <c r="GL14">
        <v>398100.56199999998</v>
      </c>
      <c r="GM14">
        <v>0.106</v>
      </c>
      <c r="GO14">
        <v>-8532258.1260000002</v>
      </c>
      <c r="GP14">
        <v>397161.82</v>
      </c>
      <c r="GQ14">
        <v>4.8000000000000001E-2</v>
      </c>
      <c r="GS14">
        <v>-8530573.3000000007</v>
      </c>
      <c r="GT14">
        <v>397018.78399999999</v>
      </c>
      <c r="GU14">
        <v>4.9000000000000002E-2</v>
      </c>
      <c r="GW14">
        <v>-8531797.1429999992</v>
      </c>
      <c r="GX14">
        <v>397835.19500000001</v>
      </c>
      <c r="GY14">
        <v>54.503999999999998</v>
      </c>
      <c r="HA14">
        <v>-8532310.6830000002</v>
      </c>
      <c r="HB14">
        <v>397971.47700000001</v>
      </c>
      <c r="HC14">
        <v>105.70699999999999</v>
      </c>
      <c r="HE14">
        <v>-8533729.9210000001</v>
      </c>
      <c r="HF14">
        <v>396907.84299999999</v>
      </c>
      <c r="HG14">
        <v>7.0999999999999994E-2</v>
      </c>
      <c r="HI14">
        <v>-8531707.5470000003</v>
      </c>
      <c r="HJ14">
        <v>397864.00099999999</v>
      </c>
      <c r="HK14">
        <v>0.107</v>
      </c>
      <c r="HM14">
        <v>-8532846.4729999993</v>
      </c>
      <c r="HN14">
        <v>396959.29599999997</v>
      </c>
      <c r="HO14">
        <v>0.106</v>
      </c>
      <c r="HQ14">
        <v>-8531978.7200000007</v>
      </c>
      <c r="HR14">
        <v>397860.05200000003</v>
      </c>
      <c r="HS14">
        <v>3.3000000000000002E-2</v>
      </c>
      <c r="HU14">
        <v>-8532211.3770000003</v>
      </c>
      <c r="HV14">
        <v>397346.01500000001</v>
      </c>
      <c r="HW14">
        <v>0.03</v>
      </c>
      <c r="HY14">
        <v>-8539850.1319999993</v>
      </c>
      <c r="HZ14">
        <v>397944.22600000002</v>
      </c>
      <c r="IA14">
        <v>0.04</v>
      </c>
      <c r="IC14">
        <v>-8532758.4350000005</v>
      </c>
      <c r="ID14">
        <v>398013.28600000002</v>
      </c>
      <c r="IE14">
        <v>4.5999999999999999E-2</v>
      </c>
      <c r="IG14">
        <v>-8531769.4729999993</v>
      </c>
      <c r="IH14">
        <v>397659.94099999999</v>
      </c>
      <c r="II14">
        <v>3.5000000000000003E-2</v>
      </c>
      <c r="IK14">
        <v>-8532967.9609999992</v>
      </c>
      <c r="IL14">
        <v>396083.804</v>
      </c>
      <c r="IM14">
        <v>3.3000000000000002E-2</v>
      </c>
      <c r="IO14">
        <v>-8534631.0940000005</v>
      </c>
      <c r="IP14">
        <v>401344.41200000001</v>
      </c>
      <c r="IQ14">
        <v>0.11700000000000001</v>
      </c>
    </row>
    <row r="15" spans="1:251" ht="18" customHeight="1" x14ac:dyDescent="0.3">
      <c r="E15" s="73">
        <v>-8532810.5030000005</v>
      </c>
      <c r="F15">
        <v>398427.41100000002</v>
      </c>
      <c r="G15" s="74">
        <v>3.3000000000000002E-2</v>
      </c>
      <c r="I15" s="73">
        <v>-8532752.3200000003</v>
      </c>
      <c r="J15">
        <v>398011.87099999998</v>
      </c>
      <c r="K15" s="74">
        <v>2.5000000000000001E-2</v>
      </c>
      <c r="M15" s="73">
        <v>-8532752.3200000003</v>
      </c>
      <c r="N15">
        <v>398012.67599999998</v>
      </c>
      <c r="O15" s="74">
        <v>2.7E-2</v>
      </c>
      <c r="Q15" s="73">
        <v>-8532713.9670000002</v>
      </c>
      <c r="R15">
        <v>398422.37800000003</v>
      </c>
      <c r="S15" s="74">
        <v>1.6E-2</v>
      </c>
      <c r="U15" s="73">
        <v>-8532775.3719999995</v>
      </c>
      <c r="V15">
        <v>398420.91800000001</v>
      </c>
      <c r="W15" s="74">
        <v>6.0999999999999999E-2</v>
      </c>
      <c r="Y15" s="73">
        <v>-8532335.6720000003</v>
      </c>
      <c r="Z15">
        <v>397990.88299999997</v>
      </c>
      <c r="AA15" s="74">
        <v>0.06</v>
      </c>
      <c r="AC15" s="73">
        <v>-8532402.7139999997</v>
      </c>
      <c r="AD15">
        <v>397988.86900000001</v>
      </c>
      <c r="AE15" s="74">
        <v>0.03</v>
      </c>
      <c r="AG15" s="73">
        <v>-8532431.7060000002</v>
      </c>
      <c r="AH15">
        <v>397982.93</v>
      </c>
      <c r="AI15" s="74">
        <v>2.7E-2</v>
      </c>
      <c r="AK15" s="73">
        <v>-8532399.2919999994</v>
      </c>
      <c r="AL15">
        <v>397988.97</v>
      </c>
      <c r="AM15" s="74">
        <v>3.3000000000000002E-2</v>
      </c>
      <c r="AO15" s="73">
        <v>-8532399.2919999994</v>
      </c>
      <c r="AP15">
        <v>397988.97</v>
      </c>
      <c r="AQ15" s="74">
        <v>3.3000000000000002E-2</v>
      </c>
      <c r="AS15" s="73">
        <v>-8532349.3629999999</v>
      </c>
      <c r="AT15">
        <v>397989.87599999999</v>
      </c>
      <c r="AU15" s="74">
        <v>8.3000000000000004E-2</v>
      </c>
      <c r="AW15" s="73">
        <v>-8532349.3629999999</v>
      </c>
      <c r="AX15">
        <v>397989.87599999999</v>
      </c>
      <c r="AY15" s="74">
        <v>8.3000000000000004E-2</v>
      </c>
      <c r="BA15" s="73">
        <v>-8532349.3629999999</v>
      </c>
      <c r="BB15">
        <v>397989.87599999999</v>
      </c>
      <c r="BC15" s="74">
        <v>8.3000000000000004E-2</v>
      </c>
      <c r="BE15" s="73">
        <v>-8532349.3629999999</v>
      </c>
      <c r="BF15">
        <v>397989.87599999999</v>
      </c>
      <c r="BG15" s="74">
        <v>8.3000000000000004E-2</v>
      </c>
      <c r="BI15" s="73">
        <v>-8532349.3629999999</v>
      </c>
      <c r="BJ15">
        <v>397989.87599999999</v>
      </c>
      <c r="BK15" s="74">
        <v>8.3000000000000004E-2</v>
      </c>
      <c r="BM15" s="73">
        <v>-8532349.3629999999</v>
      </c>
      <c r="BN15">
        <v>397989.87599999999</v>
      </c>
      <c r="BO15" s="74">
        <v>8.3000000000000004E-2</v>
      </c>
      <c r="BQ15" s="73">
        <v>-8532349.3629999999</v>
      </c>
      <c r="BR15">
        <v>397989.87599999999</v>
      </c>
      <c r="BS15" s="74">
        <v>8.3000000000000004E-2</v>
      </c>
      <c r="BU15" s="73">
        <v>-8532349.3629999999</v>
      </c>
      <c r="BV15">
        <v>397989.87599999999</v>
      </c>
      <c r="BW15" s="74">
        <v>8.3000000000000004E-2</v>
      </c>
      <c r="BY15" s="73">
        <v>-8532349.3629999999</v>
      </c>
      <c r="BZ15">
        <v>397989.87599999999</v>
      </c>
      <c r="CA15" s="74">
        <v>8.3000000000000004E-2</v>
      </c>
      <c r="CC15" s="73">
        <v>-8532349.3629999999</v>
      </c>
      <c r="CD15">
        <v>397989.87599999999</v>
      </c>
      <c r="CE15" s="74">
        <v>8.3000000000000004E-2</v>
      </c>
      <c r="CG15" s="73">
        <v>-8532353.943</v>
      </c>
      <c r="CH15">
        <v>397992.04</v>
      </c>
      <c r="CI15" s="74">
        <v>7.8E-2</v>
      </c>
      <c r="CK15" s="73">
        <v>-8532353.943</v>
      </c>
      <c r="CL15">
        <v>397992.04</v>
      </c>
      <c r="CM15" s="74">
        <v>7.8E-2</v>
      </c>
      <c r="CO15" s="73">
        <v>-8532734.8029999994</v>
      </c>
      <c r="CP15">
        <v>397990.36</v>
      </c>
      <c r="CQ15" s="74">
        <v>20.652999999999999</v>
      </c>
      <c r="CS15" s="73">
        <v>-8532734.8029999994</v>
      </c>
      <c r="CT15">
        <v>397990.36</v>
      </c>
      <c r="CU15" s="74">
        <v>20.652999999999999</v>
      </c>
      <c r="CW15" s="73">
        <v>-8532734.8029999994</v>
      </c>
      <c r="CX15">
        <v>397990.36</v>
      </c>
      <c r="CY15" s="74">
        <v>20.652999999999999</v>
      </c>
      <c r="DA15" s="73">
        <v>-8532733.0830000006</v>
      </c>
      <c r="DB15">
        <v>397982.23800000001</v>
      </c>
      <c r="DC15" s="74">
        <v>26.26</v>
      </c>
      <c r="DE15" s="73">
        <v>-8532752.7229999993</v>
      </c>
      <c r="DF15">
        <v>398006.09899999999</v>
      </c>
      <c r="DG15" s="74">
        <v>7.0000000000000001E-3</v>
      </c>
      <c r="DI15" s="73">
        <v>-8532751.5899999999</v>
      </c>
      <c r="DJ15">
        <v>398004.85200000001</v>
      </c>
      <c r="DK15" s="74">
        <v>6.1319999999999997</v>
      </c>
      <c r="DM15" s="73">
        <v>-8532349.3629999999</v>
      </c>
      <c r="DN15">
        <v>397989.87599999999</v>
      </c>
      <c r="DO15" s="74">
        <v>8.3000000000000004E-2</v>
      </c>
      <c r="DQ15" s="73">
        <v>-8532349.3629999999</v>
      </c>
      <c r="DR15">
        <v>397989.87599999999</v>
      </c>
      <c r="DS15" s="74">
        <v>8.3000000000000004E-2</v>
      </c>
      <c r="DU15" s="73">
        <v>-8532734.8029999994</v>
      </c>
      <c r="DV15">
        <v>397990.36</v>
      </c>
      <c r="DW15" s="74">
        <v>20.652999999999999</v>
      </c>
      <c r="DY15" s="73">
        <v>-8532737.4179999996</v>
      </c>
      <c r="DZ15">
        <v>397994.30800000002</v>
      </c>
      <c r="EA15" s="74">
        <v>1.6E-2</v>
      </c>
      <c r="EC15" s="73">
        <v>-8532732.2029999997</v>
      </c>
      <c r="ED15">
        <v>398037.39</v>
      </c>
      <c r="EE15" s="74">
        <v>7.0000000000000001E-3</v>
      </c>
      <c r="EG15" s="73">
        <v>-8539961.4230000004</v>
      </c>
      <c r="EH15">
        <v>396733.58199999999</v>
      </c>
      <c r="EI15" s="74">
        <v>6.0999999999999999E-2</v>
      </c>
      <c r="EK15">
        <v>-8534289.1309999991</v>
      </c>
      <c r="EL15">
        <v>399502.41800000001</v>
      </c>
      <c r="EM15">
        <v>4.9000000000000002E-2</v>
      </c>
      <c r="EO15">
        <v>-8532080.8249999993</v>
      </c>
      <c r="EP15">
        <v>398338.141</v>
      </c>
      <c r="EQ15">
        <v>5.1999999999999998E-2</v>
      </c>
      <c r="ES15">
        <v>-8532421.0089999996</v>
      </c>
      <c r="ET15">
        <v>396863.201</v>
      </c>
      <c r="EU15">
        <v>6.2E-2</v>
      </c>
      <c r="EW15">
        <v>-8532654.0079999994</v>
      </c>
      <c r="EX15">
        <v>397395.592</v>
      </c>
      <c r="EY15">
        <v>4.3999999999999997E-2</v>
      </c>
      <c r="FA15">
        <v>-8528697.9079999998</v>
      </c>
      <c r="FB15">
        <v>395800.09299999999</v>
      </c>
      <c r="FC15">
        <v>1.4E-2</v>
      </c>
      <c r="FE15">
        <v>-8533683.1160000004</v>
      </c>
      <c r="FF15">
        <v>395064.696</v>
      </c>
      <c r="FG15">
        <v>5.6000000000000001E-2</v>
      </c>
      <c r="FI15">
        <v>-8532751.8819999993</v>
      </c>
      <c r="FJ15">
        <v>398008.24900000001</v>
      </c>
      <c r="FK15">
        <v>28.617999999999999</v>
      </c>
      <c r="FM15">
        <v>-8529327.7190000005</v>
      </c>
      <c r="FN15">
        <v>394050.84700000001</v>
      </c>
      <c r="FO15">
        <v>74.707999999999998</v>
      </c>
      <c r="FQ15">
        <v>-8533074.1569999997</v>
      </c>
      <c r="FR15">
        <v>396358.799</v>
      </c>
      <c r="FS15">
        <v>31.864000000000001</v>
      </c>
      <c r="FU15">
        <v>-8534283.943</v>
      </c>
      <c r="FV15">
        <v>399498.79300000001</v>
      </c>
      <c r="FW15">
        <v>7.0000000000000007E-2</v>
      </c>
      <c r="FY15">
        <v>-8529428.7050000001</v>
      </c>
      <c r="FZ15">
        <v>396464.93199999997</v>
      </c>
      <c r="GA15">
        <v>3.6999999999999998E-2</v>
      </c>
      <c r="GC15">
        <v>-8530506.0490000006</v>
      </c>
      <c r="GD15">
        <v>396647.53700000001</v>
      </c>
      <c r="GE15">
        <v>32.475000000000001</v>
      </c>
      <c r="GG15">
        <v>-8529944.8230000008</v>
      </c>
      <c r="GH15">
        <v>396440.10499999998</v>
      </c>
      <c r="GI15">
        <v>44.661000000000001</v>
      </c>
      <c r="GK15">
        <v>-8532842.2789999992</v>
      </c>
      <c r="GL15">
        <v>398137.99900000001</v>
      </c>
      <c r="GM15">
        <v>3.7999999999999999E-2</v>
      </c>
      <c r="GO15">
        <v>-8532253.8880000003</v>
      </c>
      <c r="GP15">
        <v>397238.10600000003</v>
      </c>
      <c r="GQ15">
        <v>7.5999999999999998E-2</v>
      </c>
      <c r="GS15">
        <v>-8530558.466</v>
      </c>
      <c r="GT15">
        <v>396999.71299999999</v>
      </c>
      <c r="GU15">
        <v>2.4E-2</v>
      </c>
      <c r="GW15">
        <v>-8531865.4829999991</v>
      </c>
      <c r="GX15">
        <v>397804.99800000002</v>
      </c>
      <c r="GY15">
        <v>74.489000000000004</v>
      </c>
      <c r="HA15">
        <v>-8532367.1030000001</v>
      </c>
      <c r="HB15">
        <v>397993.72700000001</v>
      </c>
      <c r="HC15">
        <v>60.476999999999997</v>
      </c>
      <c r="HE15">
        <v>-8533592.4480000008</v>
      </c>
      <c r="HF15">
        <v>396846.65500000003</v>
      </c>
      <c r="HG15">
        <v>0.15</v>
      </c>
      <c r="HI15">
        <v>-8531740.9220000003</v>
      </c>
      <c r="HJ15">
        <v>397828.24200000003</v>
      </c>
      <c r="HK15">
        <v>4.9000000000000002E-2</v>
      </c>
      <c r="HM15">
        <v>-8532708.2050000001</v>
      </c>
      <c r="HN15">
        <v>396940.22399999999</v>
      </c>
      <c r="HO15">
        <v>0.13900000000000001</v>
      </c>
      <c r="HQ15">
        <v>-8532010.9030000009</v>
      </c>
      <c r="HR15">
        <v>397837.70299999998</v>
      </c>
      <c r="HS15">
        <v>3.9E-2</v>
      </c>
      <c r="HU15">
        <v>-8532194.8389999997</v>
      </c>
      <c r="HV15">
        <v>397389.82</v>
      </c>
      <c r="HW15">
        <v>4.5999999999999999E-2</v>
      </c>
      <c r="HY15">
        <v>-8539812.5850000009</v>
      </c>
      <c r="HZ15">
        <v>397595.57500000001</v>
      </c>
      <c r="IA15">
        <v>0.34799999999999998</v>
      </c>
      <c r="IC15">
        <v>-8532728.9340000004</v>
      </c>
      <c r="ID15">
        <v>398049.49200000003</v>
      </c>
      <c r="IE15">
        <v>4.5999999999999999E-2</v>
      </c>
      <c r="IG15">
        <v>-8531781.5419999994</v>
      </c>
      <c r="IH15">
        <v>397690.783</v>
      </c>
      <c r="II15">
        <v>3.3000000000000002E-2</v>
      </c>
      <c r="IK15">
        <v>-8532872.7530000005</v>
      </c>
      <c r="IL15">
        <v>396137.44199999998</v>
      </c>
      <c r="IM15">
        <v>0.109</v>
      </c>
      <c r="IO15">
        <v>-8534558.682</v>
      </c>
      <c r="IP15">
        <v>401284.06800000003</v>
      </c>
      <c r="IQ15">
        <v>9.4E-2</v>
      </c>
    </row>
    <row r="16" spans="1:251" ht="18" customHeight="1" x14ac:dyDescent="0.3">
      <c r="E16" s="73">
        <v>-8532834.2599999998</v>
      </c>
      <c r="F16">
        <v>398444.72499999998</v>
      </c>
      <c r="G16" s="74">
        <v>2.9000000000000001E-2</v>
      </c>
      <c r="I16" s="73">
        <v>-8532751.5140000004</v>
      </c>
      <c r="J16">
        <v>398004.62300000002</v>
      </c>
      <c r="K16" s="74">
        <v>7.0000000000000001E-3</v>
      </c>
      <c r="M16" s="73">
        <v>-8532752.9240000006</v>
      </c>
      <c r="N16">
        <v>398005.42800000001</v>
      </c>
      <c r="O16" s="74">
        <v>7.0000000000000001E-3</v>
      </c>
      <c r="Q16" s="73">
        <v>-8532773.9619999994</v>
      </c>
      <c r="R16">
        <v>398419.962</v>
      </c>
      <c r="S16" s="74">
        <v>0.06</v>
      </c>
      <c r="U16" s="73">
        <v>-8532810.8049999997</v>
      </c>
      <c r="V16">
        <v>398428.97100000002</v>
      </c>
      <c r="W16" s="74">
        <v>3.5999999999999997E-2</v>
      </c>
      <c r="Y16" s="73">
        <v>-8532268.0260000005</v>
      </c>
      <c r="Z16">
        <v>397939.34299999999</v>
      </c>
      <c r="AA16" s="74">
        <v>8.5000000000000006E-2</v>
      </c>
      <c r="AC16" s="73">
        <v>-8532366.8780000005</v>
      </c>
      <c r="AD16">
        <v>397990.88299999997</v>
      </c>
      <c r="AE16" s="74">
        <v>3.5999999999999997E-2</v>
      </c>
      <c r="AG16" s="73">
        <v>-8532380.1659999993</v>
      </c>
      <c r="AH16">
        <v>397992.39199999999</v>
      </c>
      <c r="AI16" s="74">
        <v>5.1999999999999998E-2</v>
      </c>
      <c r="AK16" s="73">
        <v>-8532365.8709999993</v>
      </c>
      <c r="AL16">
        <v>397992.99599999998</v>
      </c>
      <c r="AM16" s="74">
        <v>3.4000000000000002E-2</v>
      </c>
      <c r="AO16" s="73">
        <v>-8532365.8709999993</v>
      </c>
      <c r="AP16">
        <v>397992.99599999998</v>
      </c>
      <c r="AQ16" s="74">
        <v>3.4000000000000002E-2</v>
      </c>
      <c r="AS16" s="73">
        <v>-8532316.3450000007</v>
      </c>
      <c r="AT16">
        <v>397977.79599999997</v>
      </c>
      <c r="AU16" s="74">
        <v>3.5000000000000003E-2</v>
      </c>
      <c r="AW16" s="73">
        <v>-8532316.3450000007</v>
      </c>
      <c r="AX16">
        <v>397977.79599999997</v>
      </c>
      <c r="AY16" s="74">
        <v>3.5000000000000003E-2</v>
      </c>
      <c r="BA16" s="73">
        <v>-8532316.3450000007</v>
      </c>
      <c r="BB16">
        <v>397977.79599999997</v>
      </c>
      <c r="BC16" s="74">
        <v>3.5000000000000003E-2</v>
      </c>
      <c r="BE16" s="73">
        <v>-8532316.3450000007</v>
      </c>
      <c r="BF16">
        <v>397977.79599999997</v>
      </c>
      <c r="BG16" s="74">
        <v>3.5000000000000003E-2</v>
      </c>
      <c r="BI16" s="73">
        <v>-8532316.3450000007</v>
      </c>
      <c r="BJ16">
        <v>397977.79599999997</v>
      </c>
      <c r="BK16" s="74">
        <v>3.5000000000000003E-2</v>
      </c>
      <c r="BM16" s="73">
        <v>-8532316.3450000007</v>
      </c>
      <c r="BN16">
        <v>397977.79599999997</v>
      </c>
      <c r="BO16" s="74">
        <v>3.5000000000000003E-2</v>
      </c>
      <c r="BQ16" s="73">
        <v>-8532316.3450000007</v>
      </c>
      <c r="BR16">
        <v>397977.79599999997</v>
      </c>
      <c r="BS16" s="74">
        <v>3.5000000000000003E-2</v>
      </c>
      <c r="BU16" s="73">
        <v>-8532316.3450000007</v>
      </c>
      <c r="BV16">
        <v>397977.79599999997</v>
      </c>
      <c r="BW16" s="74">
        <v>3.5000000000000003E-2</v>
      </c>
      <c r="BY16" s="73">
        <v>-8532316.3450000007</v>
      </c>
      <c r="BZ16">
        <v>397977.79599999997</v>
      </c>
      <c r="CA16" s="74">
        <v>3.5000000000000003E-2</v>
      </c>
      <c r="CC16" s="73">
        <v>-8532316.3450000007</v>
      </c>
      <c r="CD16">
        <v>397977.79599999997</v>
      </c>
      <c r="CE16" s="74">
        <v>3.5000000000000003E-2</v>
      </c>
      <c r="CG16" s="73">
        <v>-8532314.6840000004</v>
      </c>
      <c r="CH16">
        <v>397977.54499999998</v>
      </c>
      <c r="CI16" s="74">
        <v>4.2000000000000003E-2</v>
      </c>
      <c r="CK16" s="73">
        <v>-8532314.6840000004</v>
      </c>
      <c r="CL16">
        <v>397977.54499999998</v>
      </c>
      <c r="CM16" s="74">
        <v>4.2000000000000003E-2</v>
      </c>
      <c r="CO16" s="73">
        <v>-8532735.568</v>
      </c>
      <c r="CP16">
        <v>397949.08199999999</v>
      </c>
      <c r="CQ16" s="74">
        <v>41.286000000000001</v>
      </c>
      <c r="CS16" s="73">
        <v>-8532735.568</v>
      </c>
      <c r="CT16">
        <v>397949.08199999999</v>
      </c>
      <c r="CU16" s="74">
        <v>41.286000000000001</v>
      </c>
      <c r="CW16" s="73">
        <v>-8532735.568</v>
      </c>
      <c r="CX16">
        <v>397949.08199999999</v>
      </c>
      <c r="CY16" s="74">
        <v>41.286000000000001</v>
      </c>
      <c r="DA16" s="73">
        <v>-8532735.3770000003</v>
      </c>
      <c r="DB16">
        <v>397944.4</v>
      </c>
      <c r="DC16" s="74">
        <v>37.908000000000001</v>
      </c>
      <c r="DE16" s="73">
        <v>-8532741.159</v>
      </c>
      <c r="DF16">
        <v>397996.348</v>
      </c>
      <c r="DG16" s="74">
        <v>1.4999999999999999E-2</v>
      </c>
      <c r="DI16" s="73">
        <v>-8532740.932</v>
      </c>
      <c r="DJ16">
        <v>397996.57500000001</v>
      </c>
      <c r="DK16" s="74">
        <v>13.493</v>
      </c>
      <c r="DM16" s="73">
        <v>-8532316.3450000007</v>
      </c>
      <c r="DN16">
        <v>397977.79599999997</v>
      </c>
      <c r="DO16" s="74">
        <v>3.5000000000000003E-2</v>
      </c>
      <c r="DQ16" s="73">
        <v>-8532316.3450000007</v>
      </c>
      <c r="DR16">
        <v>397977.79599999997</v>
      </c>
      <c r="DS16" s="74">
        <v>3.5000000000000003E-2</v>
      </c>
      <c r="DU16" s="73">
        <v>-8532735.568</v>
      </c>
      <c r="DV16">
        <v>397949.08199999999</v>
      </c>
      <c r="DW16" s="74">
        <v>41.286000000000001</v>
      </c>
      <c r="DY16" s="73">
        <v>-8532733.7899999991</v>
      </c>
      <c r="DZ16">
        <v>397984.78399999999</v>
      </c>
      <c r="EA16" s="74">
        <v>0.01</v>
      </c>
      <c r="EC16" s="73">
        <v>-8532732.2029999997</v>
      </c>
      <c r="ED16">
        <v>398030.13400000002</v>
      </c>
      <c r="EE16" s="74">
        <v>7.0000000000000001E-3</v>
      </c>
      <c r="EG16" s="73">
        <v>-8539981.3770000003</v>
      </c>
      <c r="EH16">
        <v>396726.326</v>
      </c>
      <c r="EI16" s="74">
        <v>2.1000000000000001E-2</v>
      </c>
      <c r="EK16">
        <v>-8534262.6720000003</v>
      </c>
      <c r="EL16">
        <v>399486.54300000001</v>
      </c>
      <c r="EM16">
        <v>3.1E-2</v>
      </c>
      <c r="EO16">
        <v>-8532096.0380000006</v>
      </c>
      <c r="EP16">
        <v>398281.255</v>
      </c>
      <c r="EQ16">
        <v>5.8000000000000003E-2</v>
      </c>
      <c r="ES16">
        <v>-8532463.3430000003</v>
      </c>
      <c r="ET16">
        <v>396855.26299999998</v>
      </c>
      <c r="EU16">
        <v>4.2999999999999997E-2</v>
      </c>
      <c r="EW16">
        <v>-8532583.5629999992</v>
      </c>
      <c r="EX16">
        <v>397401.54499999998</v>
      </c>
      <c r="EY16">
        <v>7.0999999999999994E-2</v>
      </c>
      <c r="FA16">
        <v>-8528724.6970000006</v>
      </c>
      <c r="FB16">
        <v>395823.40899999999</v>
      </c>
      <c r="FC16">
        <v>3.5000000000000003E-2</v>
      </c>
      <c r="FE16">
        <v>-8533639.9550000001</v>
      </c>
      <c r="FF16">
        <v>395106.36800000002</v>
      </c>
      <c r="FG16">
        <v>0.06</v>
      </c>
      <c r="FI16">
        <v>-8532750.3929999992</v>
      </c>
      <c r="FJ16">
        <v>398014.45</v>
      </c>
      <c r="FK16">
        <v>6.3250000000000002</v>
      </c>
      <c r="FM16">
        <v>-8529238.4220000003</v>
      </c>
      <c r="FN16">
        <v>394072.67499999999</v>
      </c>
      <c r="FO16">
        <v>91.718000000000004</v>
      </c>
      <c r="FQ16">
        <v>-8532978.9069999997</v>
      </c>
      <c r="FR16">
        <v>396355.82199999999</v>
      </c>
      <c r="FS16">
        <v>95.113</v>
      </c>
      <c r="FU16">
        <v>-8534219.2029999997</v>
      </c>
      <c r="FV16">
        <v>399445.21500000003</v>
      </c>
      <c r="FW16">
        <v>8.4000000000000005E-2</v>
      </c>
      <c r="FY16">
        <v>-8529453.8200000003</v>
      </c>
      <c r="FZ16">
        <v>396443.16600000003</v>
      </c>
      <c r="GA16">
        <v>3.3000000000000002E-2</v>
      </c>
      <c r="GC16">
        <v>-8530530.5360000003</v>
      </c>
      <c r="GD16">
        <v>396674.84899999999</v>
      </c>
      <c r="GE16">
        <v>36.475999999999999</v>
      </c>
      <c r="GG16">
        <v>-8529961.7750000004</v>
      </c>
      <c r="GH16">
        <v>396451.40700000001</v>
      </c>
      <c r="GI16">
        <v>20.294</v>
      </c>
      <c r="GK16">
        <v>-8532262.3640000001</v>
      </c>
      <c r="GL16">
        <v>397929.625</v>
      </c>
      <c r="GO16">
        <v>-8532230.5779999997</v>
      </c>
      <c r="GP16">
        <v>397257.17800000001</v>
      </c>
      <c r="GQ16">
        <v>0.03</v>
      </c>
      <c r="GS16">
        <v>-8530553.5219999999</v>
      </c>
      <c r="GT16">
        <v>396990.53</v>
      </c>
      <c r="GU16">
        <v>0.01</v>
      </c>
      <c r="GW16">
        <v>-8531935.4110000003</v>
      </c>
      <c r="GX16">
        <v>397816.91800000001</v>
      </c>
      <c r="GY16">
        <v>70.787000000000006</v>
      </c>
      <c r="HA16">
        <v>-8532425.9069999997</v>
      </c>
      <c r="HB16">
        <v>397982.60200000001</v>
      </c>
      <c r="HC16">
        <v>59.718000000000004</v>
      </c>
      <c r="HE16">
        <v>-8533509.8039999995</v>
      </c>
      <c r="HF16">
        <v>396875.26199999999</v>
      </c>
      <c r="HG16">
        <v>8.6999999999999994E-2</v>
      </c>
      <c r="HI16">
        <v>-8531785.6209999993</v>
      </c>
      <c r="HJ16">
        <v>397840.16100000002</v>
      </c>
      <c r="HK16">
        <v>4.5999999999999999E-2</v>
      </c>
      <c r="HM16">
        <v>-8532568.7449999992</v>
      </c>
      <c r="HN16">
        <v>396953.33600000001</v>
      </c>
      <c r="HO16">
        <v>0.14000000000000001</v>
      </c>
      <c r="HQ16">
        <v>-8532039.5099999998</v>
      </c>
      <c r="HR16">
        <v>397818.03499999997</v>
      </c>
      <c r="HS16">
        <v>3.5000000000000003E-2</v>
      </c>
      <c r="HU16">
        <v>-8532203.7780000009</v>
      </c>
      <c r="HV16">
        <v>397434.51899999997</v>
      </c>
      <c r="HW16">
        <v>4.4999999999999998E-2</v>
      </c>
      <c r="HY16">
        <v>-8540064.6860000007</v>
      </c>
      <c r="HZ16">
        <v>397273.74300000002</v>
      </c>
      <c r="IA16">
        <v>0.40600000000000003</v>
      </c>
      <c r="IC16">
        <v>-8532876.4399999995</v>
      </c>
      <c r="ID16">
        <v>398074.97</v>
      </c>
      <c r="IE16">
        <v>0.14899999999999999</v>
      </c>
      <c r="IG16">
        <v>-8531796.2929999996</v>
      </c>
      <c r="IH16">
        <v>397710.89799999999</v>
      </c>
      <c r="II16">
        <v>2.5000000000000001E-2</v>
      </c>
      <c r="IK16">
        <v>-8532931.7550000008</v>
      </c>
      <c r="IL16">
        <v>396370.77</v>
      </c>
      <c r="IM16">
        <v>0.23899999999999999</v>
      </c>
      <c r="IO16">
        <v>-8534519.7939999998</v>
      </c>
      <c r="IP16">
        <v>401208.97399999999</v>
      </c>
      <c r="IQ16">
        <v>8.4000000000000005E-2</v>
      </c>
    </row>
    <row r="17" spans="5:251" ht="18.75" customHeight="1" thickBot="1" x14ac:dyDescent="0.35">
      <c r="E17" s="73">
        <v>-8532845.9370000008</v>
      </c>
      <c r="F17">
        <v>398435.86700000003</v>
      </c>
      <c r="G17" s="74">
        <v>1.4999999999999999E-2</v>
      </c>
      <c r="I17" s="73">
        <v>-8532732.9920000006</v>
      </c>
      <c r="J17">
        <v>397988.114</v>
      </c>
      <c r="K17" s="74">
        <v>2.5000000000000001E-2</v>
      </c>
      <c r="M17" s="73">
        <v>-8532739.6359999999</v>
      </c>
      <c r="N17">
        <v>397996.36900000001</v>
      </c>
      <c r="O17" s="74">
        <v>1.6E-2</v>
      </c>
      <c r="Q17" s="73">
        <v>-8532809.3959999997</v>
      </c>
      <c r="R17">
        <v>398426.80699999997</v>
      </c>
      <c r="S17" s="74">
        <v>3.5999999999999997E-2</v>
      </c>
      <c r="U17" s="73">
        <v>-8532876.841</v>
      </c>
      <c r="V17">
        <v>398486.14799999999</v>
      </c>
      <c r="W17" s="74">
        <v>8.6999999999999994E-2</v>
      </c>
      <c r="Y17" s="73">
        <v>-8532259.9729999993</v>
      </c>
      <c r="Z17">
        <v>397949.81199999998</v>
      </c>
      <c r="AA17" s="74">
        <v>1.2999999999999999E-2</v>
      </c>
      <c r="AC17" s="73">
        <v>-8532339.9000000004</v>
      </c>
      <c r="AD17">
        <v>397990.07699999999</v>
      </c>
      <c r="AE17" s="74">
        <v>2.7E-2</v>
      </c>
      <c r="AG17" s="73">
        <v>-8532340.7050000001</v>
      </c>
      <c r="AH17">
        <v>397990.17800000001</v>
      </c>
      <c r="AI17" s="74">
        <v>0.04</v>
      </c>
      <c r="AK17" s="73">
        <v>-8532337.2829999998</v>
      </c>
      <c r="AL17">
        <v>397988.97</v>
      </c>
      <c r="AM17" s="74">
        <v>2.9000000000000001E-2</v>
      </c>
      <c r="AO17" s="73">
        <v>-8532337.2829999998</v>
      </c>
      <c r="AP17">
        <v>397988.97</v>
      </c>
      <c r="AQ17" s="74">
        <v>2.9000000000000001E-2</v>
      </c>
      <c r="AS17" s="73">
        <v>-8532267.2210000008</v>
      </c>
      <c r="AT17">
        <v>397936.72499999998</v>
      </c>
      <c r="AU17" s="74">
        <v>6.4000000000000001E-2</v>
      </c>
      <c r="AW17" s="73">
        <v>-8532267.2210000008</v>
      </c>
      <c r="AX17">
        <v>397936.72499999998</v>
      </c>
      <c r="AY17" s="74">
        <v>6.4000000000000001E-2</v>
      </c>
      <c r="BA17" s="73">
        <v>-8532267.2210000008</v>
      </c>
      <c r="BB17">
        <v>397936.72499999998</v>
      </c>
      <c r="BC17" s="74">
        <v>6.4000000000000001E-2</v>
      </c>
      <c r="BE17" s="73">
        <v>-8532267.2210000008</v>
      </c>
      <c r="BF17">
        <v>397936.72499999998</v>
      </c>
      <c r="BG17" s="74">
        <v>6.4000000000000001E-2</v>
      </c>
      <c r="BI17" s="73">
        <v>-8532267.2210000008</v>
      </c>
      <c r="BJ17">
        <v>397936.72499999998</v>
      </c>
      <c r="BK17" s="74">
        <v>6.4000000000000001E-2</v>
      </c>
      <c r="BM17" s="73">
        <v>-8532267.2210000008</v>
      </c>
      <c r="BN17">
        <v>397936.72499999998</v>
      </c>
      <c r="BO17" s="74">
        <v>6.4000000000000001E-2</v>
      </c>
      <c r="BQ17" s="73">
        <v>-8532267.2210000008</v>
      </c>
      <c r="BR17">
        <v>397936.72499999998</v>
      </c>
      <c r="BS17" s="74">
        <v>6.4000000000000001E-2</v>
      </c>
      <c r="BU17" s="73">
        <v>-8532267.2210000008</v>
      </c>
      <c r="BV17">
        <v>397936.72499999998</v>
      </c>
      <c r="BW17" s="74">
        <v>6.4000000000000001E-2</v>
      </c>
      <c r="BY17" s="73">
        <v>-8532267.2210000008</v>
      </c>
      <c r="BZ17">
        <v>397936.72499999998</v>
      </c>
      <c r="CA17" s="74">
        <v>6.4000000000000001E-2</v>
      </c>
      <c r="CC17" s="73">
        <v>-8532267.2210000008</v>
      </c>
      <c r="CD17">
        <v>397936.72499999998</v>
      </c>
      <c r="CE17" s="74">
        <v>6.4000000000000001E-2</v>
      </c>
      <c r="CG17" s="73">
        <v>-8532263.9489999991</v>
      </c>
      <c r="CH17">
        <v>397935.266</v>
      </c>
      <c r="CI17" s="74">
        <v>6.6000000000000003E-2</v>
      </c>
      <c r="CK17" s="73">
        <v>-8532263.9489999991</v>
      </c>
      <c r="CL17">
        <v>397935.266</v>
      </c>
      <c r="CM17" s="74">
        <v>6.6000000000000003E-2</v>
      </c>
      <c r="CO17" s="73">
        <v>-8532744.7410000004</v>
      </c>
      <c r="CP17">
        <v>397929.97200000001</v>
      </c>
      <c r="CQ17" s="74">
        <v>21.198</v>
      </c>
      <c r="CS17" s="73">
        <v>-8532744.7410000004</v>
      </c>
      <c r="CT17">
        <v>397929.97200000001</v>
      </c>
      <c r="CU17" s="74">
        <v>21.198</v>
      </c>
      <c r="CW17" s="73">
        <v>-8532744.7410000004</v>
      </c>
      <c r="CX17">
        <v>397929.97200000001</v>
      </c>
      <c r="CY17" s="74">
        <v>21.198</v>
      </c>
      <c r="DA17" s="73">
        <v>-8532756.0160000008</v>
      </c>
      <c r="DB17">
        <v>397910.00099999999</v>
      </c>
      <c r="DC17" s="74">
        <v>40.115000000000002</v>
      </c>
      <c r="DE17" s="73">
        <v>-8532733.4499999993</v>
      </c>
      <c r="DF17">
        <v>397986.14500000002</v>
      </c>
      <c r="DG17" s="74">
        <v>1.2999999999999999E-2</v>
      </c>
      <c r="DI17" s="73">
        <v>-8532734.0170000009</v>
      </c>
      <c r="DJ17">
        <v>397985.57799999998</v>
      </c>
      <c r="DK17" s="74">
        <v>12.991</v>
      </c>
      <c r="DM17" s="73">
        <v>-8532267.2210000008</v>
      </c>
      <c r="DN17">
        <v>397936.72499999998</v>
      </c>
      <c r="DO17" s="74">
        <v>6.4000000000000001E-2</v>
      </c>
      <c r="DQ17" s="73">
        <v>-8532267.2210000008</v>
      </c>
      <c r="DR17">
        <v>397936.72499999998</v>
      </c>
      <c r="DS17" s="74">
        <v>6.4000000000000001E-2</v>
      </c>
      <c r="DU17" s="73">
        <v>-8532744.7410000004</v>
      </c>
      <c r="DV17">
        <v>397929.97200000001</v>
      </c>
      <c r="DW17" s="74">
        <v>21.198</v>
      </c>
      <c r="DY17" s="73">
        <v>-8532735.1500000004</v>
      </c>
      <c r="DZ17">
        <v>397953.03899999999</v>
      </c>
      <c r="EA17" s="74">
        <v>3.2000000000000001E-2</v>
      </c>
      <c r="EC17" s="73">
        <v>-8532753.9710000008</v>
      </c>
      <c r="ED17">
        <v>398007.913</v>
      </c>
      <c r="EE17" s="74">
        <v>3.1E-2</v>
      </c>
      <c r="EG17" s="73">
        <v>-8540039.4240000006</v>
      </c>
      <c r="EH17">
        <v>396732.67499999999</v>
      </c>
      <c r="EI17" s="74">
        <v>5.8000000000000003E-2</v>
      </c>
      <c r="EK17">
        <v>-8534224.3080000002</v>
      </c>
      <c r="EL17">
        <v>399463.17099999997</v>
      </c>
      <c r="EM17">
        <v>4.4999999999999998E-2</v>
      </c>
      <c r="EO17">
        <v>-8532107.9440000001</v>
      </c>
      <c r="EP17">
        <v>398220.40100000001</v>
      </c>
      <c r="EQ17">
        <v>6.0999999999999999E-2</v>
      </c>
      <c r="ES17">
        <v>-8532571.8220000006</v>
      </c>
      <c r="ET17">
        <v>396957.12800000003</v>
      </c>
      <c r="EU17">
        <v>0.14799999999999999</v>
      </c>
      <c r="EW17">
        <v>-8532533.9529999997</v>
      </c>
      <c r="EX17">
        <v>397446.19400000002</v>
      </c>
      <c r="EY17">
        <v>6.6000000000000003E-2</v>
      </c>
      <c r="FA17">
        <v>-8528734.1229999997</v>
      </c>
      <c r="FB17">
        <v>395859.62400000001</v>
      </c>
      <c r="FC17">
        <v>3.6999999999999998E-2</v>
      </c>
      <c r="FE17">
        <v>-8533627.3049999997</v>
      </c>
      <c r="FF17">
        <v>395134.64500000002</v>
      </c>
      <c r="FG17">
        <v>3.1E-2</v>
      </c>
      <c r="FI17">
        <v>-8532732.0380000006</v>
      </c>
      <c r="FJ17">
        <v>398031.81300000002</v>
      </c>
      <c r="FK17">
        <v>25.138999999999999</v>
      </c>
      <c r="FM17">
        <v>-8529202.7029999997</v>
      </c>
      <c r="FN17">
        <v>394044.89399999997</v>
      </c>
      <c r="FO17">
        <v>45.052</v>
      </c>
      <c r="FQ17">
        <v>-8532922.352</v>
      </c>
      <c r="FR17">
        <v>396379.63500000001</v>
      </c>
      <c r="FS17">
        <v>61.185000000000002</v>
      </c>
      <c r="FU17">
        <v>-8534211.3900000006</v>
      </c>
      <c r="FV17">
        <v>399390.52100000001</v>
      </c>
      <c r="FW17">
        <v>5.5E-2</v>
      </c>
      <c r="FY17">
        <v>-8529481.4460000005</v>
      </c>
      <c r="FZ17">
        <v>396444.00300000003</v>
      </c>
      <c r="GA17">
        <v>2.8000000000000001E-2</v>
      </c>
      <c r="GC17">
        <v>-8530544.6630000006</v>
      </c>
      <c r="GD17">
        <v>396704.98700000002</v>
      </c>
      <c r="GE17">
        <v>33.039000000000001</v>
      </c>
      <c r="GG17">
        <v>-8529972.1349999998</v>
      </c>
      <c r="GH17">
        <v>396495.67099999997</v>
      </c>
      <c r="GI17">
        <v>45.087000000000003</v>
      </c>
      <c r="GM17" s="77">
        <f>SUM(GM$3:GM16)</f>
        <v>0.83599999999999997</v>
      </c>
      <c r="GO17">
        <v>-8532203.0309999995</v>
      </c>
      <c r="GP17">
        <v>397261.41600000003</v>
      </c>
      <c r="GQ17">
        <v>2.8000000000000001E-2</v>
      </c>
      <c r="GS17">
        <v>-8530561.2919999994</v>
      </c>
      <c r="GT17">
        <v>396972.87099999998</v>
      </c>
      <c r="GU17">
        <v>1.9E-2</v>
      </c>
      <c r="GW17">
        <v>-8531949.7149999999</v>
      </c>
      <c r="GX17">
        <v>397853.47200000001</v>
      </c>
      <c r="GY17">
        <v>38.950000000000003</v>
      </c>
      <c r="HA17">
        <v>-8532509.3450000007</v>
      </c>
      <c r="HB17">
        <v>397936.51199999999</v>
      </c>
      <c r="HC17">
        <v>94.989000000000004</v>
      </c>
      <c r="HE17">
        <v>-8533427.1610000003</v>
      </c>
      <c r="HF17">
        <v>396942.80699999997</v>
      </c>
      <c r="HG17">
        <v>0.106</v>
      </c>
      <c r="HI17">
        <v>-8531843.4309999999</v>
      </c>
      <c r="HJ17">
        <v>397813.342</v>
      </c>
      <c r="HK17">
        <v>6.4000000000000001E-2</v>
      </c>
      <c r="HM17">
        <v>-8532556.8249999993</v>
      </c>
      <c r="HN17">
        <v>396981.94300000003</v>
      </c>
      <c r="HO17">
        <v>3.1E-2</v>
      </c>
      <c r="HQ17">
        <v>-8532115.4979999997</v>
      </c>
      <c r="HR17">
        <v>397831.44500000001</v>
      </c>
      <c r="HS17">
        <v>7.6999999999999999E-2</v>
      </c>
      <c r="HU17">
        <v>-8532249.3709999993</v>
      </c>
      <c r="HV17">
        <v>397479.21799999999</v>
      </c>
      <c r="HW17">
        <v>6.4000000000000001E-2</v>
      </c>
      <c r="HY17">
        <v>-8540000.3200000003</v>
      </c>
      <c r="HZ17">
        <v>397069.91600000003</v>
      </c>
      <c r="IA17">
        <v>0.21199999999999999</v>
      </c>
      <c r="IC17">
        <v>-8532912.6459999997</v>
      </c>
      <c r="ID17">
        <v>398088.38</v>
      </c>
      <c r="IE17">
        <v>3.9E-2</v>
      </c>
      <c r="IG17">
        <v>-8531832.4989999998</v>
      </c>
      <c r="IH17">
        <v>397713.58</v>
      </c>
      <c r="II17">
        <v>3.5999999999999997E-2</v>
      </c>
      <c r="IK17">
        <v>-8532878.1160000004</v>
      </c>
      <c r="IL17">
        <v>396479.38900000002</v>
      </c>
      <c r="IM17">
        <v>0.12</v>
      </c>
      <c r="IO17">
        <v>-8534496.9969999995</v>
      </c>
      <c r="IP17">
        <v>401164.72200000001</v>
      </c>
      <c r="IQ17">
        <v>4.9000000000000002E-2</v>
      </c>
    </row>
    <row r="18" spans="5:251" ht="18.75" customHeight="1" thickBot="1" x14ac:dyDescent="0.35">
      <c r="E18" s="73">
        <v>-8532844.7290000003</v>
      </c>
      <c r="F18">
        <v>398421.37099999998</v>
      </c>
      <c r="G18" s="74">
        <v>1.4999999999999999E-2</v>
      </c>
      <c r="I18" s="75">
        <v>-8532714.8729999997</v>
      </c>
      <c r="J18" s="76">
        <v>397993.75099999999</v>
      </c>
      <c r="K18" s="77"/>
      <c r="M18" s="73">
        <v>-8532734.1999999993</v>
      </c>
      <c r="N18">
        <v>397986.10100000002</v>
      </c>
      <c r="O18" s="74">
        <v>1.2E-2</v>
      </c>
      <c r="Q18" s="73">
        <v>-8532876.6390000004</v>
      </c>
      <c r="R18">
        <v>398486.4</v>
      </c>
      <c r="S18" s="74">
        <v>0.09</v>
      </c>
      <c r="U18" s="73">
        <v>-8533010.5219999999</v>
      </c>
      <c r="V18">
        <v>398451.92300000001</v>
      </c>
      <c r="W18" s="74">
        <v>0.13800000000000001</v>
      </c>
      <c r="Y18" s="75">
        <v>-8532464.5219999999</v>
      </c>
      <c r="Z18" s="76">
        <v>397961.08600000001</v>
      </c>
      <c r="AA18" s="77"/>
      <c r="AC18" s="73">
        <v>-8532315.3379999995</v>
      </c>
      <c r="AD18">
        <v>397976.79</v>
      </c>
      <c r="AE18" s="74">
        <v>2.8000000000000001E-2</v>
      </c>
      <c r="AG18" s="73">
        <v>-8532315.3379999995</v>
      </c>
      <c r="AH18">
        <v>397976.48800000001</v>
      </c>
      <c r="AI18" s="74">
        <v>2.9000000000000001E-2</v>
      </c>
      <c r="AK18" s="73">
        <v>-8532313.5260000005</v>
      </c>
      <c r="AL18">
        <v>397976.48800000001</v>
      </c>
      <c r="AM18" s="74">
        <v>2.7E-2</v>
      </c>
      <c r="AO18" s="73">
        <v>-8532313.5260000005</v>
      </c>
      <c r="AP18">
        <v>397976.48800000001</v>
      </c>
      <c r="AQ18" s="74">
        <v>2.7E-2</v>
      </c>
      <c r="AS18" s="73">
        <v>-8532230.1769999992</v>
      </c>
      <c r="AT18">
        <v>397906.929</v>
      </c>
      <c r="AU18" s="74">
        <v>4.8000000000000001E-2</v>
      </c>
      <c r="AW18" s="73">
        <v>-8532230.1769999992</v>
      </c>
      <c r="AX18">
        <v>397906.929</v>
      </c>
      <c r="AY18" s="74">
        <v>4.8000000000000001E-2</v>
      </c>
      <c r="BA18" s="73">
        <v>-8532230.1769999992</v>
      </c>
      <c r="BB18">
        <v>397906.929</v>
      </c>
      <c r="BC18" s="74">
        <v>4.8000000000000001E-2</v>
      </c>
      <c r="BE18" s="73">
        <v>-8532230.1769999992</v>
      </c>
      <c r="BF18">
        <v>397906.929</v>
      </c>
      <c r="BG18" s="74">
        <v>4.8000000000000001E-2</v>
      </c>
      <c r="BI18" s="73">
        <v>-8532230.1769999992</v>
      </c>
      <c r="BJ18">
        <v>397906.929</v>
      </c>
      <c r="BK18" s="74">
        <v>4.8000000000000001E-2</v>
      </c>
      <c r="BM18" s="73">
        <v>-8532230.1769999992</v>
      </c>
      <c r="BN18">
        <v>397906.929</v>
      </c>
      <c r="BO18" s="74">
        <v>4.8000000000000001E-2</v>
      </c>
      <c r="BQ18" s="73">
        <v>-8532230.1769999992</v>
      </c>
      <c r="BR18">
        <v>397906.929</v>
      </c>
      <c r="BS18" s="74">
        <v>4.8000000000000001E-2</v>
      </c>
      <c r="BU18" s="73">
        <v>-8532230.1769999992</v>
      </c>
      <c r="BV18">
        <v>397906.929</v>
      </c>
      <c r="BW18" s="74">
        <v>4.8000000000000001E-2</v>
      </c>
      <c r="BY18" s="73">
        <v>-8532230.1769999992</v>
      </c>
      <c r="BZ18">
        <v>397906.929</v>
      </c>
      <c r="CA18" s="74">
        <v>4.8000000000000001E-2</v>
      </c>
      <c r="CC18" s="73">
        <v>-8532230.1769999992</v>
      </c>
      <c r="CD18">
        <v>397906.929</v>
      </c>
      <c r="CE18" s="74">
        <v>4.8000000000000001E-2</v>
      </c>
      <c r="CG18" s="73">
        <v>-8532196.3029999994</v>
      </c>
      <c r="CH18">
        <v>397879.09499999997</v>
      </c>
      <c r="CI18" s="74">
        <v>8.7999999999999995E-2</v>
      </c>
      <c r="CK18" s="73">
        <v>-8532196.3029999994</v>
      </c>
      <c r="CL18">
        <v>397879.09499999997</v>
      </c>
      <c r="CM18" s="74">
        <v>8.7999999999999995E-2</v>
      </c>
      <c r="CO18" s="73">
        <v>-8532747.7980000004</v>
      </c>
      <c r="CP18">
        <v>397911.62599999999</v>
      </c>
      <c r="CQ18" s="74">
        <v>18.599</v>
      </c>
      <c r="CS18" s="73">
        <v>-8532747.7980000004</v>
      </c>
      <c r="CT18">
        <v>397911.62599999999</v>
      </c>
      <c r="CU18" s="74">
        <v>18.599</v>
      </c>
      <c r="CW18" s="73">
        <v>-8532747.7980000004</v>
      </c>
      <c r="CX18">
        <v>397911.62599999999</v>
      </c>
      <c r="CY18" s="74">
        <v>18.599</v>
      </c>
      <c r="DA18" s="73">
        <v>-8533335.0610000007</v>
      </c>
      <c r="DB18">
        <v>398005.17099999997</v>
      </c>
      <c r="DC18" s="74">
        <v>586.81399999999996</v>
      </c>
      <c r="DE18" s="73">
        <v>-8532734.1300000008</v>
      </c>
      <c r="DF18">
        <v>397953.72</v>
      </c>
      <c r="DG18" s="74">
        <v>3.2000000000000001E-2</v>
      </c>
      <c r="DI18" s="73">
        <v>-8532734.4700000007</v>
      </c>
      <c r="DJ18">
        <v>397954.4</v>
      </c>
      <c r="DK18" s="74">
        <v>31.181000000000001</v>
      </c>
      <c r="DM18" s="73">
        <v>-8532230.1769999992</v>
      </c>
      <c r="DN18">
        <v>397906.929</v>
      </c>
      <c r="DO18" s="74">
        <v>4.8000000000000001E-2</v>
      </c>
      <c r="DQ18" s="73">
        <v>-8532230.1769999992</v>
      </c>
      <c r="DR18">
        <v>397906.929</v>
      </c>
      <c r="DS18" s="74">
        <v>4.8000000000000001E-2</v>
      </c>
      <c r="DU18" s="73">
        <v>-8532747.7980000004</v>
      </c>
      <c r="DV18">
        <v>397911.62599999999</v>
      </c>
      <c r="DW18" s="74">
        <v>18.599</v>
      </c>
      <c r="DY18" s="73">
        <v>-8532748.7550000008</v>
      </c>
      <c r="DZ18">
        <v>397927.41700000002</v>
      </c>
      <c r="EA18" s="74">
        <v>2.9000000000000001E-2</v>
      </c>
      <c r="EC18" s="73">
        <v>-8532748.5289999992</v>
      </c>
      <c r="ED18">
        <v>398000.65700000001</v>
      </c>
      <c r="EE18" s="74">
        <v>8.9999999999999993E-3</v>
      </c>
      <c r="EG18" s="73">
        <v>-8540111.0769999996</v>
      </c>
      <c r="EH18">
        <v>396683.69699999999</v>
      </c>
      <c r="EI18" s="74">
        <v>8.6999999999999994E-2</v>
      </c>
      <c r="EK18">
        <v>-8534211.9609999992</v>
      </c>
      <c r="EL18">
        <v>399438.91800000001</v>
      </c>
      <c r="EM18">
        <v>2.7E-2</v>
      </c>
      <c r="EO18">
        <v>-8532100.6679999996</v>
      </c>
      <c r="EP18">
        <v>398192.62</v>
      </c>
      <c r="EQ18">
        <v>2.8000000000000001E-2</v>
      </c>
      <c r="ES18">
        <v>-8532562.2310000006</v>
      </c>
      <c r="ET18">
        <v>396987.55499999999</v>
      </c>
      <c r="EU18">
        <v>3.2000000000000001E-2</v>
      </c>
      <c r="EW18">
        <v>-8532433.7420000006</v>
      </c>
      <c r="EX18">
        <v>397502.74800000002</v>
      </c>
      <c r="EY18">
        <v>0.115</v>
      </c>
      <c r="FA18">
        <v>-8528732.3870000001</v>
      </c>
      <c r="FB18">
        <v>395892.11800000002</v>
      </c>
      <c r="FC18">
        <v>3.2000000000000001E-2</v>
      </c>
      <c r="FE18">
        <v>-8533610.9340000004</v>
      </c>
      <c r="FF18">
        <v>395154.73700000002</v>
      </c>
      <c r="FG18">
        <v>2.5999999999999999E-2</v>
      </c>
      <c r="FI18">
        <v>-8532727.9450000003</v>
      </c>
      <c r="FJ18">
        <v>398048.06</v>
      </c>
      <c r="FK18">
        <v>16.617000000000001</v>
      </c>
      <c r="FM18">
        <v>-8529168.9690000005</v>
      </c>
      <c r="FN18">
        <v>394052.83100000001</v>
      </c>
      <c r="FO18">
        <v>34.578000000000003</v>
      </c>
      <c r="FQ18">
        <v>-8532841.9849999994</v>
      </c>
      <c r="FR18">
        <v>396592.45899999997</v>
      </c>
      <c r="FS18">
        <v>225.732</v>
      </c>
      <c r="FU18">
        <v>-8534248.2249999996</v>
      </c>
      <c r="FV18">
        <v>399210.81099999999</v>
      </c>
      <c r="FW18">
        <v>0.182</v>
      </c>
      <c r="FY18">
        <v>-8529526.6520000007</v>
      </c>
      <c r="FZ18">
        <v>396486.69799999997</v>
      </c>
      <c r="GA18">
        <v>6.2E-2</v>
      </c>
      <c r="GC18">
        <v>-8530573.3880000003</v>
      </c>
      <c r="GD18">
        <v>396704.98700000002</v>
      </c>
      <c r="GE18">
        <v>28.67</v>
      </c>
      <c r="GG18">
        <v>-8529990.0289999992</v>
      </c>
      <c r="GH18">
        <v>396507.91499999998</v>
      </c>
      <c r="GI18">
        <v>21.594000000000001</v>
      </c>
      <c r="GO18">
        <v>-8532207.2689999994</v>
      </c>
      <c r="GP18">
        <v>397298.5</v>
      </c>
      <c r="GQ18">
        <v>3.6999999999999998E-2</v>
      </c>
      <c r="GS18">
        <v>-8530587.7799999993</v>
      </c>
      <c r="GT18">
        <v>396945.32299999997</v>
      </c>
      <c r="GU18">
        <v>3.7999999999999999E-2</v>
      </c>
      <c r="GW18">
        <v>-8531974.3489999995</v>
      </c>
      <c r="GX18">
        <v>397859.82900000003</v>
      </c>
      <c r="GY18">
        <v>25.381</v>
      </c>
      <c r="HA18">
        <v>-8532558.6129999999</v>
      </c>
      <c r="HB18">
        <v>397916.64600000001</v>
      </c>
      <c r="HC18">
        <v>52.970999999999997</v>
      </c>
      <c r="HE18">
        <v>-8533433.5179999992</v>
      </c>
      <c r="HF18">
        <v>396990.48599999998</v>
      </c>
      <c r="HG18">
        <v>4.8000000000000001E-2</v>
      </c>
      <c r="HI18">
        <v>-8531858.3310000002</v>
      </c>
      <c r="HJ18">
        <v>397803.80599999998</v>
      </c>
      <c r="HK18">
        <v>1.7999999999999999E-2</v>
      </c>
      <c r="HM18">
        <v>-8532572.3200000003</v>
      </c>
      <c r="HN18">
        <v>397080.87699999998</v>
      </c>
      <c r="HO18">
        <v>9.9000000000000005E-2</v>
      </c>
      <c r="HQ18">
        <v>-8532181.6530000009</v>
      </c>
      <c r="HR18">
        <v>397867.20400000003</v>
      </c>
      <c r="HS18">
        <v>7.4999999999999997E-2</v>
      </c>
      <c r="HU18">
        <v>-8532292.2819999997</v>
      </c>
      <c r="HV18">
        <v>397521.23499999999</v>
      </c>
      <c r="HW18">
        <v>0.06</v>
      </c>
      <c r="HY18">
        <v>-8539855.4959999993</v>
      </c>
      <c r="HZ18">
        <v>396812.451</v>
      </c>
      <c r="IA18">
        <v>0.29299999999999998</v>
      </c>
      <c r="IC18">
        <v>-8532893.8729999997</v>
      </c>
      <c r="ID18">
        <v>398201.02100000001</v>
      </c>
      <c r="IE18">
        <v>0.113</v>
      </c>
      <c r="IG18">
        <v>-8531911.6160000004</v>
      </c>
      <c r="IH18">
        <v>397779.28700000001</v>
      </c>
      <c r="II18">
        <v>0.10199999999999999</v>
      </c>
      <c r="IK18">
        <v>-8532853.9790000003</v>
      </c>
      <c r="IL18">
        <v>396632.25900000002</v>
      </c>
      <c r="IM18">
        <v>0.153</v>
      </c>
      <c r="IO18">
        <v>-8534391.0610000007</v>
      </c>
      <c r="IP18">
        <v>401182.15500000003</v>
      </c>
      <c r="IQ18">
        <v>0.107</v>
      </c>
    </row>
    <row r="19" spans="5:251" x14ac:dyDescent="0.3">
      <c r="E19" s="73">
        <v>-8532833.4550000001</v>
      </c>
      <c r="F19">
        <v>398397.212</v>
      </c>
      <c r="G19" s="74">
        <v>2.7E-2</v>
      </c>
      <c r="K19">
        <f>SUM(K$3:K18)</f>
        <v>0.44900000000000007</v>
      </c>
      <c r="M19" s="73">
        <v>-8532735.2070000004</v>
      </c>
      <c r="N19">
        <v>397953.48599999998</v>
      </c>
      <c r="O19" s="74">
        <v>3.3000000000000002E-2</v>
      </c>
      <c r="Q19" s="73">
        <v>-8532916.5020000003</v>
      </c>
      <c r="R19">
        <v>398552.033</v>
      </c>
      <c r="S19" s="74">
        <v>7.6999999999999999E-2</v>
      </c>
      <c r="U19" s="73">
        <v>-8533078.9739999995</v>
      </c>
      <c r="V19">
        <v>398454.74099999998</v>
      </c>
      <c r="W19" s="74">
        <v>6.9000000000000006E-2</v>
      </c>
      <c r="AA19">
        <f>SUM(AA$3:AA18)</f>
        <v>0.72299999999999998</v>
      </c>
      <c r="AC19" s="73">
        <v>-8532268.6300000008</v>
      </c>
      <c r="AD19">
        <v>397937.73200000002</v>
      </c>
      <c r="AE19" s="74">
        <v>6.0999999999999999E-2</v>
      </c>
      <c r="AG19" s="73">
        <v>-8532268.6300000008</v>
      </c>
      <c r="AH19">
        <v>397937.83299999998</v>
      </c>
      <c r="AI19" s="74">
        <v>6.0999999999999999E-2</v>
      </c>
      <c r="AK19" s="73">
        <v>-8532152.8670000006</v>
      </c>
      <c r="AL19">
        <v>397843.20899999997</v>
      </c>
      <c r="AM19" s="74">
        <v>0.20899999999999999</v>
      </c>
      <c r="AO19" s="73">
        <v>-8532152.8670000006</v>
      </c>
      <c r="AP19">
        <v>397843.20899999997</v>
      </c>
      <c r="AQ19" s="74">
        <v>0.20899999999999999</v>
      </c>
      <c r="AS19" s="73">
        <v>-8532269.6370000001</v>
      </c>
      <c r="AT19">
        <v>397812.70799999998</v>
      </c>
      <c r="AU19" s="74">
        <v>0.10199999999999999</v>
      </c>
      <c r="AW19" s="73">
        <v>-8532269.6370000001</v>
      </c>
      <c r="AX19">
        <v>397812.70799999998</v>
      </c>
      <c r="AY19" s="74">
        <v>0.10199999999999999</v>
      </c>
      <c r="BA19" s="73">
        <v>-8532269.6370000001</v>
      </c>
      <c r="BB19">
        <v>397812.70799999998</v>
      </c>
      <c r="BC19" s="74">
        <v>0.10199999999999999</v>
      </c>
      <c r="BE19" s="73">
        <v>-8532269.6370000001</v>
      </c>
      <c r="BF19">
        <v>397812.70799999998</v>
      </c>
      <c r="BG19" s="74">
        <v>0.10199999999999999</v>
      </c>
      <c r="BI19" s="73">
        <v>-8532269.6370000001</v>
      </c>
      <c r="BJ19">
        <v>397812.70799999998</v>
      </c>
      <c r="BK19" s="74">
        <v>0.10199999999999999</v>
      </c>
      <c r="BM19" s="73">
        <v>-8532269.6370000001</v>
      </c>
      <c r="BN19">
        <v>397812.70799999998</v>
      </c>
      <c r="BO19" s="74">
        <v>0.10199999999999999</v>
      </c>
      <c r="BQ19" s="73">
        <v>-8532269.6370000001</v>
      </c>
      <c r="BR19">
        <v>397812.70799999998</v>
      </c>
      <c r="BS19" s="74">
        <v>0.10199999999999999</v>
      </c>
      <c r="BU19" s="73">
        <v>-8532269.6370000001</v>
      </c>
      <c r="BV19">
        <v>397812.70799999998</v>
      </c>
      <c r="BW19" s="74">
        <v>0.10199999999999999</v>
      </c>
      <c r="BY19" s="73">
        <v>-8532269.6370000001</v>
      </c>
      <c r="BZ19">
        <v>397812.70799999998</v>
      </c>
      <c r="CA19" s="74">
        <v>0.10199999999999999</v>
      </c>
      <c r="CC19" s="73">
        <v>-8532269.6370000001</v>
      </c>
      <c r="CD19">
        <v>397812.70799999998</v>
      </c>
      <c r="CE19" s="74">
        <v>0.10199999999999999</v>
      </c>
      <c r="CG19" s="73">
        <v>-8532151.6089999992</v>
      </c>
      <c r="CH19">
        <v>397935.87</v>
      </c>
      <c r="CI19" s="74">
        <v>7.1999999999999995E-2</v>
      </c>
      <c r="CK19" s="73">
        <v>-8532151.6089999992</v>
      </c>
      <c r="CL19">
        <v>397935.87</v>
      </c>
      <c r="CM19" s="74">
        <v>7.1999999999999995E-2</v>
      </c>
      <c r="CO19" s="73">
        <v>-8533143.0010000002</v>
      </c>
      <c r="CP19">
        <v>397972.77899999998</v>
      </c>
      <c r="CQ19" s="74">
        <v>399.90600000000001</v>
      </c>
      <c r="CS19" s="73">
        <v>-8533143.0010000002</v>
      </c>
      <c r="CT19">
        <v>397972.77899999998</v>
      </c>
      <c r="CU19" s="74">
        <v>399.90600000000001</v>
      </c>
      <c r="CW19" s="73">
        <v>-8533143.0010000002</v>
      </c>
      <c r="CX19">
        <v>397972.77899999998</v>
      </c>
      <c r="CY19" s="74">
        <v>399.90600000000001</v>
      </c>
      <c r="DA19" s="73">
        <v>-8533378.6319999993</v>
      </c>
      <c r="DB19">
        <v>397987.97200000001</v>
      </c>
      <c r="DC19" s="74">
        <v>46.843000000000004</v>
      </c>
      <c r="DE19" s="73">
        <v>-8532745.0140000004</v>
      </c>
      <c r="DF19">
        <v>397935.80599999998</v>
      </c>
      <c r="DG19" s="74">
        <v>2.1000000000000001E-2</v>
      </c>
      <c r="DI19" s="73">
        <v>-8532745.1270000003</v>
      </c>
      <c r="DJ19">
        <v>397935.353</v>
      </c>
      <c r="DK19" s="74">
        <v>21.826000000000001</v>
      </c>
      <c r="DM19" s="73">
        <v>-8532269.6370000001</v>
      </c>
      <c r="DN19">
        <v>397812.70799999998</v>
      </c>
      <c r="DO19" s="74">
        <v>0.10199999999999999</v>
      </c>
      <c r="DQ19" s="73">
        <v>-8532269.6370000001</v>
      </c>
      <c r="DR19">
        <v>397812.70799999998</v>
      </c>
      <c r="DS19" s="74">
        <v>0.10199999999999999</v>
      </c>
      <c r="DU19" s="73">
        <v>-8533143.0010000002</v>
      </c>
      <c r="DV19">
        <v>397972.77899999998</v>
      </c>
      <c r="DW19" s="74">
        <v>399.90600000000001</v>
      </c>
      <c r="DY19" s="73">
        <v>-8532747.3949999996</v>
      </c>
      <c r="DZ19">
        <v>397919.25400000002</v>
      </c>
      <c r="EA19" s="74">
        <v>8.0000000000000002E-3</v>
      </c>
      <c r="EC19" s="73">
        <v>-8532739.4590000007</v>
      </c>
      <c r="ED19">
        <v>397994.30800000002</v>
      </c>
      <c r="EE19" s="74">
        <v>1.0999999999999999E-2</v>
      </c>
      <c r="EG19" s="73">
        <v>-8540145.5429999996</v>
      </c>
      <c r="EH19">
        <v>396643.78899999999</v>
      </c>
      <c r="EI19" s="74">
        <v>5.2999999999999999E-2</v>
      </c>
      <c r="EK19">
        <v>-8534211.9609999992</v>
      </c>
      <c r="EL19">
        <v>399413.78200000001</v>
      </c>
      <c r="EM19">
        <v>2.5000000000000001E-2</v>
      </c>
      <c r="EO19">
        <v>-8532071.7589999996</v>
      </c>
      <c r="EP19">
        <v>398168.92</v>
      </c>
      <c r="EQ19">
        <v>3.6999999999999998E-2</v>
      </c>
      <c r="ES19">
        <v>-8532582.0739999991</v>
      </c>
      <c r="ET19">
        <v>397092.72700000001</v>
      </c>
      <c r="EU19">
        <v>0.106</v>
      </c>
      <c r="EW19">
        <v>-8532373.7149999999</v>
      </c>
      <c r="EX19">
        <v>397544.42</v>
      </c>
      <c r="EY19">
        <v>7.2999999999999995E-2</v>
      </c>
      <c r="FA19">
        <v>-8528713.5350000001</v>
      </c>
      <c r="FB19">
        <v>395907.99300000002</v>
      </c>
      <c r="FC19">
        <v>2.5000000000000001E-2</v>
      </c>
      <c r="FE19">
        <v>-8533537.2640000004</v>
      </c>
      <c r="FF19">
        <v>395189.71100000001</v>
      </c>
      <c r="FG19">
        <v>8.1000000000000003E-2</v>
      </c>
      <c r="FI19">
        <v>-8532754.2379999999</v>
      </c>
      <c r="FJ19">
        <v>398049.3</v>
      </c>
      <c r="FK19">
        <v>26.271000000000001</v>
      </c>
      <c r="FM19">
        <v>-8529139.2029999997</v>
      </c>
      <c r="FN19">
        <v>394100.45600000001</v>
      </c>
      <c r="FO19">
        <v>55.786999999999999</v>
      </c>
      <c r="FQ19">
        <v>-8532928.3049999997</v>
      </c>
      <c r="FR19">
        <v>396729.38099999999</v>
      </c>
      <c r="FS19">
        <v>160.78</v>
      </c>
      <c r="FU19">
        <v>-8534278.9199999999</v>
      </c>
      <c r="FV19">
        <v>399133.234</v>
      </c>
      <c r="FW19">
        <v>8.3000000000000004E-2</v>
      </c>
      <c r="FY19">
        <v>-8529550.9299999997</v>
      </c>
      <c r="FZ19">
        <v>396495.07</v>
      </c>
      <c r="GA19">
        <v>2.5999999999999999E-2</v>
      </c>
      <c r="GC19">
        <v>-8530604.4670000002</v>
      </c>
      <c r="GD19">
        <v>396696.04</v>
      </c>
      <c r="GE19">
        <v>32.262999999999998</v>
      </c>
      <c r="GG19">
        <v>-8530002.5079999994</v>
      </c>
      <c r="GH19">
        <v>396500.85100000002</v>
      </c>
      <c r="GI19">
        <v>14.289</v>
      </c>
      <c r="GO19">
        <v>-8532221.0429999996</v>
      </c>
      <c r="GP19">
        <v>397321.80900000001</v>
      </c>
      <c r="GQ19">
        <v>2.7E-2</v>
      </c>
      <c r="GS19">
        <v>-8530613.5620000008</v>
      </c>
      <c r="GT19">
        <v>396901.53</v>
      </c>
      <c r="GU19">
        <v>0.05</v>
      </c>
      <c r="GW19">
        <v>-8532037.9210000001</v>
      </c>
      <c r="GX19">
        <v>397828.04300000001</v>
      </c>
      <c r="GY19">
        <v>70.843999999999994</v>
      </c>
      <c r="HA19">
        <v>-8532663.5059999991</v>
      </c>
      <c r="HB19">
        <v>397914.26199999999</v>
      </c>
      <c r="HC19">
        <v>104.718</v>
      </c>
      <c r="HE19">
        <v>-8533524.9030000009</v>
      </c>
      <c r="HF19">
        <v>397017.50400000002</v>
      </c>
      <c r="HG19">
        <v>9.5000000000000001E-2</v>
      </c>
      <c r="HI19">
        <v>-8531926.273</v>
      </c>
      <c r="HJ19">
        <v>397815.72600000002</v>
      </c>
      <c r="HK19">
        <v>6.9000000000000006E-2</v>
      </c>
      <c r="HM19">
        <v>-8532628.3430000003</v>
      </c>
      <c r="HN19">
        <v>397150.60700000002</v>
      </c>
      <c r="HO19">
        <v>8.8999999999999996E-2</v>
      </c>
      <c r="HQ19">
        <v>-8532251.3829999994</v>
      </c>
      <c r="HR19">
        <v>397924.41899999999</v>
      </c>
      <c r="HS19">
        <v>0.09</v>
      </c>
      <c r="HU19">
        <v>-8532298.9869999997</v>
      </c>
      <c r="HV19">
        <v>397564.14600000001</v>
      </c>
      <c r="HW19">
        <v>4.2999999999999997E-2</v>
      </c>
      <c r="HY19">
        <v>-8539560.4829999991</v>
      </c>
      <c r="HZ19">
        <v>396694.446</v>
      </c>
      <c r="IA19">
        <v>0.317</v>
      </c>
      <c r="IC19">
        <v>-8532845.5979999993</v>
      </c>
      <c r="ID19">
        <v>398184.929</v>
      </c>
      <c r="IE19">
        <v>5.0999999999999997E-2</v>
      </c>
      <c r="IG19">
        <v>-8531945.1400000006</v>
      </c>
      <c r="IH19">
        <v>397846.33500000002</v>
      </c>
      <c r="II19">
        <v>7.3999999999999996E-2</v>
      </c>
      <c r="IK19">
        <v>-8533014.8949999996</v>
      </c>
      <c r="IL19">
        <v>396803.902</v>
      </c>
      <c r="IM19">
        <v>0.23400000000000001</v>
      </c>
      <c r="IO19">
        <v>-8534344.1270000003</v>
      </c>
      <c r="IP19">
        <v>401100.35600000003</v>
      </c>
      <c r="IQ19">
        <v>9.4E-2</v>
      </c>
    </row>
    <row r="20" spans="5:251" x14ac:dyDescent="0.3">
      <c r="E20" s="73">
        <v>-8532834.2599999998</v>
      </c>
      <c r="F20">
        <v>398383.11900000001</v>
      </c>
      <c r="G20" s="74">
        <v>1.4E-2</v>
      </c>
      <c r="M20" s="73">
        <v>-8532746.4810000006</v>
      </c>
      <c r="N20">
        <v>397931.94400000002</v>
      </c>
      <c r="O20" s="74">
        <v>2.4E-2</v>
      </c>
      <c r="Q20" s="73">
        <v>-8533061.8609999996</v>
      </c>
      <c r="R20">
        <v>398669.40700000001</v>
      </c>
      <c r="S20" s="74">
        <v>0.187</v>
      </c>
      <c r="U20" s="73">
        <v>-8533177.6239999998</v>
      </c>
      <c r="V20">
        <v>398474.47100000002</v>
      </c>
      <c r="W20" s="74">
        <v>0.10100000000000001</v>
      </c>
      <c r="AC20" s="73">
        <v>-8532162.3289999999</v>
      </c>
      <c r="AD20">
        <v>397849.14799999999</v>
      </c>
      <c r="AE20" s="74">
        <v>0.13800000000000001</v>
      </c>
      <c r="AG20" s="73">
        <v>-8532159.9130000006</v>
      </c>
      <c r="AH20">
        <v>397848.44300000003</v>
      </c>
      <c r="AI20" s="74">
        <v>0.14099999999999999</v>
      </c>
      <c r="AK20" s="73">
        <v>-8532056.2300000004</v>
      </c>
      <c r="AL20">
        <v>397827.908</v>
      </c>
      <c r="AM20" s="74">
        <v>9.8000000000000004E-2</v>
      </c>
      <c r="AO20" s="73">
        <v>-8532056.2300000004</v>
      </c>
      <c r="AP20">
        <v>397827.908</v>
      </c>
      <c r="AQ20" s="74">
        <v>9.8000000000000004E-2</v>
      </c>
      <c r="AS20" s="73">
        <v>-8532274.8709999993</v>
      </c>
      <c r="AT20">
        <v>397780.495</v>
      </c>
      <c r="AU20" s="74">
        <v>3.3000000000000002E-2</v>
      </c>
      <c r="AW20" s="73">
        <v>-8532274.8709999993</v>
      </c>
      <c r="AX20">
        <v>397780.495</v>
      </c>
      <c r="AY20" s="74">
        <v>3.3000000000000002E-2</v>
      </c>
      <c r="BA20" s="73">
        <v>-8532274.8709999993</v>
      </c>
      <c r="BB20">
        <v>397780.495</v>
      </c>
      <c r="BC20" s="74">
        <v>3.3000000000000002E-2</v>
      </c>
      <c r="BE20" s="73">
        <v>-8532274.8709999993</v>
      </c>
      <c r="BF20">
        <v>397780.495</v>
      </c>
      <c r="BG20" s="74">
        <v>3.3000000000000002E-2</v>
      </c>
      <c r="BI20" s="73">
        <v>-8532274.8709999993</v>
      </c>
      <c r="BJ20">
        <v>397780.495</v>
      </c>
      <c r="BK20" s="74">
        <v>3.3000000000000002E-2</v>
      </c>
      <c r="BM20" s="73">
        <v>-8532274.8709999993</v>
      </c>
      <c r="BN20">
        <v>397780.495</v>
      </c>
      <c r="BO20" s="74">
        <v>3.3000000000000002E-2</v>
      </c>
      <c r="BQ20" s="73">
        <v>-8532274.8709999993</v>
      </c>
      <c r="BR20">
        <v>397780.495</v>
      </c>
      <c r="BS20" s="74">
        <v>3.3000000000000002E-2</v>
      </c>
      <c r="BU20" s="73">
        <v>-8532274.8709999993</v>
      </c>
      <c r="BV20">
        <v>397780.495</v>
      </c>
      <c r="BW20" s="74">
        <v>3.3000000000000002E-2</v>
      </c>
      <c r="BY20" s="73">
        <v>-8532274.8709999993</v>
      </c>
      <c r="BZ20">
        <v>397780.495</v>
      </c>
      <c r="CA20" s="74">
        <v>3.3000000000000002E-2</v>
      </c>
      <c r="CC20" s="73">
        <v>-8532274.8709999993</v>
      </c>
      <c r="CD20">
        <v>397780.495</v>
      </c>
      <c r="CE20" s="74">
        <v>3.3000000000000002E-2</v>
      </c>
      <c r="CG20" s="73">
        <v>-8532079.7349999994</v>
      </c>
      <c r="CH20">
        <v>398114.64899999998</v>
      </c>
      <c r="CI20" s="74">
        <v>0.193</v>
      </c>
      <c r="CK20" s="73">
        <v>-8532079.7349999994</v>
      </c>
      <c r="CL20">
        <v>398114.64899999998</v>
      </c>
      <c r="CM20" s="74">
        <v>0.193</v>
      </c>
      <c r="CO20" s="73">
        <v>-8533342.5140000004</v>
      </c>
      <c r="CP20">
        <v>398003.73800000001</v>
      </c>
      <c r="CQ20" s="74">
        <v>201.9</v>
      </c>
      <c r="CS20" s="73">
        <v>-8533342.5140000004</v>
      </c>
      <c r="CT20">
        <v>398003.73800000001</v>
      </c>
      <c r="CU20" s="74">
        <v>201.9</v>
      </c>
      <c r="CW20" s="73">
        <v>-8533342.5140000004</v>
      </c>
      <c r="CX20">
        <v>398003.73800000001</v>
      </c>
      <c r="CY20" s="74">
        <v>201.9</v>
      </c>
      <c r="DA20" s="73">
        <v>-8533435.9639999997</v>
      </c>
      <c r="DB20">
        <v>397950.13299999997</v>
      </c>
      <c r="DC20" s="74">
        <v>68.691999999999993</v>
      </c>
      <c r="DE20" s="73">
        <v>-8532747.7349999994</v>
      </c>
      <c r="DF20">
        <v>397926.73599999998</v>
      </c>
      <c r="DG20" s="74">
        <v>8.9999999999999993E-3</v>
      </c>
      <c r="DI20" s="73">
        <v>-8532748.7550000008</v>
      </c>
      <c r="DJ20">
        <v>397924.01500000001</v>
      </c>
      <c r="DK20" s="74">
        <v>11.904</v>
      </c>
      <c r="DM20" s="73">
        <v>-8532274.8709999993</v>
      </c>
      <c r="DN20">
        <v>397780.495</v>
      </c>
      <c r="DO20" s="74">
        <v>3.3000000000000002E-2</v>
      </c>
      <c r="DQ20" s="73">
        <v>-8532274.8709999993</v>
      </c>
      <c r="DR20">
        <v>397780.495</v>
      </c>
      <c r="DS20" s="74">
        <v>3.3000000000000002E-2</v>
      </c>
      <c r="DU20" s="73">
        <v>-8533342.5140000004</v>
      </c>
      <c r="DV20">
        <v>398003.73800000001</v>
      </c>
      <c r="DW20" s="74">
        <v>201.9</v>
      </c>
      <c r="DY20" s="73">
        <v>-8532744.6740000006</v>
      </c>
      <c r="DZ20">
        <v>397913.81199999998</v>
      </c>
      <c r="EA20" s="74">
        <v>6.0000000000000001E-3</v>
      </c>
      <c r="EC20" s="73">
        <v>-8532733.5629999992</v>
      </c>
      <c r="ED20">
        <v>397982.97</v>
      </c>
      <c r="EE20" s="74">
        <v>1.2999999999999999E-2</v>
      </c>
      <c r="EG20" s="73">
        <v>-8540158.2410000004</v>
      </c>
      <c r="EH20">
        <v>396589.36900000001</v>
      </c>
      <c r="EI20" s="74">
        <v>5.6000000000000001E-2</v>
      </c>
      <c r="EK20">
        <v>-8534236.6549999993</v>
      </c>
      <c r="EL20">
        <v>399286.78200000001</v>
      </c>
      <c r="EM20">
        <v>0.128</v>
      </c>
      <c r="EO20">
        <v>-8532119.3839999996</v>
      </c>
      <c r="EP20">
        <v>397996.94</v>
      </c>
      <c r="EQ20">
        <v>0.17699999999999999</v>
      </c>
      <c r="ES20">
        <v>-8532605.8870000001</v>
      </c>
      <c r="ET20">
        <v>397121.5</v>
      </c>
      <c r="EU20">
        <v>3.6999999999999998E-2</v>
      </c>
      <c r="EW20">
        <v>-8532308.727</v>
      </c>
      <c r="EX20">
        <v>397561.78399999999</v>
      </c>
      <c r="EY20">
        <v>6.7000000000000004E-2</v>
      </c>
      <c r="FA20">
        <v>-8528640.8570000008</v>
      </c>
      <c r="FB20">
        <v>395911.46600000001</v>
      </c>
      <c r="FC20">
        <v>7.2999999999999995E-2</v>
      </c>
      <c r="FE20">
        <v>-8533492.6160000004</v>
      </c>
      <c r="FF20">
        <v>395211.29100000003</v>
      </c>
      <c r="FG20">
        <v>4.9000000000000002E-2</v>
      </c>
      <c r="FI20">
        <v>-8532794.9179999996</v>
      </c>
      <c r="FJ20">
        <v>398057.114</v>
      </c>
      <c r="FK20">
        <v>41.332999999999998</v>
      </c>
      <c r="FM20">
        <v>-8529016.1720000003</v>
      </c>
      <c r="FN20">
        <v>394098.47200000001</v>
      </c>
      <c r="FO20">
        <v>122.81399999999999</v>
      </c>
      <c r="FQ20">
        <v>-8533005.6960000005</v>
      </c>
      <c r="FR20">
        <v>396775.51799999998</v>
      </c>
      <c r="FS20">
        <v>89.77</v>
      </c>
      <c r="FU20">
        <v>-8534269.9910000004</v>
      </c>
      <c r="FV20">
        <v>399091.37599999999</v>
      </c>
      <c r="FW20">
        <v>4.2000000000000003E-2</v>
      </c>
      <c r="FY20">
        <v>-8529566.8359999992</v>
      </c>
      <c r="FZ20">
        <v>396483.34899999999</v>
      </c>
      <c r="GA20">
        <v>0.02</v>
      </c>
      <c r="GC20">
        <v>-8530622.3619999997</v>
      </c>
      <c r="GD20">
        <v>396704.98700000002</v>
      </c>
      <c r="GE20">
        <v>19.940999999999999</v>
      </c>
      <c r="GG20">
        <v>-8530020.8729999997</v>
      </c>
      <c r="GH20">
        <v>396503.91200000001</v>
      </c>
      <c r="GI20">
        <v>18.579000000000001</v>
      </c>
      <c r="GO20">
        <v>-8532203.0309999995</v>
      </c>
      <c r="GP20">
        <v>397368.95799999998</v>
      </c>
      <c r="GQ20">
        <v>0.05</v>
      </c>
      <c r="GS20">
        <v>-8530639.3430000003</v>
      </c>
      <c r="GT20">
        <v>396871.15600000002</v>
      </c>
      <c r="GU20">
        <v>0.04</v>
      </c>
      <c r="GW20">
        <v>-8532131.6889999993</v>
      </c>
      <c r="GX20">
        <v>397833.60499999998</v>
      </c>
      <c r="GY20">
        <v>93.75</v>
      </c>
      <c r="HA20">
        <v>-8532747.7390000001</v>
      </c>
      <c r="HB20">
        <v>397915.05699999997</v>
      </c>
      <c r="HC20">
        <v>84.073999999999998</v>
      </c>
      <c r="HE20">
        <v>-8533622.6439999994</v>
      </c>
      <c r="HF20">
        <v>397096.96799999999</v>
      </c>
      <c r="HG20">
        <v>0.125</v>
      </c>
      <c r="HI20">
        <v>-8531941.1730000004</v>
      </c>
      <c r="HJ20">
        <v>397834.79700000002</v>
      </c>
      <c r="HK20">
        <v>2.4E-2</v>
      </c>
      <c r="HM20">
        <v>-8532680.1940000001</v>
      </c>
      <c r="HN20">
        <v>397204.842</v>
      </c>
      <c r="HO20">
        <v>7.4999999999999997E-2</v>
      </c>
      <c r="HQ20">
        <v>-8532273.7320000008</v>
      </c>
      <c r="HR20">
        <v>397947.66200000001</v>
      </c>
      <c r="HS20">
        <v>3.2000000000000001E-2</v>
      </c>
      <c r="HU20">
        <v>-8532281.5539999995</v>
      </c>
      <c r="HV20">
        <v>397596.32900000003</v>
      </c>
      <c r="HW20">
        <v>3.5999999999999997E-2</v>
      </c>
      <c r="HY20">
        <v>-8539265.4710000008</v>
      </c>
      <c r="HZ20">
        <v>396721.26500000001</v>
      </c>
      <c r="IA20">
        <v>0.29599999999999999</v>
      </c>
      <c r="IC20">
        <v>-8530917.2899999991</v>
      </c>
      <c r="ID20">
        <v>398300.25199999998</v>
      </c>
      <c r="IG20">
        <v>-8531973.3000000007</v>
      </c>
      <c r="IH20">
        <v>397862.42700000003</v>
      </c>
      <c r="II20">
        <v>3.2000000000000001E-2</v>
      </c>
      <c r="IK20">
        <v>-8532977.3479999993</v>
      </c>
      <c r="IL20">
        <v>396870.951</v>
      </c>
      <c r="IM20">
        <v>7.5999999999999998E-2</v>
      </c>
      <c r="IO20">
        <v>-8534296.523</v>
      </c>
      <c r="IP20">
        <v>401032.63699999999</v>
      </c>
      <c r="IQ20">
        <v>8.2000000000000003E-2</v>
      </c>
    </row>
    <row r="21" spans="5:251" ht="15" thickBot="1" x14ac:dyDescent="0.35">
      <c r="E21" s="73">
        <v>-8532841.1050000004</v>
      </c>
      <c r="F21">
        <v>398367.41499999998</v>
      </c>
      <c r="G21" s="74">
        <v>1.7000000000000001E-2</v>
      </c>
      <c r="M21" s="73">
        <v>-8532747.4879999999</v>
      </c>
      <c r="N21">
        <v>397922.07900000003</v>
      </c>
      <c r="O21" s="74">
        <v>0.01</v>
      </c>
      <c r="Q21" s="73">
        <v>-8533096.0869999994</v>
      </c>
      <c r="R21">
        <v>398688.13</v>
      </c>
      <c r="S21" s="74">
        <v>3.9E-2</v>
      </c>
      <c r="U21" s="73">
        <v>-8533280.7039999999</v>
      </c>
      <c r="V21">
        <v>398491.78600000002</v>
      </c>
      <c r="W21" s="74">
        <v>0.105</v>
      </c>
      <c r="AC21" s="73">
        <v>-8532137.3650000002</v>
      </c>
      <c r="AD21">
        <v>397841.49699999997</v>
      </c>
      <c r="AE21" s="74">
        <v>2.5999999999999999E-2</v>
      </c>
      <c r="AG21" s="73">
        <v>-8532145.4179999996</v>
      </c>
      <c r="AH21">
        <v>397841.598</v>
      </c>
      <c r="AI21" s="74">
        <v>1.6E-2</v>
      </c>
      <c r="AK21" s="73">
        <v>-8532028.8489999995</v>
      </c>
      <c r="AL21">
        <v>397832.74</v>
      </c>
      <c r="AM21" s="74">
        <v>2.8000000000000001E-2</v>
      </c>
      <c r="AO21" s="73">
        <v>-8532028.8489999995</v>
      </c>
      <c r="AP21">
        <v>397832.74</v>
      </c>
      <c r="AQ21" s="74">
        <v>2.8000000000000001E-2</v>
      </c>
      <c r="AS21" s="73">
        <v>-8532268.8320000004</v>
      </c>
      <c r="AT21">
        <v>397734.19</v>
      </c>
      <c r="AU21" s="74">
        <v>4.7E-2</v>
      </c>
      <c r="AW21" s="73">
        <v>-8532268.8320000004</v>
      </c>
      <c r="AX21">
        <v>397734.19</v>
      </c>
      <c r="AY21" s="74">
        <v>4.7E-2</v>
      </c>
      <c r="BA21" s="73">
        <v>-8532268.8320000004</v>
      </c>
      <c r="BB21">
        <v>397734.19</v>
      </c>
      <c r="BC21" s="74">
        <v>4.7E-2</v>
      </c>
      <c r="BE21" s="73">
        <v>-8532268.8320000004</v>
      </c>
      <c r="BF21">
        <v>397734.19</v>
      </c>
      <c r="BG21" s="74">
        <v>4.7E-2</v>
      </c>
      <c r="BI21" s="73">
        <v>-8532268.8320000004</v>
      </c>
      <c r="BJ21">
        <v>397734.19</v>
      </c>
      <c r="BK21" s="74">
        <v>4.7E-2</v>
      </c>
      <c r="BM21" s="73">
        <v>-8532268.8320000004</v>
      </c>
      <c r="BN21">
        <v>397734.19</v>
      </c>
      <c r="BO21" s="74">
        <v>4.7E-2</v>
      </c>
      <c r="BQ21" s="73">
        <v>-8532268.8320000004</v>
      </c>
      <c r="BR21">
        <v>397734.19</v>
      </c>
      <c r="BS21" s="74">
        <v>4.7E-2</v>
      </c>
      <c r="BU21" s="73">
        <v>-8532268.8320000004</v>
      </c>
      <c r="BV21">
        <v>397734.19</v>
      </c>
      <c r="BW21" s="74">
        <v>4.7E-2</v>
      </c>
      <c r="BY21" s="73">
        <v>-8532268.8320000004</v>
      </c>
      <c r="BZ21">
        <v>397734.19</v>
      </c>
      <c r="CA21" s="74">
        <v>4.7E-2</v>
      </c>
      <c r="CC21" s="73">
        <v>-8532268.8320000004</v>
      </c>
      <c r="CD21">
        <v>397734.19</v>
      </c>
      <c r="CE21" s="74">
        <v>4.7E-2</v>
      </c>
      <c r="CG21" s="73">
        <v>-8532069.7689999994</v>
      </c>
      <c r="CH21">
        <v>398155.41800000001</v>
      </c>
      <c r="CI21" s="74">
        <v>4.2000000000000003E-2</v>
      </c>
      <c r="CK21" s="73">
        <v>-8532069.7689999994</v>
      </c>
      <c r="CL21">
        <v>398155.41800000001</v>
      </c>
      <c r="CM21" s="74">
        <v>4.2000000000000003E-2</v>
      </c>
      <c r="CO21" s="73">
        <v>-8533366.9749999996</v>
      </c>
      <c r="CP21">
        <v>397996.85800000001</v>
      </c>
      <c r="CQ21" s="74">
        <v>25.41</v>
      </c>
      <c r="CS21" s="73">
        <v>-8533366.9749999996</v>
      </c>
      <c r="CT21">
        <v>397996.85800000001</v>
      </c>
      <c r="CU21" s="74">
        <v>25.41</v>
      </c>
      <c r="CW21" s="73">
        <v>-8533366.9749999996</v>
      </c>
      <c r="CX21">
        <v>397996.85800000001</v>
      </c>
      <c r="CY21" s="74">
        <v>25.41</v>
      </c>
      <c r="DA21" s="73">
        <v>-8533528.8399999999</v>
      </c>
      <c r="DB21">
        <v>397966.18599999999</v>
      </c>
      <c r="DC21" s="74">
        <v>94.254000000000005</v>
      </c>
      <c r="DE21" s="73">
        <v>-8532745.4670000002</v>
      </c>
      <c r="DF21">
        <v>397914.038</v>
      </c>
      <c r="DG21" s="74">
        <v>1.2999999999999999E-2</v>
      </c>
      <c r="DI21" s="73">
        <v>-8532743.5399999991</v>
      </c>
      <c r="DJ21">
        <v>397913.35800000001</v>
      </c>
      <c r="DK21" s="74">
        <v>11.865</v>
      </c>
      <c r="DM21" s="73">
        <v>-8532268.8320000004</v>
      </c>
      <c r="DN21">
        <v>397734.19</v>
      </c>
      <c r="DO21" s="74">
        <v>4.7E-2</v>
      </c>
      <c r="DQ21" s="73">
        <v>-8532268.8320000004</v>
      </c>
      <c r="DR21">
        <v>397734.19</v>
      </c>
      <c r="DS21" s="74">
        <v>4.7E-2</v>
      </c>
      <c r="DU21" s="73">
        <v>-8533366.9749999996</v>
      </c>
      <c r="DV21">
        <v>397996.85800000001</v>
      </c>
      <c r="DW21" s="74">
        <v>25.41</v>
      </c>
      <c r="DY21" s="73">
        <v>-8533147.3800000008</v>
      </c>
      <c r="DZ21">
        <v>397975.48800000001</v>
      </c>
      <c r="EA21" s="74">
        <v>0.40699999999999997</v>
      </c>
      <c r="EC21" s="73">
        <v>-8532735.8310000002</v>
      </c>
      <c r="ED21">
        <v>397955.76</v>
      </c>
      <c r="EE21" s="74">
        <v>2.7E-2</v>
      </c>
      <c r="EG21" s="73">
        <v>-8540147.3570000008</v>
      </c>
      <c r="EH21">
        <v>396549.46100000001</v>
      </c>
      <c r="EI21" s="74">
        <v>4.1000000000000002E-2</v>
      </c>
      <c r="EK21">
        <v>-8534247.2379999999</v>
      </c>
      <c r="EL21">
        <v>399207.40700000001</v>
      </c>
      <c r="EM21">
        <v>7.9000000000000001E-2</v>
      </c>
      <c r="EO21">
        <v>-8532194.7899999991</v>
      </c>
      <c r="EP21">
        <v>397883.17</v>
      </c>
      <c r="EQ21">
        <v>0.13600000000000001</v>
      </c>
      <c r="ES21">
        <v>-8532643.5899999999</v>
      </c>
      <c r="ET21">
        <v>397175.07900000003</v>
      </c>
      <c r="EU21">
        <v>6.5000000000000002E-2</v>
      </c>
      <c r="EW21">
        <v>-8532287.3949999996</v>
      </c>
      <c r="EX21">
        <v>397586.092</v>
      </c>
      <c r="EY21">
        <v>3.2000000000000001E-2</v>
      </c>
      <c r="FA21">
        <v>-8528581.8220000006</v>
      </c>
      <c r="FB21">
        <v>395909.48100000003</v>
      </c>
      <c r="FC21">
        <v>5.8999999999999997E-2</v>
      </c>
      <c r="FE21">
        <v>-8533459.1290000007</v>
      </c>
      <c r="FF21">
        <v>395244.77799999999</v>
      </c>
      <c r="FG21">
        <v>4.7E-2</v>
      </c>
      <c r="FI21">
        <v>-8532909.6400000006</v>
      </c>
      <c r="FJ21">
        <v>398087.99599999998</v>
      </c>
      <c r="FK21">
        <v>118.523</v>
      </c>
      <c r="FM21">
        <v>-8528968.5470000003</v>
      </c>
      <c r="FN21">
        <v>394142.12800000003</v>
      </c>
      <c r="FO21">
        <v>64.287999999999997</v>
      </c>
      <c r="FQ21">
        <v>-8533011.6490000002</v>
      </c>
      <c r="FR21">
        <v>396833.56099999999</v>
      </c>
      <c r="FS21">
        <v>57.850999999999999</v>
      </c>
      <c r="FU21">
        <v>-8534236.5040000007</v>
      </c>
      <c r="FV21">
        <v>399013.24200000003</v>
      </c>
      <c r="FW21">
        <v>8.4000000000000005E-2</v>
      </c>
      <c r="FY21">
        <v>-8529572.6960000005</v>
      </c>
      <c r="FZ21">
        <v>396463.25799999997</v>
      </c>
      <c r="GA21">
        <v>2.1000000000000001E-2</v>
      </c>
      <c r="GC21">
        <v>-8530612.0020000003</v>
      </c>
      <c r="GD21">
        <v>396734.18300000002</v>
      </c>
      <c r="GE21">
        <v>30.736999999999998</v>
      </c>
      <c r="GG21">
        <v>-8530053.3650000002</v>
      </c>
      <c r="GH21">
        <v>396514.50699999998</v>
      </c>
      <c r="GI21">
        <v>34.088999999999999</v>
      </c>
      <c r="GO21">
        <v>-8532205.6799999997</v>
      </c>
      <c r="GP21">
        <v>397432</v>
      </c>
      <c r="GQ21">
        <v>6.3E-2</v>
      </c>
      <c r="GS21">
        <v>-8530695.1449999996</v>
      </c>
      <c r="GT21">
        <v>396878.92599999998</v>
      </c>
      <c r="GU21">
        <v>5.6000000000000001E-2</v>
      </c>
      <c r="GW21">
        <v>-8532188.1089999992</v>
      </c>
      <c r="GX21">
        <v>397869.36499999999</v>
      </c>
      <c r="GY21">
        <v>66.542000000000002</v>
      </c>
      <c r="HA21">
        <v>-8532727.0779999997</v>
      </c>
      <c r="HB21">
        <v>397994.12400000001</v>
      </c>
      <c r="HC21">
        <v>81.055000000000007</v>
      </c>
      <c r="HE21">
        <v>-8533751.3770000003</v>
      </c>
      <c r="HF21">
        <v>397215.37099999998</v>
      </c>
      <c r="HG21">
        <v>0.17399999999999999</v>
      </c>
      <c r="HI21">
        <v>-8531958.4560000002</v>
      </c>
      <c r="HJ21">
        <v>397861.02100000001</v>
      </c>
      <c r="HK21">
        <v>3.1E-2</v>
      </c>
      <c r="HM21">
        <v>-8532712.0789999999</v>
      </c>
      <c r="HN21">
        <v>397227.19099999999</v>
      </c>
      <c r="HO21">
        <v>3.9E-2</v>
      </c>
      <c r="HQ21">
        <v>-8532330.0529999994</v>
      </c>
      <c r="HR21">
        <v>397986.99699999997</v>
      </c>
      <c r="HS21">
        <v>6.8000000000000005E-2</v>
      </c>
      <c r="HU21">
        <v>-8532281.5539999995</v>
      </c>
      <c r="HV21">
        <v>397656.00199999998</v>
      </c>
      <c r="HW21">
        <v>5.8999999999999997E-2</v>
      </c>
      <c r="HY21">
        <v>-8538648.6270000003</v>
      </c>
      <c r="HZ21">
        <v>397134.283</v>
      </c>
      <c r="IA21">
        <v>0.73899999999999999</v>
      </c>
      <c r="IE21" s="77">
        <f>SUM(IE$3:IE20)</f>
        <v>1.1270000000000002</v>
      </c>
      <c r="IG21">
        <v>-8532034.9839999992</v>
      </c>
      <c r="IH21">
        <v>397826.22100000002</v>
      </c>
      <c r="II21">
        <v>7.0999999999999994E-2</v>
      </c>
      <c r="IK21">
        <v>-8532966.6199999992</v>
      </c>
      <c r="IL21">
        <v>396954.09</v>
      </c>
      <c r="IM21">
        <v>8.3000000000000004E-2</v>
      </c>
      <c r="IO21">
        <v>-8534265.0099999998</v>
      </c>
      <c r="IP21">
        <v>400999.783</v>
      </c>
      <c r="IQ21">
        <v>4.4999999999999998E-2</v>
      </c>
    </row>
    <row r="22" spans="5:251" x14ac:dyDescent="0.3">
      <c r="E22" s="73">
        <v>-8532874.9279999994</v>
      </c>
      <c r="F22">
        <v>398342.451</v>
      </c>
      <c r="G22" s="74">
        <v>4.2000000000000003E-2</v>
      </c>
      <c r="M22" s="73">
        <v>-8532744.4680000003</v>
      </c>
      <c r="N22">
        <v>397914.02600000001</v>
      </c>
      <c r="O22" s="74">
        <v>8.9999999999999993E-3</v>
      </c>
      <c r="Q22" s="73">
        <v>-8533092.0600000005</v>
      </c>
      <c r="R22">
        <v>398699.00199999998</v>
      </c>
      <c r="S22" s="74">
        <v>1.2E-2</v>
      </c>
      <c r="U22" s="73">
        <v>-8533335.0620000008</v>
      </c>
      <c r="V22">
        <v>398528.83</v>
      </c>
      <c r="W22" s="74">
        <v>6.6000000000000003E-2</v>
      </c>
      <c r="AC22" s="73">
        <v>-8532067.3029999994</v>
      </c>
      <c r="AD22">
        <v>397829.01500000001</v>
      </c>
      <c r="AE22" s="74">
        <v>7.0999999999999994E-2</v>
      </c>
      <c r="AG22" s="73">
        <v>-8532137.3650000002</v>
      </c>
      <c r="AH22">
        <v>397831.53200000001</v>
      </c>
      <c r="AI22" s="74">
        <v>1.2999999999999999E-2</v>
      </c>
      <c r="AK22" s="73">
        <v>-8531972.477</v>
      </c>
      <c r="AL22">
        <v>397862.53600000002</v>
      </c>
      <c r="AM22" s="74">
        <v>6.4000000000000001E-2</v>
      </c>
      <c r="AO22" s="73">
        <v>-8531972.477</v>
      </c>
      <c r="AP22">
        <v>397862.53600000002</v>
      </c>
      <c r="AQ22" s="74">
        <v>6.4000000000000001E-2</v>
      </c>
      <c r="AS22" s="73">
        <v>-8532269.2339999992</v>
      </c>
      <c r="AT22">
        <v>397689.89799999999</v>
      </c>
      <c r="AU22" s="74">
        <v>4.3999999999999997E-2</v>
      </c>
      <c r="AW22" s="73">
        <v>-8532269.2339999992</v>
      </c>
      <c r="AX22">
        <v>397689.89799999999</v>
      </c>
      <c r="AY22" s="74">
        <v>4.3999999999999997E-2</v>
      </c>
      <c r="BA22" s="73">
        <v>-8532269.2339999992</v>
      </c>
      <c r="BB22">
        <v>397689.89799999999</v>
      </c>
      <c r="BC22" s="74">
        <v>4.3999999999999997E-2</v>
      </c>
      <c r="BE22" s="73">
        <v>-8532269.2339999992</v>
      </c>
      <c r="BF22">
        <v>397689.89799999999</v>
      </c>
      <c r="BG22" s="74">
        <v>4.3999999999999997E-2</v>
      </c>
      <c r="BI22" s="73">
        <v>-8532269.2339999992</v>
      </c>
      <c r="BJ22">
        <v>397689.89799999999</v>
      </c>
      <c r="BK22" s="74">
        <v>4.3999999999999997E-2</v>
      </c>
      <c r="BM22" s="73">
        <v>-8532269.2339999992</v>
      </c>
      <c r="BN22">
        <v>397689.89799999999</v>
      </c>
      <c r="BO22" s="74">
        <v>4.3999999999999997E-2</v>
      </c>
      <c r="BQ22" s="73">
        <v>-8532269.2339999992</v>
      </c>
      <c r="BR22">
        <v>397689.89799999999</v>
      </c>
      <c r="BS22" s="74">
        <v>4.3999999999999997E-2</v>
      </c>
      <c r="BU22" s="73">
        <v>-8532269.2339999992</v>
      </c>
      <c r="BV22">
        <v>397689.89799999999</v>
      </c>
      <c r="BW22" s="74">
        <v>4.3999999999999997E-2</v>
      </c>
      <c r="BY22" s="73">
        <v>-8532269.2339999992</v>
      </c>
      <c r="BZ22">
        <v>397689.89799999999</v>
      </c>
      <c r="CA22" s="74">
        <v>4.3999999999999997E-2</v>
      </c>
      <c r="CC22" s="73">
        <v>-8532269.2339999992</v>
      </c>
      <c r="CD22">
        <v>397689.89799999999</v>
      </c>
      <c r="CE22" s="74">
        <v>4.3999999999999997E-2</v>
      </c>
      <c r="CG22" s="73">
        <v>-8532107.8200000003</v>
      </c>
      <c r="CH22">
        <v>398207.511</v>
      </c>
      <c r="CI22" s="74">
        <v>6.5000000000000002E-2</v>
      </c>
      <c r="CK22" s="73">
        <v>-8532107.8200000003</v>
      </c>
      <c r="CL22">
        <v>398207.511</v>
      </c>
      <c r="CM22" s="74">
        <v>6.5000000000000002E-2</v>
      </c>
      <c r="CO22" s="73">
        <v>-8533425.8350000009</v>
      </c>
      <c r="CP22">
        <v>397955.57900000003</v>
      </c>
      <c r="CQ22" s="74">
        <v>71.891999999999996</v>
      </c>
      <c r="CS22" s="73">
        <v>-8533425.8350000009</v>
      </c>
      <c r="CT22">
        <v>397955.57900000003</v>
      </c>
      <c r="CU22" s="74">
        <v>71.891999999999996</v>
      </c>
      <c r="CW22" s="73">
        <v>-8533425.8350000009</v>
      </c>
      <c r="CX22">
        <v>397955.57900000003</v>
      </c>
      <c r="CY22" s="74">
        <v>71.891999999999996</v>
      </c>
      <c r="DA22" s="73">
        <v>-8533603.3709999993</v>
      </c>
      <c r="DB22">
        <v>397966.18599999999</v>
      </c>
      <c r="DC22" s="74">
        <v>74.531000000000006</v>
      </c>
      <c r="DE22" s="73">
        <v>-8533132.3019999992</v>
      </c>
      <c r="DF22">
        <v>397972.99300000002</v>
      </c>
      <c r="DG22" s="74">
        <v>0.39100000000000001</v>
      </c>
      <c r="DI22" s="73">
        <v>-8532668.7129999995</v>
      </c>
      <c r="DJ22">
        <v>397912.67800000001</v>
      </c>
      <c r="DK22" s="74">
        <v>74.83</v>
      </c>
      <c r="DM22" s="73">
        <v>-8532269.2339999992</v>
      </c>
      <c r="DN22">
        <v>397689.89799999999</v>
      </c>
      <c r="DO22" s="74">
        <v>4.3999999999999997E-2</v>
      </c>
      <c r="DQ22" s="73">
        <v>-8532269.2339999992</v>
      </c>
      <c r="DR22">
        <v>397689.89799999999</v>
      </c>
      <c r="DS22" s="74">
        <v>4.3999999999999997E-2</v>
      </c>
      <c r="DU22" s="73">
        <v>-8533425.8350000009</v>
      </c>
      <c r="DV22">
        <v>397955.57900000003</v>
      </c>
      <c r="DW22" s="74">
        <v>71.891999999999996</v>
      </c>
      <c r="DY22" s="73">
        <v>-8533343.2919999994</v>
      </c>
      <c r="DZ22">
        <v>398004.511</v>
      </c>
      <c r="EA22" s="74">
        <v>0.19800000000000001</v>
      </c>
      <c r="EC22" s="73">
        <v>-8532747.6219999995</v>
      </c>
      <c r="ED22">
        <v>397928.55</v>
      </c>
      <c r="EE22" s="74">
        <v>0.03</v>
      </c>
      <c r="EG22" s="73">
        <v>-8540096.5649999995</v>
      </c>
      <c r="EH22">
        <v>396485.97200000001</v>
      </c>
      <c r="EI22" s="74">
        <v>8.1000000000000003E-2</v>
      </c>
      <c r="EK22">
        <v>-8534276.3430000003</v>
      </c>
      <c r="EL22">
        <v>399135.97</v>
      </c>
      <c r="EM22">
        <v>7.6999999999999999E-2</v>
      </c>
      <c r="EO22">
        <v>-8532323.1129999999</v>
      </c>
      <c r="EP22">
        <v>397981.065</v>
      </c>
      <c r="EQ22">
        <v>0.161</v>
      </c>
      <c r="ES22">
        <v>-8532702.1290000007</v>
      </c>
      <c r="ET22">
        <v>397221.71100000001</v>
      </c>
      <c r="EU22">
        <v>7.4999999999999997E-2</v>
      </c>
      <c r="EW22">
        <v>-8532280.4489999991</v>
      </c>
      <c r="EX22">
        <v>397605.93599999999</v>
      </c>
      <c r="EY22">
        <v>2.1000000000000001E-2</v>
      </c>
      <c r="FA22">
        <v>-8528546.5999999996</v>
      </c>
      <c r="FB22">
        <v>395931.06099999999</v>
      </c>
      <c r="FC22">
        <v>4.1000000000000002E-2</v>
      </c>
      <c r="FE22">
        <v>-8533395.8770000003</v>
      </c>
      <c r="FF22">
        <v>395224.68599999999</v>
      </c>
      <c r="FG22">
        <v>6.6000000000000003E-2</v>
      </c>
      <c r="FI22">
        <v>-8532908.6469999999</v>
      </c>
      <c r="FJ22">
        <v>398136.61300000001</v>
      </c>
      <c r="FK22">
        <v>48.21</v>
      </c>
      <c r="FM22">
        <v>-8528897.1089999992</v>
      </c>
      <c r="FN22">
        <v>394167.92499999999</v>
      </c>
      <c r="FO22">
        <v>75.751000000000005</v>
      </c>
      <c r="FQ22">
        <v>-8532968.4890000001</v>
      </c>
      <c r="FR22">
        <v>396928.81099999999</v>
      </c>
      <c r="FS22">
        <v>103.794</v>
      </c>
      <c r="FU22">
        <v>-8534235.3880000003</v>
      </c>
      <c r="FV22">
        <v>398987.56900000002</v>
      </c>
      <c r="FW22">
        <v>2.5000000000000001E-2</v>
      </c>
      <c r="FY22">
        <v>-8529564.3239999991</v>
      </c>
      <c r="FZ22">
        <v>396441.49200000003</v>
      </c>
      <c r="GA22">
        <v>2.3E-2</v>
      </c>
      <c r="GC22">
        <v>-8530589.8690000009</v>
      </c>
      <c r="GD22">
        <v>396770.913</v>
      </c>
      <c r="GE22">
        <v>42.591999999999999</v>
      </c>
      <c r="GG22">
        <v>-8530058.7809999995</v>
      </c>
      <c r="GH22">
        <v>396518.03899999999</v>
      </c>
      <c r="GI22">
        <v>6.44</v>
      </c>
      <c r="GO22">
        <v>-8532269.2510000002</v>
      </c>
      <c r="GP22">
        <v>397499.81</v>
      </c>
      <c r="GQ22">
        <v>9.1999999999999998E-2</v>
      </c>
      <c r="GS22">
        <v>-8530716.3359999992</v>
      </c>
      <c r="GT22">
        <v>396899.41100000002</v>
      </c>
      <c r="GU22">
        <v>2.9000000000000001E-2</v>
      </c>
      <c r="GW22">
        <v>-8532246.9130000006</v>
      </c>
      <c r="GX22">
        <v>397923.40100000001</v>
      </c>
      <c r="GY22">
        <v>79.463999999999999</v>
      </c>
      <c r="HA22">
        <v>-8532707.2119999994</v>
      </c>
      <c r="HB22">
        <v>398027.10200000001</v>
      </c>
      <c r="HC22">
        <v>38.237000000000002</v>
      </c>
      <c r="HE22">
        <v>-8533830.0470000003</v>
      </c>
      <c r="HF22">
        <v>397275.76400000002</v>
      </c>
      <c r="HG22">
        <v>9.9000000000000005E-2</v>
      </c>
      <c r="HI22">
        <v>-8531983.4879999999</v>
      </c>
      <c r="HJ22">
        <v>397859.82900000003</v>
      </c>
      <c r="HK22">
        <v>2.5000000000000001E-2</v>
      </c>
      <c r="HM22">
        <v>-8532703.7349999994</v>
      </c>
      <c r="HN22">
        <v>397271.29399999999</v>
      </c>
      <c r="HO22">
        <v>4.4999999999999998E-2</v>
      </c>
      <c r="HQ22">
        <v>-8532353.2960000001</v>
      </c>
      <c r="HR22">
        <v>397991.467</v>
      </c>
      <c r="HS22">
        <v>2.4E-2</v>
      </c>
      <c r="HU22">
        <v>-8532262.1099999994</v>
      </c>
      <c r="HV22">
        <v>397702.93599999999</v>
      </c>
      <c r="HW22">
        <v>0.05</v>
      </c>
      <c r="HY22">
        <v>-8538391.1610000003</v>
      </c>
      <c r="HZ22">
        <v>397128.91899999999</v>
      </c>
      <c r="IA22">
        <v>0.25700000000000001</v>
      </c>
      <c r="IG22">
        <v>-8532076.5539999995</v>
      </c>
      <c r="IH22">
        <v>397827.56199999998</v>
      </c>
      <c r="II22">
        <v>4.2000000000000003E-2</v>
      </c>
      <c r="IK22">
        <v>-8532824.4780000001</v>
      </c>
      <c r="IL22">
        <v>396962.136</v>
      </c>
      <c r="IM22">
        <v>0.14199999999999999</v>
      </c>
      <c r="IO22">
        <v>-8534214.0529999994</v>
      </c>
      <c r="IP22">
        <v>400899.21100000001</v>
      </c>
      <c r="IQ22">
        <v>0.112</v>
      </c>
    </row>
    <row r="23" spans="5:251" ht="15" thickBot="1" x14ac:dyDescent="0.35">
      <c r="E23" s="73">
        <v>-8532930.8969999999</v>
      </c>
      <c r="F23">
        <v>398331.17599999998</v>
      </c>
      <c r="G23" s="74">
        <v>5.7000000000000002E-2</v>
      </c>
      <c r="M23" s="73">
        <v>-8533145.3110000007</v>
      </c>
      <c r="N23">
        <v>397975.63199999998</v>
      </c>
      <c r="O23" s="74">
        <v>0.40600000000000003</v>
      </c>
      <c r="Q23" s="75">
        <v>-8533210.8430000003</v>
      </c>
      <c r="R23" s="76">
        <v>398635.78499999997</v>
      </c>
      <c r="S23" s="77"/>
      <c r="U23" s="75">
        <v>-8533366.8719999995</v>
      </c>
      <c r="V23" s="76">
        <v>398503.46299999999</v>
      </c>
      <c r="W23" s="77"/>
      <c r="AC23" s="73">
        <v>-8532032.6740000006</v>
      </c>
      <c r="AD23">
        <v>397831.43099999998</v>
      </c>
      <c r="AE23" s="74">
        <v>3.5000000000000003E-2</v>
      </c>
      <c r="AG23" s="73">
        <v>-8532104.3469999991</v>
      </c>
      <c r="AH23">
        <v>397814.21799999999</v>
      </c>
      <c r="AI23" s="74">
        <v>3.6999999999999998E-2</v>
      </c>
      <c r="AK23" s="73">
        <v>-8531946.7070000004</v>
      </c>
      <c r="AL23">
        <v>397852.06699999998</v>
      </c>
      <c r="AM23" s="74">
        <v>2.8000000000000001E-2</v>
      </c>
      <c r="AO23" s="73">
        <v>-8531946.7070000004</v>
      </c>
      <c r="AP23">
        <v>397852.06699999998</v>
      </c>
      <c r="AQ23" s="74">
        <v>2.8000000000000001E-2</v>
      </c>
      <c r="AS23" s="73">
        <v>-8532280.9110000003</v>
      </c>
      <c r="AT23">
        <v>397667.75199999998</v>
      </c>
      <c r="AU23" s="74">
        <v>2.5000000000000001E-2</v>
      </c>
      <c r="AW23" s="73">
        <v>-8532280.9110000003</v>
      </c>
      <c r="AX23">
        <v>397667.75199999998</v>
      </c>
      <c r="AY23" s="74">
        <v>2.5000000000000001E-2</v>
      </c>
      <c r="BA23" s="73">
        <v>-8532280.9110000003</v>
      </c>
      <c r="BB23">
        <v>397667.75199999998</v>
      </c>
      <c r="BC23" s="74">
        <v>2.5000000000000001E-2</v>
      </c>
      <c r="BE23" s="73">
        <v>-8532280.9110000003</v>
      </c>
      <c r="BF23">
        <v>397667.75199999998</v>
      </c>
      <c r="BG23" s="74">
        <v>2.5000000000000001E-2</v>
      </c>
      <c r="BI23" s="73">
        <v>-8532280.9110000003</v>
      </c>
      <c r="BJ23">
        <v>397667.75199999998</v>
      </c>
      <c r="BK23" s="74">
        <v>2.5000000000000001E-2</v>
      </c>
      <c r="BM23" s="73">
        <v>-8532280.9110000003</v>
      </c>
      <c r="BN23">
        <v>397667.75199999998</v>
      </c>
      <c r="BO23" s="74">
        <v>2.5000000000000001E-2</v>
      </c>
      <c r="BQ23" s="73">
        <v>-8532280.9110000003</v>
      </c>
      <c r="BR23">
        <v>397667.75199999998</v>
      </c>
      <c r="BS23" s="74">
        <v>2.5000000000000001E-2</v>
      </c>
      <c r="BU23" s="73">
        <v>-8532280.9110000003</v>
      </c>
      <c r="BV23">
        <v>397667.75199999998</v>
      </c>
      <c r="BW23" s="74">
        <v>2.5000000000000001E-2</v>
      </c>
      <c r="BY23" s="73">
        <v>-8532280.9110000003</v>
      </c>
      <c r="BZ23">
        <v>397667.75199999998</v>
      </c>
      <c r="CA23" s="74">
        <v>2.5000000000000001E-2</v>
      </c>
      <c r="CC23" s="73">
        <v>-8532280.9110000003</v>
      </c>
      <c r="CD23">
        <v>397667.75199999998</v>
      </c>
      <c r="CE23" s="74">
        <v>2.5000000000000001E-2</v>
      </c>
      <c r="CG23" s="73">
        <v>-8532109.6319999993</v>
      </c>
      <c r="CH23">
        <v>398222.00699999998</v>
      </c>
      <c r="CI23" s="74">
        <v>1.4999999999999999E-2</v>
      </c>
      <c r="CK23" s="73">
        <v>-8532109.6319999993</v>
      </c>
      <c r="CL23">
        <v>398222.00699999998</v>
      </c>
      <c r="CM23" s="74">
        <v>1.4999999999999999E-2</v>
      </c>
      <c r="CO23" s="73">
        <v>-8533460.2339999992</v>
      </c>
      <c r="CP23">
        <v>397947.17099999997</v>
      </c>
      <c r="CQ23" s="74">
        <v>35.411999999999999</v>
      </c>
      <c r="CS23" s="73">
        <v>-8533460.2339999992</v>
      </c>
      <c r="CT23">
        <v>397947.17099999997</v>
      </c>
      <c r="CU23" s="74">
        <v>35.411999999999999</v>
      </c>
      <c r="CW23" s="73">
        <v>-8533460.2339999992</v>
      </c>
      <c r="CX23">
        <v>397947.17099999997</v>
      </c>
      <c r="CY23" s="74">
        <v>35.411999999999999</v>
      </c>
      <c r="DA23" s="73">
        <v>-8533636.6229999997</v>
      </c>
      <c r="DB23">
        <v>398000.58399999997</v>
      </c>
      <c r="DC23" s="74">
        <v>47.843000000000004</v>
      </c>
      <c r="DE23" s="73">
        <v>-8533342.2709999997</v>
      </c>
      <c r="DF23">
        <v>398002.01699999999</v>
      </c>
      <c r="DG23" s="74">
        <v>0.21199999999999999</v>
      </c>
      <c r="DI23" s="73">
        <v>-8532534.0240000002</v>
      </c>
      <c r="DJ23">
        <v>397922.201</v>
      </c>
      <c r="DK23" s="74">
        <v>135.02500000000001</v>
      </c>
      <c r="DM23" s="73">
        <v>-8532280.9110000003</v>
      </c>
      <c r="DN23">
        <v>397667.75199999998</v>
      </c>
      <c r="DO23" s="74">
        <v>2.5000000000000001E-2</v>
      </c>
      <c r="DQ23" s="73">
        <v>-8532280.9110000003</v>
      </c>
      <c r="DR23">
        <v>397667.75199999998</v>
      </c>
      <c r="DS23" s="74">
        <v>2.5000000000000001E-2</v>
      </c>
      <c r="DU23" s="73">
        <v>-8533460.2339999992</v>
      </c>
      <c r="DV23">
        <v>397947.17099999997</v>
      </c>
      <c r="DW23" s="74">
        <v>35.411999999999999</v>
      </c>
      <c r="DY23" s="73">
        <v>-8533365.0600000005</v>
      </c>
      <c r="DZ23">
        <v>397996.348</v>
      </c>
      <c r="EA23" s="74">
        <v>2.3E-2</v>
      </c>
      <c r="EC23" s="73">
        <v>-8532746.2609999999</v>
      </c>
      <c r="ED23">
        <v>397917.21299999999</v>
      </c>
      <c r="EE23" s="74">
        <v>1.0999999999999999E-2</v>
      </c>
      <c r="EG23" s="73">
        <v>-8540096.5649999995</v>
      </c>
      <c r="EH23">
        <v>396449.69199999998</v>
      </c>
      <c r="EI23" s="74">
        <v>3.5999999999999997E-2</v>
      </c>
      <c r="EK23">
        <v>-8534258.7039999999</v>
      </c>
      <c r="EL23">
        <v>399076.88</v>
      </c>
      <c r="EM23">
        <v>6.0999999999999999E-2</v>
      </c>
      <c r="EO23">
        <v>-8532410.4260000009</v>
      </c>
      <c r="EP23">
        <v>397991.64899999998</v>
      </c>
      <c r="EQ23">
        <v>8.7999999999999995E-2</v>
      </c>
      <c r="ES23">
        <v>-8532710.0659999996</v>
      </c>
      <c r="ET23">
        <v>397257.43</v>
      </c>
      <c r="EU23">
        <v>3.5999999999999997E-2</v>
      </c>
      <c r="EW23">
        <v>-8532281.4409999996</v>
      </c>
      <c r="EX23">
        <v>397629.25199999998</v>
      </c>
      <c r="EY23">
        <v>2.3E-2</v>
      </c>
      <c r="FA23">
        <v>-8528488.557</v>
      </c>
      <c r="FB23">
        <v>395939.99099999998</v>
      </c>
      <c r="FC23">
        <v>5.8999999999999997E-2</v>
      </c>
      <c r="FE23">
        <v>-8533366.1119999997</v>
      </c>
      <c r="FF23">
        <v>395241.80099999998</v>
      </c>
      <c r="FG23">
        <v>3.4000000000000002E-2</v>
      </c>
      <c r="FI23">
        <v>-8532889.7960000001</v>
      </c>
      <c r="FJ23">
        <v>398209.04300000001</v>
      </c>
      <c r="FK23">
        <v>74.231999999999999</v>
      </c>
      <c r="FM23">
        <v>-8528871.3120000008</v>
      </c>
      <c r="FN23">
        <v>394257.22200000001</v>
      </c>
      <c r="FO23">
        <v>92.200999999999993</v>
      </c>
      <c r="FQ23">
        <v>-8532944.6760000009</v>
      </c>
      <c r="FR23">
        <v>396955.6</v>
      </c>
      <c r="FS23">
        <v>35.640999999999998</v>
      </c>
      <c r="FU23">
        <v>-8534249.8990000002</v>
      </c>
      <c r="FV23">
        <v>398966.36099999998</v>
      </c>
      <c r="FW23">
        <v>2.5999999999999999E-2</v>
      </c>
      <c r="FY23">
        <v>-8529572.6960000005</v>
      </c>
      <c r="FZ23">
        <v>396420.56300000002</v>
      </c>
      <c r="GA23">
        <v>2.1999999999999999E-2</v>
      </c>
      <c r="GC23">
        <v>-8530611.0600000005</v>
      </c>
      <c r="GD23">
        <v>396814.70699999999</v>
      </c>
      <c r="GE23">
        <v>48.295999999999999</v>
      </c>
      <c r="GG23">
        <v>-8530202.8770000003</v>
      </c>
      <c r="GH23">
        <v>396519.21600000001</v>
      </c>
      <c r="GI23">
        <v>143.82400000000001</v>
      </c>
      <c r="GO23">
        <v>-8532291.5010000002</v>
      </c>
      <c r="GP23">
        <v>397526.29800000001</v>
      </c>
      <c r="GQ23">
        <v>3.4000000000000002E-2</v>
      </c>
      <c r="GS23">
        <v>-8530729.7569999993</v>
      </c>
      <c r="GT23">
        <v>396930.13699999999</v>
      </c>
      <c r="GU23">
        <v>3.3000000000000002E-2</v>
      </c>
      <c r="GW23">
        <v>-8532329.5559999999</v>
      </c>
      <c r="GX23">
        <v>397987.76699999999</v>
      </c>
      <c r="GY23">
        <v>104.28700000000001</v>
      </c>
      <c r="HA23">
        <v>-8532688.1400000006</v>
      </c>
      <c r="HB23">
        <v>398027.89600000001</v>
      </c>
      <c r="HC23">
        <v>19.050999999999998</v>
      </c>
      <c r="HE23">
        <v>-8533818.9220000003</v>
      </c>
      <c r="HF23">
        <v>397334.56800000003</v>
      </c>
      <c r="HG23">
        <v>5.8999999999999997E-2</v>
      </c>
      <c r="HI23">
        <v>-8532004.943</v>
      </c>
      <c r="HJ23">
        <v>397844.33299999998</v>
      </c>
      <c r="HK23">
        <v>2.5999999999999999E-2</v>
      </c>
      <c r="HM23">
        <v>-8532683.1740000006</v>
      </c>
      <c r="HN23">
        <v>397291.85499999998</v>
      </c>
      <c r="HO23">
        <v>2.9000000000000001E-2</v>
      </c>
      <c r="HQ23">
        <v>-8532389.0549999997</v>
      </c>
      <c r="HR23">
        <v>397988.78499999997</v>
      </c>
      <c r="HS23">
        <v>3.5999999999999997E-2</v>
      </c>
      <c r="HU23">
        <v>-8532273.5089999996</v>
      </c>
      <c r="HV23">
        <v>397762.609</v>
      </c>
      <c r="HW23">
        <v>0.06</v>
      </c>
      <c r="HY23">
        <v>-8538074.693</v>
      </c>
      <c r="HZ23">
        <v>397370.29300000001</v>
      </c>
      <c r="IA23">
        <v>0.39600000000000002</v>
      </c>
      <c r="IG23">
        <v>-8532146.6199999992</v>
      </c>
      <c r="IH23">
        <v>397838.29</v>
      </c>
      <c r="II23">
        <v>7.0999999999999994E-2</v>
      </c>
      <c r="IK23">
        <v>-8532717.2009999994</v>
      </c>
      <c r="IL23">
        <v>396929.95299999998</v>
      </c>
      <c r="IM23">
        <v>0.112</v>
      </c>
      <c r="IO23">
        <v>-8534130.2430000007</v>
      </c>
      <c r="IP23">
        <v>400801.321</v>
      </c>
      <c r="IQ23">
        <v>0.128</v>
      </c>
    </row>
    <row r="24" spans="5:251" ht="15" thickBot="1" x14ac:dyDescent="0.35">
      <c r="E24" s="73">
        <v>-8532979.6190000009</v>
      </c>
      <c r="F24">
        <v>398331.57900000003</v>
      </c>
      <c r="G24" s="74">
        <v>4.9000000000000002E-2</v>
      </c>
      <c r="M24" s="75">
        <v>-8533000.7579999994</v>
      </c>
      <c r="N24" s="76">
        <v>398115.75599999999</v>
      </c>
      <c r="O24" s="77"/>
      <c r="S24">
        <f>SUM(S$3:S23)</f>
        <v>1.087</v>
      </c>
      <c r="W24">
        <f>SUM(W$3:W23)</f>
        <v>1.2480000000000002</v>
      </c>
      <c r="AC24" s="73">
        <v>-8531971.4710000008</v>
      </c>
      <c r="AD24">
        <v>397861.228</v>
      </c>
      <c r="AE24" s="74">
        <v>6.8000000000000005E-2</v>
      </c>
      <c r="AG24" s="73">
        <v>-8532074.9529999997</v>
      </c>
      <c r="AH24">
        <v>397786.43400000001</v>
      </c>
      <c r="AI24" s="74">
        <v>0.04</v>
      </c>
      <c r="AK24" s="73">
        <v>-8531925.7689999994</v>
      </c>
      <c r="AL24">
        <v>397798.11099999998</v>
      </c>
      <c r="AM24" s="74">
        <v>5.8000000000000003E-2</v>
      </c>
      <c r="AO24" s="73">
        <v>-8531925.7689999994</v>
      </c>
      <c r="AP24">
        <v>397798.11099999998</v>
      </c>
      <c r="AQ24" s="74">
        <v>5.8000000000000003E-2</v>
      </c>
      <c r="AS24" s="73">
        <v>-8532282.5219999999</v>
      </c>
      <c r="AT24">
        <v>397646.41100000002</v>
      </c>
      <c r="AU24" s="74">
        <v>2.1000000000000001E-2</v>
      </c>
      <c r="AW24" s="73">
        <v>-8532282.5219999999</v>
      </c>
      <c r="AX24">
        <v>397646.41100000002</v>
      </c>
      <c r="AY24" s="74">
        <v>2.1000000000000001E-2</v>
      </c>
      <c r="BA24" s="73">
        <v>-8532282.5219999999</v>
      </c>
      <c r="BB24">
        <v>397646.41100000002</v>
      </c>
      <c r="BC24" s="74">
        <v>2.1000000000000001E-2</v>
      </c>
      <c r="BE24" s="73">
        <v>-8532282.5219999999</v>
      </c>
      <c r="BF24">
        <v>397646.41100000002</v>
      </c>
      <c r="BG24" s="74">
        <v>2.1000000000000001E-2</v>
      </c>
      <c r="BI24" s="73">
        <v>-8532282.5219999999</v>
      </c>
      <c r="BJ24">
        <v>397646.41100000002</v>
      </c>
      <c r="BK24" s="74">
        <v>2.1000000000000001E-2</v>
      </c>
      <c r="BM24" s="73">
        <v>-8532282.5219999999</v>
      </c>
      <c r="BN24">
        <v>397646.41100000002</v>
      </c>
      <c r="BO24" s="74">
        <v>2.1000000000000001E-2</v>
      </c>
      <c r="BQ24" s="73">
        <v>-8532282.5219999999</v>
      </c>
      <c r="BR24">
        <v>397646.41100000002</v>
      </c>
      <c r="BS24" s="74">
        <v>2.1000000000000001E-2</v>
      </c>
      <c r="BU24" s="73">
        <v>-8532282.5219999999</v>
      </c>
      <c r="BV24">
        <v>397646.41100000002</v>
      </c>
      <c r="BW24" s="74">
        <v>2.1000000000000001E-2</v>
      </c>
      <c r="BY24" s="73">
        <v>-8532282.5219999999</v>
      </c>
      <c r="BZ24">
        <v>397646.41100000002</v>
      </c>
      <c r="CA24" s="74">
        <v>2.1000000000000001E-2</v>
      </c>
      <c r="CC24" s="73">
        <v>-8532282.5219999999</v>
      </c>
      <c r="CD24">
        <v>397646.41100000002</v>
      </c>
      <c r="CE24" s="74">
        <v>2.1000000000000001E-2</v>
      </c>
      <c r="CG24" s="73">
        <v>-8532091.9649999999</v>
      </c>
      <c r="CH24">
        <v>398316.68099999998</v>
      </c>
      <c r="CI24" s="74">
        <v>9.6000000000000002E-2</v>
      </c>
      <c r="CK24" s="73">
        <v>-8532091.9649999999</v>
      </c>
      <c r="CL24">
        <v>398316.68099999998</v>
      </c>
      <c r="CM24" s="74">
        <v>9.6000000000000002E-2</v>
      </c>
      <c r="CO24" s="73">
        <v>-8533527.5020000003</v>
      </c>
      <c r="CP24">
        <v>397965.51699999999</v>
      </c>
      <c r="CQ24" s="74">
        <v>69.724999999999994</v>
      </c>
      <c r="CS24" s="73">
        <v>-8533527.5020000003</v>
      </c>
      <c r="CT24">
        <v>397965.51699999999</v>
      </c>
      <c r="CU24" s="74">
        <v>69.724999999999994</v>
      </c>
      <c r="CW24" s="73">
        <v>-8533527.5020000003</v>
      </c>
      <c r="CX24">
        <v>397965.51699999999</v>
      </c>
      <c r="CY24" s="74">
        <v>69.724999999999994</v>
      </c>
      <c r="DA24" s="73">
        <v>-8533652.6750000007</v>
      </c>
      <c r="DB24">
        <v>398077.408</v>
      </c>
      <c r="DC24" s="74">
        <v>78.483000000000004</v>
      </c>
      <c r="DE24" s="73">
        <v>-8533432.9710000008</v>
      </c>
      <c r="DF24">
        <v>397953.03899999999</v>
      </c>
      <c r="DG24" s="74">
        <v>0.10299999999999999</v>
      </c>
      <c r="DI24" s="73">
        <v>-8532478.6970000006</v>
      </c>
      <c r="DJ24">
        <v>397953.03899999999</v>
      </c>
      <c r="DK24" s="74">
        <v>63.341000000000001</v>
      </c>
      <c r="DM24" s="73">
        <v>-8532282.5219999999</v>
      </c>
      <c r="DN24">
        <v>397646.41100000002</v>
      </c>
      <c r="DO24" s="74">
        <v>2.1000000000000001E-2</v>
      </c>
      <c r="DQ24" s="73">
        <v>-8532282.5219999999</v>
      </c>
      <c r="DR24">
        <v>397646.41100000002</v>
      </c>
      <c r="DS24" s="74">
        <v>2.1000000000000001E-2</v>
      </c>
      <c r="DU24" s="73">
        <v>-8533527.5020000003</v>
      </c>
      <c r="DV24">
        <v>397965.51699999999</v>
      </c>
      <c r="DW24" s="74">
        <v>69.724999999999994</v>
      </c>
      <c r="DY24" s="73">
        <v>-8533427.6429999992</v>
      </c>
      <c r="DZ24">
        <v>397953.72</v>
      </c>
      <c r="EA24" s="74">
        <v>7.5999999999999998E-2</v>
      </c>
      <c r="EC24" s="73">
        <v>-8533141.2579999994</v>
      </c>
      <c r="ED24">
        <v>397972.99300000002</v>
      </c>
      <c r="EE24" s="74">
        <v>0.39900000000000002</v>
      </c>
      <c r="EG24" s="73">
        <v>-8540116.5189999994</v>
      </c>
      <c r="EH24">
        <v>396398.9</v>
      </c>
      <c r="EI24" s="74">
        <v>5.5E-2</v>
      </c>
      <c r="EK24">
        <v>-8534235.773</v>
      </c>
      <c r="EL24">
        <v>399015.14399999997</v>
      </c>
      <c r="EM24">
        <v>6.5000000000000002E-2</v>
      </c>
      <c r="EO24">
        <v>-8532529.4879999999</v>
      </c>
      <c r="EP24">
        <v>397924.18</v>
      </c>
      <c r="EQ24">
        <v>0.13600000000000001</v>
      </c>
      <c r="ES24">
        <v>-8532684.2699999996</v>
      </c>
      <c r="ET24">
        <v>397310.016</v>
      </c>
      <c r="EU24">
        <v>5.8000000000000003E-2</v>
      </c>
      <c r="EW24">
        <v>-8532280.4489999991</v>
      </c>
      <c r="EX24">
        <v>397667.45199999999</v>
      </c>
      <c r="EY24">
        <v>3.7999999999999999E-2</v>
      </c>
      <c r="FA24">
        <v>-8528476.8990000002</v>
      </c>
      <c r="FB24">
        <v>395956.61</v>
      </c>
      <c r="FC24">
        <v>0.02</v>
      </c>
      <c r="FE24">
        <v>-8533339.3230000008</v>
      </c>
      <c r="FF24">
        <v>395276.03200000001</v>
      </c>
      <c r="FG24">
        <v>4.2999999999999997E-2</v>
      </c>
      <c r="FI24">
        <v>-8532836.2180000003</v>
      </c>
      <c r="FJ24">
        <v>398181.261</v>
      </c>
      <c r="FK24">
        <v>60.151000000000003</v>
      </c>
      <c r="FM24">
        <v>-8528839.5620000008</v>
      </c>
      <c r="FN24">
        <v>394273.09700000001</v>
      </c>
      <c r="FO24">
        <v>35.383000000000003</v>
      </c>
      <c r="FQ24">
        <v>-8532809.2430000007</v>
      </c>
      <c r="FR24">
        <v>396966.01799999998</v>
      </c>
      <c r="FS24">
        <v>135.56700000000001</v>
      </c>
      <c r="FU24">
        <v>-8534318.5460000001</v>
      </c>
      <c r="FV24">
        <v>398930.08399999997</v>
      </c>
      <c r="FW24">
        <v>7.6999999999999999E-2</v>
      </c>
      <c r="FY24">
        <v>-8529591.1129999999</v>
      </c>
      <c r="FZ24">
        <v>396415.54</v>
      </c>
      <c r="GA24">
        <v>1.9E-2</v>
      </c>
      <c r="GC24">
        <v>-8530607.2929999996</v>
      </c>
      <c r="GD24">
        <v>396839.19400000002</v>
      </c>
      <c r="GE24">
        <v>24.565999999999999</v>
      </c>
      <c r="GG24">
        <v>-8530232.0730000008</v>
      </c>
      <c r="GH24">
        <v>396503.20600000001</v>
      </c>
      <c r="GI24">
        <v>33.183</v>
      </c>
      <c r="GO24">
        <v>-8532303.1559999995</v>
      </c>
      <c r="GP24">
        <v>397566.56</v>
      </c>
      <c r="GQ24">
        <v>4.2000000000000003E-2</v>
      </c>
      <c r="GS24">
        <v>-8530747.4149999991</v>
      </c>
      <c r="GT24">
        <v>396943.55800000002</v>
      </c>
      <c r="GU24">
        <v>2.1999999999999999E-2</v>
      </c>
      <c r="GW24">
        <v>-8532427.2980000004</v>
      </c>
      <c r="GX24">
        <v>397986.97200000001</v>
      </c>
      <c r="GY24">
        <v>97.555999999999997</v>
      </c>
      <c r="HA24">
        <v>-8532690.9210000001</v>
      </c>
      <c r="HB24">
        <v>398050.147</v>
      </c>
      <c r="HC24">
        <v>22.233000000000001</v>
      </c>
      <c r="HE24">
        <v>-8533932.5559999999</v>
      </c>
      <c r="HF24">
        <v>397412.44300000003</v>
      </c>
      <c r="HG24">
        <v>0.13700000000000001</v>
      </c>
      <c r="HI24">
        <v>-8532034.7420000006</v>
      </c>
      <c r="HJ24">
        <v>397824.07</v>
      </c>
      <c r="HK24">
        <v>3.5999999999999997E-2</v>
      </c>
      <c r="HM24">
        <v>-8532685.8560000006</v>
      </c>
      <c r="HN24">
        <v>397326.125</v>
      </c>
      <c r="HO24">
        <v>3.4000000000000002E-2</v>
      </c>
      <c r="HQ24">
        <v>-8532436.4360000007</v>
      </c>
      <c r="HR24">
        <v>397978.05699999997</v>
      </c>
      <c r="HS24">
        <v>4.8000000000000001E-2</v>
      </c>
      <c r="HU24">
        <v>-8532268.1449999996</v>
      </c>
      <c r="HV24">
        <v>397818.929</v>
      </c>
      <c r="HW24">
        <v>5.6000000000000001E-2</v>
      </c>
      <c r="HY24">
        <v>-8537913.7770000007</v>
      </c>
      <c r="HZ24">
        <v>397729.67099999997</v>
      </c>
      <c r="IA24">
        <v>0.39100000000000001</v>
      </c>
      <c r="IG24">
        <v>-8532268.648</v>
      </c>
      <c r="IH24">
        <v>397942.88500000001</v>
      </c>
      <c r="II24">
        <v>0.16</v>
      </c>
      <c r="IK24">
        <v>-8532577.7400000002</v>
      </c>
      <c r="IL24">
        <v>396954.09</v>
      </c>
      <c r="IM24">
        <v>0.14099999999999999</v>
      </c>
      <c r="IO24">
        <v>-8534032.3530000001</v>
      </c>
      <c r="IP24">
        <v>400686.66800000001</v>
      </c>
      <c r="IQ24">
        <v>0.15</v>
      </c>
    </row>
    <row r="25" spans="5:251" ht="15" thickBot="1" x14ac:dyDescent="0.35">
      <c r="E25" s="75">
        <v>-8533036.7960000001</v>
      </c>
      <c r="F25" s="76">
        <v>398331.17599999998</v>
      </c>
      <c r="G25" s="77"/>
      <c r="O25">
        <f>SUM(O$3:O24)</f>
        <v>0.93500000000000016</v>
      </c>
      <c r="AC25" s="73">
        <v>-8531951.7410000004</v>
      </c>
      <c r="AD25">
        <v>397853.174</v>
      </c>
      <c r="AE25" s="74">
        <v>2.1000000000000001E-2</v>
      </c>
      <c r="AG25" s="73">
        <v>-8532029.4529999997</v>
      </c>
      <c r="AH25">
        <v>397733.68699999998</v>
      </c>
      <c r="AI25" s="74">
        <v>7.0000000000000007E-2</v>
      </c>
      <c r="AK25" s="73">
        <v>-8531850.875</v>
      </c>
      <c r="AL25">
        <v>397726.43900000001</v>
      </c>
      <c r="AM25" s="74">
        <v>0.104</v>
      </c>
      <c r="AO25" s="73">
        <v>-8531850.875</v>
      </c>
      <c r="AP25">
        <v>397726.43900000001</v>
      </c>
      <c r="AQ25" s="74">
        <v>0.104</v>
      </c>
      <c r="AS25" s="73">
        <v>-8532279.7029999997</v>
      </c>
      <c r="AT25">
        <v>397599.3</v>
      </c>
      <c r="AU25" s="74">
        <v>4.7E-2</v>
      </c>
      <c r="AW25" s="73">
        <v>-8532279.7029999997</v>
      </c>
      <c r="AX25">
        <v>397599.3</v>
      </c>
      <c r="AY25" s="74">
        <v>4.7E-2</v>
      </c>
      <c r="BA25" s="73">
        <v>-8532279.7029999997</v>
      </c>
      <c r="BB25">
        <v>397599.3</v>
      </c>
      <c r="BC25" s="74">
        <v>4.7E-2</v>
      </c>
      <c r="BE25" s="73">
        <v>-8532279.7029999997</v>
      </c>
      <c r="BF25">
        <v>397599.3</v>
      </c>
      <c r="BG25" s="74">
        <v>4.7E-2</v>
      </c>
      <c r="BI25" s="73">
        <v>-8532279.7029999997</v>
      </c>
      <c r="BJ25">
        <v>397599.3</v>
      </c>
      <c r="BK25" s="74">
        <v>4.7E-2</v>
      </c>
      <c r="BM25" s="73">
        <v>-8532279.7029999997</v>
      </c>
      <c r="BN25">
        <v>397599.3</v>
      </c>
      <c r="BO25" s="74">
        <v>4.7E-2</v>
      </c>
      <c r="BQ25" s="73">
        <v>-8532279.7029999997</v>
      </c>
      <c r="BR25">
        <v>397599.3</v>
      </c>
      <c r="BS25" s="74">
        <v>4.7E-2</v>
      </c>
      <c r="BU25" s="73">
        <v>-8532279.7029999997</v>
      </c>
      <c r="BV25">
        <v>397599.3</v>
      </c>
      <c r="BW25" s="74">
        <v>4.7E-2</v>
      </c>
      <c r="BY25" s="73">
        <v>-8532279.7029999997</v>
      </c>
      <c r="BZ25">
        <v>397599.3</v>
      </c>
      <c r="CA25" s="74">
        <v>4.7E-2</v>
      </c>
      <c r="CC25" s="73">
        <v>-8532279.7029999997</v>
      </c>
      <c r="CD25">
        <v>397599.3</v>
      </c>
      <c r="CE25" s="74">
        <v>4.7E-2</v>
      </c>
      <c r="CG25" s="73">
        <v>-8532066.5979999993</v>
      </c>
      <c r="CH25">
        <v>398383.27</v>
      </c>
      <c r="CI25" s="74">
        <v>7.0999999999999994E-2</v>
      </c>
      <c r="CK25" s="73">
        <v>-8532066.5979999993</v>
      </c>
      <c r="CL25">
        <v>398383.27</v>
      </c>
      <c r="CM25" s="74">
        <v>7.0999999999999994E-2</v>
      </c>
      <c r="CO25" s="73">
        <v>-8533584.8340000007</v>
      </c>
      <c r="CP25">
        <v>397966.28100000002</v>
      </c>
      <c r="CQ25" s="74">
        <v>57.335999999999999</v>
      </c>
      <c r="CS25" s="73">
        <v>-8533584.8340000007</v>
      </c>
      <c r="CT25">
        <v>397966.28100000002</v>
      </c>
      <c r="CU25" s="74">
        <v>57.335999999999999</v>
      </c>
      <c r="CW25" s="73">
        <v>-8533584.8340000007</v>
      </c>
      <c r="CX25">
        <v>397966.28100000002</v>
      </c>
      <c r="CY25" s="74">
        <v>57.335999999999999</v>
      </c>
      <c r="DA25" s="73">
        <v>-8533762.7510000002</v>
      </c>
      <c r="DB25">
        <v>398184.04399999999</v>
      </c>
      <c r="DC25" s="74">
        <v>153.25800000000001</v>
      </c>
      <c r="DE25" s="73">
        <v>-8533538.1830000002</v>
      </c>
      <c r="DF25">
        <v>397963.92300000001</v>
      </c>
      <c r="DG25" s="74">
        <v>0.106</v>
      </c>
      <c r="DI25" s="73">
        <v>-8532433.8010000009</v>
      </c>
      <c r="DJ25">
        <v>397981.61</v>
      </c>
      <c r="DK25" s="74">
        <v>53.216000000000001</v>
      </c>
      <c r="DM25" s="73">
        <v>-8532279.7029999997</v>
      </c>
      <c r="DN25">
        <v>397599.3</v>
      </c>
      <c r="DO25" s="74">
        <v>4.7E-2</v>
      </c>
      <c r="DQ25" s="73">
        <v>-8532279.7029999997</v>
      </c>
      <c r="DR25">
        <v>397599.3</v>
      </c>
      <c r="DS25" s="74">
        <v>4.7E-2</v>
      </c>
      <c r="DU25" s="73">
        <v>-8533584.8340000007</v>
      </c>
      <c r="DV25">
        <v>397966.28100000002</v>
      </c>
      <c r="DW25" s="74">
        <v>57.335999999999999</v>
      </c>
      <c r="DY25" s="73">
        <v>-8533459.3870000001</v>
      </c>
      <c r="DZ25">
        <v>397949.185</v>
      </c>
      <c r="EA25" s="74">
        <v>3.2000000000000001E-2</v>
      </c>
      <c r="EC25" s="73">
        <v>-8533337.1699999999</v>
      </c>
      <c r="ED25">
        <v>398002.01699999999</v>
      </c>
      <c r="EE25" s="74">
        <v>0.19800000000000001</v>
      </c>
      <c r="EG25" s="73">
        <v>-8540192.7070000004</v>
      </c>
      <c r="EH25">
        <v>396268.29200000002</v>
      </c>
      <c r="EI25" s="74">
        <v>0.151</v>
      </c>
      <c r="EK25">
        <v>-8534234.8910000008</v>
      </c>
      <c r="EL25">
        <v>398993.09499999997</v>
      </c>
      <c r="EM25">
        <v>2.1999999999999999E-2</v>
      </c>
      <c r="EO25">
        <v>-8532757.0299999993</v>
      </c>
      <c r="EP25">
        <v>397910.951</v>
      </c>
      <c r="EQ25">
        <v>0.22700000000000001</v>
      </c>
      <c r="ES25">
        <v>-8532673.3560000006</v>
      </c>
      <c r="ET25">
        <v>397373.516</v>
      </c>
      <c r="EU25">
        <v>6.4000000000000001E-2</v>
      </c>
      <c r="EW25">
        <v>-8532264.5739999991</v>
      </c>
      <c r="EX25">
        <v>397706.147</v>
      </c>
      <c r="EY25">
        <v>4.2000000000000003E-2</v>
      </c>
      <c r="FA25">
        <v>-8528486.5720000006</v>
      </c>
      <c r="FB25">
        <v>395982.15899999999</v>
      </c>
      <c r="FC25">
        <v>2.7E-2</v>
      </c>
      <c r="FE25">
        <v>-8533303.6040000003</v>
      </c>
      <c r="FF25">
        <v>395321.424</v>
      </c>
      <c r="FG25">
        <v>5.7000000000000002E-2</v>
      </c>
      <c r="FI25">
        <v>-8532309.3660000004</v>
      </c>
      <c r="FJ25">
        <v>398078.07400000002</v>
      </c>
      <c r="FM25">
        <v>-8528837.5779999997</v>
      </c>
      <c r="FN25">
        <v>394300.87800000003</v>
      </c>
      <c r="FO25">
        <v>27.614999999999998</v>
      </c>
      <c r="FQ25">
        <v>-8532700.5979999993</v>
      </c>
      <c r="FR25">
        <v>396943.69300000003</v>
      </c>
      <c r="FS25">
        <v>110.672</v>
      </c>
      <c r="FU25">
        <v>-8534330.8239999991</v>
      </c>
      <c r="FV25">
        <v>398903.29499999998</v>
      </c>
      <c r="FW25">
        <v>2.9000000000000001E-2</v>
      </c>
      <c r="FY25">
        <v>-8529614.5539999995</v>
      </c>
      <c r="FZ25">
        <v>396440.65399999998</v>
      </c>
      <c r="GA25">
        <v>3.4000000000000002E-2</v>
      </c>
      <c r="GC25">
        <v>-8530619.0649999995</v>
      </c>
      <c r="GD25">
        <v>396865.09399999998</v>
      </c>
      <c r="GE25">
        <v>28.238</v>
      </c>
      <c r="GG25">
        <v>-8530279.1630000006</v>
      </c>
      <c r="GH25">
        <v>396498.49699999997</v>
      </c>
      <c r="GI25">
        <v>47.231000000000002</v>
      </c>
      <c r="GO25">
        <v>-8532279.8460000008</v>
      </c>
      <c r="GP25">
        <v>397593.04800000001</v>
      </c>
      <c r="GQ25">
        <v>3.5000000000000003E-2</v>
      </c>
      <c r="GS25">
        <v>-8530788.7369999997</v>
      </c>
      <c r="GT25">
        <v>396954.15299999999</v>
      </c>
      <c r="GU25">
        <v>4.2999999999999997E-2</v>
      </c>
      <c r="GW25">
        <v>-8532528.2180000003</v>
      </c>
      <c r="GX25">
        <v>397927.37400000001</v>
      </c>
      <c r="GY25">
        <v>116.777</v>
      </c>
      <c r="HA25">
        <v>-8532834.7520000003</v>
      </c>
      <c r="HB25">
        <v>398072.79399999999</v>
      </c>
      <c r="HC25">
        <v>145.298</v>
      </c>
      <c r="HE25">
        <v>-8534027.9140000008</v>
      </c>
      <c r="HF25">
        <v>397542.76500000001</v>
      </c>
      <c r="HG25">
        <v>0.16</v>
      </c>
      <c r="HI25">
        <v>-8532111.6239999998</v>
      </c>
      <c r="HJ25">
        <v>397829.43400000001</v>
      </c>
      <c r="HK25">
        <v>7.6999999999999999E-2</v>
      </c>
      <c r="HM25">
        <v>-8532674.5319999997</v>
      </c>
      <c r="HN25">
        <v>397355.32799999998</v>
      </c>
      <c r="HO25">
        <v>3.1E-2</v>
      </c>
      <c r="HQ25">
        <v>-8532468.6190000009</v>
      </c>
      <c r="HR25">
        <v>397958.39</v>
      </c>
      <c r="HS25">
        <v>3.7999999999999999E-2</v>
      </c>
      <c r="HU25">
        <v>-8532202.4370000008</v>
      </c>
      <c r="HV25">
        <v>397883.29599999997</v>
      </c>
      <c r="HW25">
        <v>9.1999999999999998E-2</v>
      </c>
      <c r="HY25">
        <v>-8537656.3120000008</v>
      </c>
      <c r="HZ25">
        <v>397815.49300000002</v>
      </c>
      <c r="IA25">
        <v>0.27100000000000002</v>
      </c>
      <c r="IG25">
        <v>-8532326.3090000004</v>
      </c>
      <c r="IH25">
        <v>397981.77299999999</v>
      </c>
      <c r="II25">
        <v>6.9000000000000006E-2</v>
      </c>
      <c r="IK25">
        <v>-8532553.6030000001</v>
      </c>
      <c r="IL25">
        <v>396986.27399999998</v>
      </c>
      <c r="IM25">
        <v>0.04</v>
      </c>
      <c r="IO25">
        <v>-8534013.5789999999</v>
      </c>
      <c r="IP25">
        <v>400647.78</v>
      </c>
      <c r="IQ25">
        <v>4.2999999999999997E-2</v>
      </c>
    </row>
    <row r="26" spans="5:251" ht="15" thickBot="1" x14ac:dyDescent="0.35">
      <c r="G26">
        <f>SUM(G$3:G25)</f>
        <v>0.94400000000000039</v>
      </c>
      <c r="AC26" s="73">
        <v>-8531932.2119999994</v>
      </c>
      <c r="AD26">
        <v>397811.902</v>
      </c>
      <c r="AE26" s="74">
        <v>4.5999999999999999E-2</v>
      </c>
      <c r="AG26" s="73">
        <v>-8532021.4000000004</v>
      </c>
      <c r="AH26">
        <v>397725.23100000003</v>
      </c>
      <c r="AI26" s="74">
        <v>1.2E-2</v>
      </c>
      <c r="AK26" s="73">
        <v>-8531825.1060000006</v>
      </c>
      <c r="AL26">
        <v>397715.97</v>
      </c>
      <c r="AM26" s="74">
        <v>2.8000000000000001E-2</v>
      </c>
      <c r="AO26" s="73">
        <v>-8531825.1060000006</v>
      </c>
      <c r="AP26">
        <v>397715.97</v>
      </c>
      <c r="AQ26" s="74">
        <v>2.8000000000000001E-2</v>
      </c>
      <c r="AS26" s="73">
        <v>-8532299.0309999995</v>
      </c>
      <c r="AT26">
        <v>397567.49099999998</v>
      </c>
      <c r="AU26" s="74">
        <v>3.6999999999999998E-2</v>
      </c>
      <c r="AW26" s="73">
        <v>-8532299.0309999995</v>
      </c>
      <c r="AX26">
        <v>397567.49099999998</v>
      </c>
      <c r="AY26" s="74">
        <v>3.6999999999999998E-2</v>
      </c>
      <c r="BA26" s="73">
        <v>-8532299.0309999995</v>
      </c>
      <c r="BB26">
        <v>397567.49099999998</v>
      </c>
      <c r="BC26" s="74">
        <v>3.6999999999999998E-2</v>
      </c>
      <c r="BE26" s="73">
        <v>-8532299.0309999995</v>
      </c>
      <c r="BF26">
        <v>397567.49099999998</v>
      </c>
      <c r="BG26" s="74">
        <v>3.6999999999999998E-2</v>
      </c>
      <c r="BI26" s="73">
        <v>-8532299.0309999995</v>
      </c>
      <c r="BJ26">
        <v>397567.49099999998</v>
      </c>
      <c r="BK26" s="74">
        <v>3.6999999999999998E-2</v>
      </c>
      <c r="BM26" s="73">
        <v>-8532299.0309999995</v>
      </c>
      <c r="BN26">
        <v>397567.49099999998</v>
      </c>
      <c r="BO26" s="74">
        <v>3.6999999999999998E-2</v>
      </c>
      <c r="BQ26" s="73">
        <v>-8532299.0309999995</v>
      </c>
      <c r="BR26">
        <v>397567.49099999998</v>
      </c>
      <c r="BS26" s="74">
        <v>3.6999999999999998E-2</v>
      </c>
      <c r="BU26" s="73">
        <v>-8532299.0309999995</v>
      </c>
      <c r="BV26">
        <v>397567.49099999998</v>
      </c>
      <c r="BW26" s="74">
        <v>3.6999999999999998E-2</v>
      </c>
      <c r="BY26" s="73">
        <v>-8532299.0309999995</v>
      </c>
      <c r="BZ26">
        <v>397567.49099999998</v>
      </c>
      <c r="CA26" s="74">
        <v>3.6999999999999998E-2</v>
      </c>
      <c r="CC26" s="73">
        <v>-8532299.0309999995</v>
      </c>
      <c r="CD26">
        <v>397567.49099999998</v>
      </c>
      <c r="CE26" s="74">
        <v>3.6999999999999998E-2</v>
      </c>
      <c r="CG26" s="73">
        <v>-8532067.0510000009</v>
      </c>
      <c r="CH26">
        <v>398398.21899999998</v>
      </c>
      <c r="CI26" s="74">
        <v>1.4999999999999999E-2</v>
      </c>
      <c r="CK26" s="73">
        <v>-8532067.0510000009</v>
      </c>
      <c r="CL26">
        <v>398398.21899999998</v>
      </c>
      <c r="CM26" s="74">
        <v>1.4999999999999999E-2</v>
      </c>
      <c r="CO26" s="73">
        <v>-8533622.2899999991</v>
      </c>
      <c r="CP26">
        <v>397981.57</v>
      </c>
      <c r="CQ26" s="74">
        <v>40.456000000000003</v>
      </c>
      <c r="CS26" s="73">
        <v>-8533622.2899999991</v>
      </c>
      <c r="CT26">
        <v>397981.57</v>
      </c>
      <c r="CU26" s="74">
        <v>40.456000000000003</v>
      </c>
      <c r="CW26" s="73">
        <v>-8533622.2899999991</v>
      </c>
      <c r="CX26">
        <v>397981.57</v>
      </c>
      <c r="CY26" s="74">
        <v>40.456000000000003</v>
      </c>
      <c r="DA26" s="73">
        <v>-8533767.3379999995</v>
      </c>
      <c r="DB26">
        <v>398244.815</v>
      </c>
      <c r="DC26" s="74">
        <v>60.944000000000003</v>
      </c>
      <c r="DE26" s="73">
        <v>-8533610.7430000007</v>
      </c>
      <c r="DF26">
        <v>397967.55099999998</v>
      </c>
      <c r="DG26" s="74">
        <v>7.2999999999999995E-2</v>
      </c>
      <c r="DI26" s="73">
        <v>-8532397.9739999995</v>
      </c>
      <c r="DJ26">
        <v>397991.587</v>
      </c>
      <c r="DK26" s="74">
        <v>37.19</v>
      </c>
      <c r="DM26" s="73">
        <v>-8532299.0309999995</v>
      </c>
      <c r="DN26">
        <v>397567.49099999998</v>
      </c>
      <c r="DO26" s="74">
        <v>3.6999999999999998E-2</v>
      </c>
      <c r="DQ26" s="73">
        <v>-8532299.0309999995</v>
      </c>
      <c r="DR26">
        <v>397567.49099999998</v>
      </c>
      <c r="DS26" s="74">
        <v>3.6999999999999998E-2</v>
      </c>
      <c r="DU26" s="73">
        <v>-8533622.2899999991</v>
      </c>
      <c r="DV26">
        <v>397981.57</v>
      </c>
      <c r="DW26" s="74">
        <v>40.456000000000003</v>
      </c>
      <c r="DY26" s="73">
        <v>-8533530.1329999994</v>
      </c>
      <c r="DZ26">
        <v>397967.32500000001</v>
      </c>
      <c r="EA26" s="74">
        <v>7.2999999999999995E-2</v>
      </c>
      <c r="EC26" s="73">
        <v>-8533358.9379999992</v>
      </c>
      <c r="ED26">
        <v>398002.01699999999</v>
      </c>
      <c r="EE26" s="74">
        <v>2.1999999999999999E-2</v>
      </c>
      <c r="EG26" s="73">
        <v>-8540192.7070000004</v>
      </c>
      <c r="EH26">
        <v>396239.26799999998</v>
      </c>
      <c r="EI26" s="74">
        <v>2.9000000000000001E-2</v>
      </c>
      <c r="EK26">
        <v>-8534315.148</v>
      </c>
      <c r="EL26">
        <v>398932.24099999998</v>
      </c>
      <c r="EM26">
        <v>0.1</v>
      </c>
      <c r="EO26">
        <v>-8532730.5720000006</v>
      </c>
      <c r="EP26">
        <v>397975.77399999998</v>
      </c>
      <c r="EQ26">
        <v>6.9000000000000006E-2</v>
      </c>
      <c r="ES26">
        <v>-8532640.6129999999</v>
      </c>
      <c r="ET26">
        <v>397397.32900000003</v>
      </c>
      <c r="EU26">
        <v>0.04</v>
      </c>
      <c r="EW26">
        <v>-8532274.4959999993</v>
      </c>
      <c r="EX26">
        <v>397782.54499999998</v>
      </c>
      <c r="EY26">
        <v>7.5999999999999998E-2</v>
      </c>
      <c r="FA26">
        <v>-8528553.2970000003</v>
      </c>
      <c r="FB26">
        <v>396026.80800000002</v>
      </c>
      <c r="FC26">
        <v>0.08</v>
      </c>
      <c r="FE26">
        <v>-8533234.3990000002</v>
      </c>
      <c r="FF26">
        <v>395372.02600000001</v>
      </c>
      <c r="FG26">
        <v>8.5000000000000006E-2</v>
      </c>
      <c r="FK26" s="77">
        <f>SUM(FK$3:FK25)/1000</f>
        <v>1.3212069999999998</v>
      </c>
      <c r="FM26">
        <v>-8528883.2190000005</v>
      </c>
      <c r="FN26">
        <v>394328.65899999999</v>
      </c>
      <c r="FO26">
        <v>53.234000000000002</v>
      </c>
      <c r="FQ26">
        <v>-8532566.6530000009</v>
      </c>
      <c r="FR26">
        <v>396955.6</v>
      </c>
      <c r="FS26">
        <v>134.208</v>
      </c>
      <c r="FU26">
        <v>-8534304.0350000001</v>
      </c>
      <c r="FV26">
        <v>398877.62199999997</v>
      </c>
      <c r="FW26">
        <v>3.6999999999999998E-2</v>
      </c>
      <c r="FY26">
        <v>-8529631.2970000003</v>
      </c>
      <c r="FZ26">
        <v>396467.44300000003</v>
      </c>
      <c r="GA26">
        <v>3.1E-2</v>
      </c>
      <c r="GC26">
        <v>-8530647.7899999991</v>
      </c>
      <c r="GD26">
        <v>396875.924</v>
      </c>
      <c r="GE26">
        <v>30.614999999999998</v>
      </c>
      <c r="GG26">
        <v>-8530294.2320000008</v>
      </c>
      <c r="GH26">
        <v>396487.19500000001</v>
      </c>
      <c r="GI26">
        <v>18.754999999999999</v>
      </c>
      <c r="GO26">
        <v>-8532284.0850000009</v>
      </c>
      <c r="GP26">
        <v>397657.68</v>
      </c>
      <c r="GQ26">
        <v>6.4000000000000001E-2</v>
      </c>
      <c r="GS26">
        <v>-8530819.1099999994</v>
      </c>
      <c r="GT26">
        <v>396972.51799999998</v>
      </c>
      <c r="GU26">
        <v>3.5000000000000003E-2</v>
      </c>
      <c r="GW26">
        <v>-8532747.5399999991</v>
      </c>
      <c r="GX26">
        <v>397913.86499999999</v>
      </c>
      <c r="GY26">
        <v>219.30799999999999</v>
      </c>
      <c r="HA26">
        <v>-8532842.3019999992</v>
      </c>
      <c r="HB26">
        <v>398136.76299999998</v>
      </c>
      <c r="HC26">
        <v>63.866</v>
      </c>
      <c r="HE26">
        <v>-8534034.2709999997</v>
      </c>
      <c r="HF26">
        <v>397777.98</v>
      </c>
      <c r="HG26">
        <v>0.23300000000000001</v>
      </c>
      <c r="HI26">
        <v>-8532162.8790000007</v>
      </c>
      <c r="HJ26">
        <v>397850.88900000002</v>
      </c>
      <c r="HK26">
        <v>5.5E-2</v>
      </c>
      <c r="HM26">
        <v>-8532657.2479999997</v>
      </c>
      <c r="HN26">
        <v>397392.27899999998</v>
      </c>
      <c r="HO26">
        <v>0.04</v>
      </c>
      <c r="HQ26">
        <v>-8532541.0309999995</v>
      </c>
      <c r="HR26">
        <v>397919.94900000002</v>
      </c>
      <c r="HS26">
        <v>8.2000000000000003E-2</v>
      </c>
      <c r="HU26">
        <v>-8532229.2569999993</v>
      </c>
      <c r="HV26">
        <v>397906.092</v>
      </c>
      <c r="HW26">
        <v>3.5000000000000003E-2</v>
      </c>
      <c r="HY26">
        <v>-8537361.3000000007</v>
      </c>
      <c r="HZ26">
        <v>397799.402</v>
      </c>
      <c r="IA26">
        <v>0.29499999999999998</v>
      </c>
      <c r="IG26">
        <v>-8532353.1280000005</v>
      </c>
      <c r="IH26">
        <v>397991.83</v>
      </c>
      <c r="II26">
        <v>2.9000000000000001E-2</v>
      </c>
      <c r="IK26">
        <v>-8532583.1040000003</v>
      </c>
      <c r="IL26">
        <v>397093.55099999998</v>
      </c>
      <c r="IM26">
        <v>0.11</v>
      </c>
      <c r="IO26">
        <v>-8534014.25</v>
      </c>
      <c r="IP26">
        <v>400589.44799999997</v>
      </c>
      <c r="IQ26">
        <v>5.8000000000000003E-2</v>
      </c>
    </row>
    <row r="27" spans="5:251" x14ac:dyDescent="0.3">
      <c r="AC27" s="73">
        <v>-8531909.6630000006</v>
      </c>
      <c r="AD27">
        <v>397780.89799999999</v>
      </c>
      <c r="AE27" s="74">
        <v>3.7999999999999999E-2</v>
      </c>
      <c r="AG27" s="73">
        <v>-8532012.5419999994</v>
      </c>
      <c r="AH27">
        <v>397720.39899999998</v>
      </c>
      <c r="AI27" s="74">
        <v>0.01</v>
      </c>
      <c r="AK27" s="73">
        <v>-8531790.477</v>
      </c>
      <c r="AL27">
        <v>397706.30599999998</v>
      </c>
      <c r="AM27" s="74">
        <v>3.5999999999999997E-2</v>
      </c>
      <c r="AO27" s="73">
        <v>-8531790.477</v>
      </c>
      <c r="AP27">
        <v>397706.30599999998</v>
      </c>
      <c r="AQ27" s="74">
        <v>3.5999999999999997E-2</v>
      </c>
      <c r="AS27" s="73">
        <v>-8532333.659</v>
      </c>
      <c r="AT27">
        <v>397554.20299999998</v>
      </c>
      <c r="AU27" s="74">
        <v>3.6999999999999998E-2</v>
      </c>
      <c r="AW27" s="73">
        <v>-8532333.659</v>
      </c>
      <c r="AX27">
        <v>397554.20299999998</v>
      </c>
      <c r="AY27" s="74">
        <v>3.6999999999999998E-2</v>
      </c>
      <c r="BA27" s="73">
        <v>-8532333.659</v>
      </c>
      <c r="BB27">
        <v>397554.20299999998</v>
      </c>
      <c r="BC27" s="74">
        <v>3.6999999999999998E-2</v>
      </c>
      <c r="BE27" s="73">
        <v>-8532333.659</v>
      </c>
      <c r="BF27">
        <v>397554.20299999998</v>
      </c>
      <c r="BG27" s="74">
        <v>3.6999999999999998E-2</v>
      </c>
      <c r="BI27" s="73">
        <v>-8532333.659</v>
      </c>
      <c r="BJ27">
        <v>397554.20299999998</v>
      </c>
      <c r="BK27" s="74">
        <v>3.6999999999999998E-2</v>
      </c>
      <c r="BM27" s="73">
        <v>-8532333.659</v>
      </c>
      <c r="BN27">
        <v>397554.20299999998</v>
      </c>
      <c r="BO27" s="74">
        <v>3.6999999999999998E-2</v>
      </c>
      <c r="BQ27" s="73">
        <v>-8532333.659</v>
      </c>
      <c r="BR27">
        <v>397554.20299999998</v>
      </c>
      <c r="BS27" s="74">
        <v>3.6999999999999998E-2</v>
      </c>
      <c r="BU27" s="73">
        <v>-8532333.659</v>
      </c>
      <c r="BV27">
        <v>397554.20299999998</v>
      </c>
      <c r="BW27" s="74">
        <v>3.6999999999999998E-2</v>
      </c>
      <c r="BY27" s="73">
        <v>-8532333.659</v>
      </c>
      <c r="BZ27">
        <v>397554.20299999998</v>
      </c>
      <c r="CA27" s="74">
        <v>3.6999999999999998E-2</v>
      </c>
      <c r="CC27" s="73">
        <v>-8532333.659</v>
      </c>
      <c r="CD27">
        <v>397554.20299999998</v>
      </c>
      <c r="CE27" s="74">
        <v>3.6999999999999998E-2</v>
      </c>
      <c r="CG27" s="73">
        <v>-8532088.341</v>
      </c>
      <c r="CH27">
        <v>398416.79100000003</v>
      </c>
      <c r="CI27" s="74">
        <v>2.8000000000000001E-2</v>
      </c>
      <c r="CK27" s="73">
        <v>-8532088.341</v>
      </c>
      <c r="CL27">
        <v>398416.79100000003</v>
      </c>
      <c r="CM27" s="74">
        <v>2.8000000000000001E-2</v>
      </c>
      <c r="CO27" s="73">
        <v>-8533645.9869999997</v>
      </c>
      <c r="CP27">
        <v>398051.13099999999</v>
      </c>
      <c r="CQ27" s="74">
        <v>73.486999999999995</v>
      </c>
      <c r="CS27" s="73">
        <v>-8533645.9869999997</v>
      </c>
      <c r="CT27">
        <v>398051.13099999999</v>
      </c>
      <c r="CU27" s="74">
        <v>73.486999999999995</v>
      </c>
      <c r="CW27" s="73">
        <v>-8533645.9869999997</v>
      </c>
      <c r="CX27">
        <v>398051.13099999999</v>
      </c>
      <c r="CY27" s="74">
        <v>73.486999999999995</v>
      </c>
      <c r="DA27" s="73">
        <v>-8533798.2970000003</v>
      </c>
      <c r="DB27">
        <v>398281.50699999998</v>
      </c>
      <c r="DC27" s="74">
        <v>48.008000000000003</v>
      </c>
      <c r="DE27" s="73">
        <v>-8533639.7670000009</v>
      </c>
      <c r="DF27">
        <v>398016.52899999998</v>
      </c>
      <c r="DG27" s="74">
        <v>5.7000000000000002E-2</v>
      </c>
      <c r="DI27" s="73">
        <v>-8532351.2640000004</v>
      </c>
      <c r="DJ27">
        <v>397992.04</v>
      </c>
      <c r="DK27" s="74">
        <v>46.713000000000001</v>
      </c>
      <c r="DM27" s="73">
        <v>-8532333.659</v>
      </c>
      <c r="DN27">
        <v>397554.20299999998</v>
      </c>
      <c r="DO27" s="74">
        <v>3.6999999999999998E-2</v>
      </c>
      <c r="DQ27" s="73">
        <v>-8532333.659</v>
      </c>
      <c r="DR27">
        <v>397554.20299999998</v>
      </c>
      <c r="DS27" s="74">
        <v>3.6999999999999998E-2</v>
      </c>
      <c r="DU27" s="73">
        <v>-8533645.9869999997</v>
      </c>
      <c r="DV27">
        <v>398051.13099999999</v>
      </c>
      <c r="DW27" s="74">
        <v>73.486999999999995</v>
      </c>
      <c r="DY27" s="73">
        <v>-8533589.0879999995</v>
      </c>
      <c r="DZ27">
        <v>397970.04599999997</v>
      </c>
      <c r="EA27" s="74">
        <v>5.8999999999999997E-2</v>
      </c>
      <c r="EC27" s="73">
        <v>-8533423.3340000007</v>
      </c>
      <c r="ED27">
        <v>397959.38799999998</v>
      </c>
      <c r="EE27" s="74">
        <v>7.6999999999999999E-2</v>
      </c>
      <c r="EG27" s="73">
        <v>-8540174.5669999998</v>
      </c>
      <c r="EH27">
        <v>396198.45400000003</v>
      </c>
      <c r="EI27" s="74">
        <v>4.4999999999999998E-2</v>
      </c>
      <c r="EK27">
        <v>-8534328.3770000003</v>
      </c>
      <c r="EL27">
        <v>398909.31</v>
      </c>
      <c r="EM27">
        <v>2.5999999999999999E-2</v>
      </c>
      <c r="EO27">
        <v>-8532751.7379999999</v>
      </c>
      <c r="EP27">
        <v>398008.84700000001</v>
      </c>
      <c r="EQ27">
        <v>3.9E-2</v>
      </c>
      <c r="ES27">
        <v>-8532583.0659999996</v>
      </c>
      <c r="ET27">
        <v>397401.29700000002</v>
      </c>
      <c r="EU27">
        <v>5.8000000000000003E-2</v>
      </c>
      <c r="EW27">
        <v>-8532266.5590000004</v>
      </c>
      <c r="EX27">
        <v>397809.33399999997</v>
      </c>
      <c r="EY27">
        <v>2.8000000000000001E-2</v>
      </c>
      <c r="FA27">
        <v>-8528586.0390000008</v>
      </c>
      <c r="FB27">
        <v>396038.21799999999</v>
      </c>
      <c r="FC27">
        <v>3.5000000000000003E-2</v>
      </c>
      <c r="FE27">
        <v>-8533236.6309999991</v>
      </c>
      <c r="FF27">
        <v>395401.04700000002</v>
      </c>
      <c r="FG27">
        <v>2.9000000000000001E-2</v>
      </c>
      <c r="FM27">
        <v>-8528869.3279999997</v>
      </c>
      <c r="FN27">
        <v>394421.92499999999</v>
      </c>
      <c r="FO27">
        <v>93.501999999999995</v>
      </c>
      <c r="FQ27">
        <v>-8532565.1640000008</v>
      </c>
      <c r="FR27">
        <v>397038.94300000003</v>
      </c>
      <c r="FS27">
        <v>82.641999999999996</v>
      </c>
      <c r="FU27">
        <v>-8534223.6679999996</v>
      </c>
      <c r="FV27">
        <v>398878.73800000001</v>
      </c>
      <c r="FW27">
        <v>0.08</v>
      </c>
      <c r="FY27">
        <v>-8529655.9930000007</v>
      </c>
      <c r="FZ27">
        <v>396476.44300000003</v>
      </c>
      <c r="GA27">
        <v>2.5999999999999999E-2</v>
      </c>
      <c r="GC27">
        <v>-8530688.2880000006</v>
      </c>
      <c r="GD27">
        <v>396876.86599999998</v>
      </c>
      <c r="GE27">
        <v>40.430999999999997</v>
      </c>
      <c r="GG27">
        <v>-8530304.591</v>
      </c>
      <c r="GH27">
        <v>396452.348</v>
      </c>
      <c r="GI27">
        <v>36.061999999999998</v>
      </c>
      <c r="GO27">
        <v>-8532262.8939999994</v>
      </c>
      <c r="GP27">
        <v>397700.06099999999</v>
      </c>
      <c r="GQ27">
        <v>4.7E-2</v>
      </c>
      <c r="GS27">
        <v>-8530862.5510000009</v>
      </c>
      <c r="GT27">
        <v>396991.94300000003</v>
      </c>
      <c r="GU27">
        <v>4.7E-2</v>
      </c>
      <c r="GW27">
        <v>-8532707.8080000002</v>
      </c>
      <c r="GX27">
        <v>398028.29399999999</v>
      </c>
      <c r="GY27">
        <v>120.178</v>
      </c>
      <c r="HA27">
        <v>-8532779.9220000003</v>
      </c>
      <c r="HB27">
        <v>397990.54800000001</v>
      </c>
      <c r="HE27">
        <v>-8533948.4489999991</v>
      </c>
      <c r="HF27">
        <v>397921.01699999999</v>
      </c>
      <c r="HG27">
        <v>0.16600000000000001</v>
      </c>
      <c r="HI27">
        <v>-8532191.4859999996</v>
      </c>
      <c r="HJ27">
        <v>397875.62199999997</v>
      </c>
      <c r="HK27">
        <v>3.7999999999999999E-2</v>
      </c>
      <c r="HM27">
        <v>-8532580.9619999994</v>
      </c>
      <c r="HN27">
        <v>397400.62300000002</v>
      </c>
      <c r="HO27">
        <v>7.6999999999999999E-2</v>
      </c>
      <c r="HQ27">
        <v>-8532675.1280000005</v>
      </c>
      <c r="HR27">
        <v>397908.32699999999</v>
      </c>
      <c r="HS27">
        <v>0.13400000000000001</v>
      </c>
      <c r="HU27">
        <v>-8532316.4199999999</v>
      </c>
      <c r="HV27">
        <v>397979.84499999997</v>
      </c>
      <c r="HW27">
        <v>0.114</v>
      </c>
      <c r="HY27">
        <v>-8536299.2550000008</v>
      </c>
      <c r="HZ27">
        <v>398700.53</v>
      </c>
      <c r="IA27">
        <v>1.3859999999999999</v>
      </c>
      <c r="IG27">
        <v>-8532431.5749999993</v>
      </c>
      <c r="IH27">
        <v>397981.10200000001</v>
      </c>
      <c r="II27">
        <v>7.9000000000000001E-2</v>
      </c>
      <c r="IK27">
        <v>-8532639.4250000007</v>
      </c>
      <c r="IL27">
        <v>397169.98599999998</v>
      </c>
      <c r="IM27">
        <v>9.4E-2</v>
      </c>
      <c r="IO27">
        <v>-8534016.932</v>
      </c>
      <c r="IP27">
        <v>400553.24200000003</v>
      </c>
      <c r="IQ27">
        <v>3.5999999999999997E-2</v>
      </c>
    </row>
    <row r="28" spans="5:251" ht="15" thickBot="1" x14ac:dyDescent="0.35">
      <c r="AC28" s="73">
        <v>-8531840.8090000004</v>
      </c>
      <c r="AD28">
        <v>397724.929</v>
      </c>
      <c r="AE28" s="74">
        <v>8.8999999999999996E-2</v>
      </c>
      <c r="AG28" s="73">
        <v>-8531999.2540000007</v>
      </c>
      <c r="AH28">
        <v>397727.647</v>
      </c>
      <c r="AI28" s="74">
        <v>1.4999999999999999E-2</v>
      </c>
      <c r="AK28" s="73">
        <v>-8531779.2029999997</v>
      </c>
      <c r="AL28">
        <v>397691.005</v>
      </c>
      <c r="AM28" s="74">
        <v>1.9E-2</v>
      </c>
      <c r="AO28" s="73">
        <v>-8531779.2029999997</v>
      </c>
      <c r="AP28">
        <v>397691.005</v>
      </c>
      <c r="AQ28" s="74">
        <v>1.9E-2</v>
      </c>
      <c r="AS28" s="73">
        <v>-8532368.2870000005</v>
      </c>
      <c r="AT28">
        <v>397545.34499999997</v>
      </c>
      <c r="AU28" s="74">
        <v>3.5999999999999997E-2</v>
      </c>
      <c r="AW28" s="73">
        <v>-8532368.2870000005</v>
      </c>
      <c r="AX28">
        <v>397545.34499999997</v>
      </c>
      <c r="AY28" s="74">
        <v>3.5999999999999997E-2</v>
      </c>
      <c r="BA28" s="73">
        <v>-8532368.2870000005</v>
      </c>
      <c r="BB28">
        <v>397545.34499999997</v>
      </c>
      <c r="BC28" s="74">
        <v>3.5999999999999997E-2</v>
      </c>
      <c r="BE28" s="73">
        <v>-8532368.2870000005</v>
      </c>
      <c r="BF28">
        <v>397545.34499999997</v>
      </c>
      <c r="BG28" s="74">
        <v>3.5999999999999997E-2</v>
      </c>
      <c r="BI28" s="73">
        <v>-8532368.2870000005</v>
      </c>
      <c r="BJ28">
        <v>397545.34499999997</v>
      </c>
      <c r="BK28" s="74">
        <v>3.5999999999999997E-2</v>
      </c>
      <c r="BM28" s="73">
        <v>-8532368.2870000005</v>
      </c>
      <c r="BN28">
        <v>397545.34499999997</v>
      </c>
      <c r="BO28" s="74">
        <v>3.5999999999999997E-2</v>
      </c>
      <c r="BQ28" s="73">
        <v>-8532368.2870000005</v>
      </c>
      <c r="BR28">
        <v>397545.34499999997</v>
      </c>
      <c r="BS28" s="74">
        <v>3.5999999999999997E-2</v>
      </c>
      <c r="BU28" s="73">
        <v>-8532368.2870000005</v>
      </c>
      <c r="BV28">
        <v>397545.34499999997</v>
      </c>
      <c r="BW28" s="74">
        <v>3.5999999999999997E-2</v>
      </c>
      <c r="BY28" s="73">
        <v>-8532368.2870000005</v>
      </c>
      <c r="BZ28">
        <v>397545.34499999997</v>
      </c>
      <c r="CA28" s="74">
        <v>3.5999999999999997E-2</v>
      </c>
      <c r="CC28" s="73">
        <v>-8532368.2870000005</v>
      </c>
      <c r="CD28">
        <v>397545.34499999997</v>
      </c>
      <c r="CE28" s="74">
        <v>3.5999999999999997E-2</v>
      </c>
      <c r="CG28" s="73">
        <v>-8532098.7599999998</v>
      </c>
      <c r="CH28">
        <v>398432.64600000001</v>
      </c>
      <c r="CI28" s="74">
        <v>1.9E-2</v>
      </c>
      <c r="CK28" s="73">
        <v>-8532098.7599999998</v>
      </c>
      <c r="CL28">
        <v>398432.64600000001</v>
      </c>
      <c r="CM28" s="74">
        <v>1.9E-2</v>
      </c>
      <c r="CO28" s="73">
        <v>-8533661.2750000004</v>
      </c>
      <c r="CP28">
        <v>398084.00099999999</v>
      </c>
      <c r="CQ28" s="74">
        <v>36.250999999999998</v>
      </c>
      <c r="CS28" s="73">
        <v>-8533661.2750000004</v>
      </c>
      <c r="CT28">
        <v>398084.00099999999</v>
      </c>
      <c r="CU28" s="74">
        <v>36.250999999999998</v>
      </c>
      <c r="CW28" s="73">
        <v>-8533661.2750000004</v>
      </c>
      <c r="CX28">
        <v>398084.00099999999</v>
      </c>
      <c r="CY28" s="74">
        <v>36.250999999999998</v>
      </c>
      <c r="DA28" s="73">
        <v>-8533890.0270000007</v>
      </c>
      <c r="DB28">
        <v>398239.08199999999</v>
      </c>
      <c r="DC28" s="74">
        <v>101.066</v>
      </c>
      <c r="DE28" s="73">
        <v>-8533648.8369999994</v>
      </c>
      <c r="DF28">
        <v>398069.13500000001</v>
      </c>
      <c r="DG28" s="74">
        <v>5.2999999999999999E-2</v>
      </c>
      <c r="DI28" s="73">
        <v>-8532328.5889999997</v>
      </c>
      <c r="DJ28">
        <v>397985.69099999999</v>
      </c>
      <c r="DK28" s="74">
        <v>23.547000000000001</v>
      </c>
      <c r="DM28" s="73">
        <v>-8532368.2870000005</v>
      </c>
      <c r="DN28">
        <v>397545.34499999997</v>
      </c>
      <c r="DO28" s="74">
        <v>3.5999999999999997E-2</v>
      </c>
      <c r="DQ28" s="73">
        <v>-8532368.2870000005</v>
      </c>
      <c r="DR28">
        <v>397545.34499999997</v>
      </c>
      <c r="DS28" s="74">
        <v>3.5999999999999997E-2</v>
      </c>
      <c r="DU28" s="73">
        <v>-8533661.2750000004</v>
      </c>
      <c r="DV28">
        <v>398084.00099999999</v>
      </c>
      <c r="DW28" s="74">
        <v>36.250999999999998</v>
      </c>
      <c r="DY28" s="73">
        <v>-8533630.8100000005</v>
      </c>
      <c r="DZ28">
        <v>397990.90600000002</v>
      </c>
      <c r="EA28" s="74">
        <v>4.7E-2</v>
      </c>
      <c r="EC28" s="73">
        <v>-8533447.8230000008</v>
      </c>
      <c r="ED28">
        <v>397949.86499999999</v>
      </c>
      <c r="EE28" s="74">
        <v>2.5999999999999999E-2</v>
      </c>
      <c r="EG28" s="73">
        <v>-8540127.4030000009</v>
      </c>
      <c r="EH28">
        <v>396114.103</v>
      </c>
      <c r="EI28" s="74">
        <v>9.7000000000000003E-2</v>
      </c>
      <c r="EK28">
        <v>-8534318.6760000009</v>
      </c>
      <c r="EL28">
        <v>398893.435</v>
      </c>
      <c r="EM28">
        <v>1.7999999999999999E-2</v>
      </c>
      <c r="EO28">
        <v>-8532730.5720000006</v>
      </c>
      <c r="EP28">
        <v>398033.98200000002</v>
      </c>
      <c r="EQ28">
        <v>3.3000000000000002E-2</v>
      </c>
      <c r="ES28">
        <v>-8532513.6129999999</v>
      </c>
      <c r="ET28">
        <v>397456.86</v>
      </c>
      <c r="EU28">
        <v>8.8999999999999996E-2</v>
      </c>
      <c r="EW28">
        <v>-8532222.9020000007</v>
      </c>
      <c r="EX28">
        <v>397857.95199999999</v>
      </c>
      <c r="EY28">
        <v>6.5000000000000002E-2</v>
      </c>
      <c r="FA28">
        <v>-8528613.0759999994</v>
      </c>
      <c r="FB28">
        <v>396041.93800000002</v>
      </c>
      <c r="FC28">
        <v>2.7E-2</v>
      </c>
      <c r="FE28">
        <v>-8533235.1429999992</v>
      </c>
      <c r="FF28">
        <v>395442.71899999998</v>
      </c>
      <c r="FG28">
        <v>4.1000000000000002E-2</v>
      </c>
      <c r="FM28">
        <v>-8528803.8440000005</v>
      </c>
      <c r="FN28">
        <v>394447.72200000001</v>
      </c>
      <c r="FO28">
        <v>70.186000000000007</v>
      </c>
      <c r="FQ28">
        <v>-8532587.4890000001</v>
      </c>
      <c r="FR28">
        <v>397104.42800000001</v>
      </c>
      <c r="FS28">
        <v>68.64</v>
      </c>
      <c r="FU28">
        <v>-8534196.8790000007</v>
      </c>
      <c r="FV28">
        <v>398856.41399999999</v>
      </c>
      <c r="FW28">
        <v>3.5000000000000003E-2</v>
      </c>
      <c r="FY28">
        <v>-8529694.5020000003</v>
      </c>
      <c r="FZ28">
        <v>396477.28</v>
      </c>
      <c r="GA28">
        <v>3.7999999999999999E-2</v>
      </c>
      <c r="GC28">
        <v>-8530726.9020000007</v>
      </c>
      <c r="GD28">
        <v>396925.84</v>
      </c>
      <c r="GE28">
        <v>61.99</v>
      </c>
      <c r="GG28">
        <v>-8530320.602</v>
      </c>
      <c r="GH28">
        <v>396438.22100000002</v>
      </c>
      <c r="GI28">
        <v>21.248999999999999</v>
      </c>
      <c r="GO28">
        <v>-8532278.7870000005</v>
      </c>
      <c r="GP28">
        <v>397781.64399999997</v>
      </c>
      <c r="GQ28">
        <v>8.2000000000000003E-2</v>
      </c>
      <c r="GS28">
        <v>-8530894.3369999994</v>
      </c>
      <c r="GT28">
        <v>397027.967</v>
      </c>
      <c r="GU28">
        <v>4.8000000000000001E-2</v>
      </c>
      <c r="GW28">
        <v>-8532683.9680000003</v>
      </c>
      <c r="GX28">
        <v>398049.74900000001</v>
      </c>
      <c r="GY28">
        <v>31.914999999999999</v>
      </c>
      <c r="HC28" s="77">
        <f>SUM(HC$3:HC27)/1000</f>
        <v>1.4669269999999999</v>
      </c>
      <c r="HE28">
        <v>-8533982.6190000009</v>
      </c>
      <c r="HF28">
        <v>397950.41800000001</v>
      </c>
      <c r="HG28">
        <v>4.4999999999999998E-2</v>
      </c>
      <c r="HI28">
        <v>-8532271.9440000001</v>
      </c>
      <c r="HJ28">
        <v>397942.67099999997</v>
      </c>
      <c r="HK28">
        <v>0.104</v>
      </c>
      <c r="HM28">
        <v>-8532514.2119999994</v>
      </c>
      <c r="HN28">
        <v>397448.30099999998</v>
      </c>
      <c r="HO28">
        <v>8.2000000000000003E-2</v>
      </c>
      <c r="HQ28">
        <v>-8532743.0700000003</v>
      </c>
      <c r="HR28">
        <v>397916.37300000002</v>
      </c>
      <c r="HS28">
        <v>6.8000000000000005E-2</v>
      </c>
      <c r="HU28">
        <v>-8532419.6740000006</v>
      </c>
      <c r="HV28">
        <v>397987.891</v>
      </c>
      <c r="HW28">
        <v>0.10299999999999999</v>
      </c>
      <c r="HY28">
        <v>-8536352.8939999994</v>
      </c>
      <c r="HZ28">
        <v>398904.35700000002</v>
      </c>
      <c r="IA28">
        <v>0.20899999999999999</v>
      </c>
      <c r="IG28">
        <v>-8532536.841</v>
      </c>
      <c r="IH28">
        <v>397920.75900000002</v>
      </c>
      <c r="II28">
        <v>0.121</v>
      </c>
      <c r="IK28">
        <v>-8532709.1549999993</v>
      </c>
      <c r="IL28">
        <v>397230.32900000003</v>
      </c>
      <c r="IM28">
        <v>9.1999999999999998E-2</v>
      </c>
      <c r="IO28">
        <v>-8534026.9890000001</v>
      </c>
      <c r="IP28">
        <v>400488.87599999999</v>
      </c>
      <c r="IQ28">
        <v>6.5000000000000002E-2</v>
      </c>
    </row>
    <row r="29" spans="5:251" x14ac:dyDescent="0.3">
      <c r="AC29" s="73">
        <v>-8531821.4820000008</v>
      </c>
      <c r="AD29">
        <v>397712.04399999999</v>
      </c>
      <c r="AE29" s="74">
        <v>2.3E-2</v>
      </c>
      <c r="AG29" s="73">
        <v>-8531974.6919999998</v>
      </c>
      <c r="AH29">
        <v>397652.75300000003</v>
      </c>
      <c r="AI29" s="74">
        <v>7.9000000000000001E-2</v>
      </c>
      <c r="AK29" s="73">
        <v>-8531768.7339999992</v>
      </c>
      <c r="AL29">
        <v>397652.35</v>
      </c>
      <c r="AM29" s="74">
        <v>0.04</v>
      </c>
      <c r="AO29" s="73">
        <v>-8531768.7339999992</v>
      </c>
      <c r="AP29">
        <v>397652.35</v>
      </c>
      <c r="AQ29" s="74">
        <v>0.04</v>
      </c>
      <c r="AS29" s="73">
        <v>-8532478.4140000008</v>
      </c>
      <c r="AT29">
        <v>397473.67200000002</v>
      </c>
      <c r="AU29" s="74">
        <v>0.13100000000000001</v>
      </c>
      <c r="AW29" s="73">
        <v>-8532478.4140000008</v>
      </c>
      <c r="AX29">
        <v>397473.67200000002</v>
      </c>
      <c r="AY29" s="74">
        <v>0.13100000000000001</v>
      </c>
      <c r="BA29" s="73">
        <v>-8532478.4140000008</v>
      </c>
      <c r="BB29">
        <v>397473.67200000002</v>
      </c>
      <c r="BC29" s="74">
        <v>0.13100000000000001</v>
      </c>
      <c r="BE29" s="73">
        <v>-8532478.4140000008</v>
      </c>
      <c r="BF29">
        <v>397473.67200000002</v>
      </c>
      <c r="BG29" s="74">
        <v>0.13100000000000001</v>
      </c>
      <c r="BI29" s="73">
        <v>-8532478.4140000008</v>
      </c>
      <c r="BJ29">
        <v>397473.67200000002</v>
      </c>
      <c r="BK29" s="74">
        <v>0.13100000000000001</v>
      </c>
      <c r="BM29" s="73">
        <v>-8532478.4140000008</v>
      </c>
      <c r="BN29">
        <v>397473.67200000002</v>
      </c>
      <c r="BO29" s="74">
        <v>0.13100000000000001</v>
      </c>
      <c r="BQ29" s="73">
        <v>-8532478.4140000008</v>
      </c>
      <c r="BR29">
        <v>397473.67200000002</v>
      </c>
      <c r="BS29" s="74">
        <v>0.13100000000000001</v>
      </c>
      <c r="BU29" s="73">
        <v>-8532478.4140000008</v>
      </c>
      <c r="BV29">
        <v>397473.67200000002</v>
      </c>
      <c r="BW29" s="74">
        <v>0.13100000000000001</v>
      </c>
      <c r="BY29" s="73">
        <v>-8532478.4140000008</v>
      </c>
      <c r="BZ29">
        <v>397473.67200000002</v>
      </c>
      <c r="CA29" s="74">
        <v>0.13100000000000001</v>
      </c>
      <c r="CC29" s="73">
        <v>-8532478.4140000008</v>
      </c>
      <c r="CD29">
        <v>397473.67200000002</v>
      </c>
      <c r="CE29" s="74">
        <v>0.13100000000000001</v>
      </c>
      <c r="CG29" s="73">
        <v>-8532106.9140000008</v>
      </c>
      <c r="CH29">
        <v>398468.88500000001</v>
      </c>
      <c r="CI29" s="74">
        <v>3.6999999999999998E-2</v>
      </c>
      <c r="CK29" s="73">
        <v>-8532106.9140000008</v>
      </c>
      <c r="CL29">
        <v>398468.88500000001</v>
      </c>
      <c r="CM29" s="74">
        <v>3.6999999999999998E-2</v>
      </c>
      <c r="CO29" s="73">
        <v>-8533759.8849999998</v>
      </c>
      <c r="CP29">
        <v>398180.31800000003</v>
      </c>
      <c r="CQ29" s="74">
        <v>137.84299999999999</v>
      </c>
      <c r="CS29" s="73">
        <v>-8533759.8849999998</v>
      </c>
      <c r="CT29">
        <v>398180.31800000003</v>
      </c>
      <c r="CU29" s="74">
        <v>137.84299999999999</v>
      </c>
      <c r="CW29" s="73">
        <v>-8533759.8849999998</v>
      </c>
      <c r="CX29">
        <v>398180.31800000003</v>
      </c>
      <c r="CY29" s="74">
        <v>137.84299999999999</v>
      </c>
      <c r="DA29" s="73">
        <v>-8533923.2789999992</v>
      </c>
      <c r="DB29">
        <v>398208.12300000002</v>
      </c>
      <c r="DC29" s="74">
        <v>45.433</v>
      </c>
      <c r="DE29" s="73">
        <v>-8533763.1180000007</v>
      </c>
      <c r="DF29">
        <v>398179.78899999999</v>
      </c>
      <c r="DG29" s="74">
        <v>0.159</v>
      </c>
      <c r="DI29" s="73">
        <v>-8532310.4489999991</v>
      </c>
      <c r="DJ29">
        <v>397973.22</v>
      </c>
      <c r="DK29" s="74">
        <v>22.013000000000002</v>
      </c>
      <c r="DM29" s="73">
        <v>-8532478.4140000008</v>
      </c>
      <c r="DN29">
        <v>397473.67200000002</v>
      </c>
      <c r="DO29" s="74">
        <v>0.13100000000000001</v>
      </c>
      <c r="DQ29" s="73">
        <v>-8532478.4140000008</v>
      </c>
      <c r="DR29">
        <v>397473.67200000002</v>
      </c>
      <c r="DS29" s="74">
        <v>0.13100000000000001</v>
      </c>
      <c r="DU29" s="73">
        <v>-8533759.8849999998</v>
      </c>
      <c r="DV29">
        <v>398180.31800000003</v>
      </c>
      <c r="DW29" s="74">
        <v>137.84299999999999</v>
      </c>
      <c r="DY29" s="73">
        <v>-8533651.6710000001</v>
      </c>
      <c r="DZ29">
        <v>398080.69900000002</v>
      </c>
      <c r="EA29" s="74">
        <v>9.1999999999999998E-2</v>
      </c>
      <c r="EC29" s="73">
        <v>-8533532.6280000005</v>
      </c>
      <c r="ED29">
        <v>397968.005</v>
      </c>
      <c r="EE29" s="74">
        <v>8.6999999999999994E-2</v>
      </c>
      <c r="EG29" s="73">
        <v>-8540131.0309999995</v>
      </c>
      <c r="EH29">
        <v>396061.49699999997</v>
      </c>
      <c r="EI29" s="74">
        <v>5.2999999999999999E-2</v>
      </c>
      <c r="EK29">
        <v>-8534301.0370000005</v>
      </c>
      <c r="EL29">
        <v>398881.08799999999</v>
      </c>
      <c r="EM29">
        <v>2.1000000000000001E-2</v>
      </c>
      <c r="EO29">
        <v>-8532730.5720000006</v>
      </c>
      <c r="EP29">
        <v>398051.18</v>
      </c>
      <c r="EQ29">
        <v>1.7000000000000001E-2</v>
      </c>
      <c r="ES29">
        <v>-8532405.4649999999</v>
      </c>
      <c r="ET29">
        <v>397519.36800000002</v>
      </c>
      <c r="EU29">
        <v>0.124</v>
      </c>
      <c r="EW29">
        <v>-8532203.0590000004</v>
      </c>
      <c r="EX29">
        <v>397887.717</v>
      </c>
      <c r="EY29">
        <v>3.5999999999999997E-2</v>
      </c>
      <c r="FA29">
        <v>-8528635.0280000009</v>
      </c>
      <c r="FB29">
        <v>396059.054</v>
      </c>
      <c r="FC29">
        <v>2.8000000000000001E-2</v>
      </c>
      <c r="FE29">
        <v>-8533229.9340000004</v>
      </c>
      <c r="FF29">
        <v>395493.321</v>
      </c>
      <c r="FG29">
        <v>0.05</v>
      </c>
      <c r="FM29">
        <v>-8528803.8440000005</v>
      </c>
      <c r="FN29">
        <v>394531.065</v>
      </c>
      <c r="FO29">
        <v>82.631</v>
      </c>
      <c r="FQ29">
        <v>-8532711.0160000008</v>
      </c>
      <c r="FR29">
        <v>397232.42</v>
      </c>
      <c r="FS29">
        <v>176.92500000000001</v>
      </c>
      <c r="FU29">
        <v>-8534202.4600000009</v>
      </c>
      <c r="FV29">
        <v>398802.83600000001</v>
      </c>
      <c r="FW29">
        <v>5.2999999999999999E-2</v>
      </c>
      <c r="FY29">
        <v>-8529708.7339999992</v>
      </c>
      <c r="FZ29">
        <v>396473.93099999998</v>
      </c>
      <c r="GA29">
        <v>1.4999999999999999E-2</v>
      </c>
      <c r="GC29">
        <v>-8530792.8279999997</v>
      </c>
      <c r="GD29">
        <v>396955.03600000002</v>
      </c>
      <c r="GE29">
        <v>71.885000000000005</v>
      </c>
      <c r="GG29">
        <v>-8530376.1679999996</v>
      </c>
      <c r="GH29">
        <v>396499.43900000001</v>
      </c>
      <c r="GI29">
        <v>82.215000000000003</v>
      </c>
      <c r="GO29">
        <v>-8532247.0010000002</v>
      </c>
      <c r="GP29">
        <v>397869.58500000002</v>
      </c>
      <c r="GQ29">
        <v>9.2999999999999999E-2</v>
      </c>
      <c r="GS29">
        <v>-8530921.5309999995</v>
      </c>
      <c r="GT29">
        <v>397040.68099999998</v>
      </c>
      <c r="GU29">
        <v>0.03</v>
      </c>
      <c r="GW29">
        <v>-8532807.1380000003</v>
      </c>
      <c r="GX29">
        <v>398091.071</v>
      </c>
      <c r="GY29">
        <v>129.57900000000001</v>
      </c>
      <c r="HE29">
        <v>-8534028.7080000006</v>
      </c>
      <c r="HF29">
        <v>398039.41899999999</v>
      </c>
      <c r="HG29">
        <v>0.1</v>
      </c>
      <c r="HI29">
        <v>-8532319.6229999997</v>
      </c>
      <c r="HJ29">
        <v>397984.39</v>
      </c>
      <c r="HK29">
        <v>6.3E-2</v>
      </c>
      <c r="HM29">
        <v>-8532442.6940000001</v>
      </c>
      <c r="HN29">
        <v>397492.40399999998</v>
      </c>
      <c r="HO29">
        <v>8.4000000000000005E-2</v>
      </c>
      <c r="HQ29">
        <v>-8532726.0850000009</v>
      </c>
      <c r="HR29">
        <v>397989.679</v>
      </c>
      <c r="HS29">
        <v>7.4999999999999997E-2</v>
      </c>
      <c r="HU29">
        <v>-8532498.7909999993</v>
      </c>
      <c r="HV29">
        <v>397943.63900000002</v>
      </c>
      <c r="HW29">
        <v>0.09</v>
      </c>
      <c r="HY29">
        <v>-8536245.6160000004</v>
      </c>
      <c r="HZ29">
        <v>398979.451</v>
      </c>
      <c r="IA29">
        <v>0.13</v>
      </c>
      <c r="IG29">
        <v>-8532622.6630000006</v>
      </c>
      <c r="IH29">
        <v>397915.39500000002</v>
      </c>
      <c r="II29">
        <v>8.5999999999999993E-2</v>
      </c>
      <c r="IK29">
        <v>-8532707.8139999993</v>
      </c>
      <c r="IL29">
        <v>397266.53499999997</v>
      </c>
      <c r="IM29">
        <v>3.5999999999999997E-2</v>
      </c>
      <c r="IO29">
        <v>-8534032.3530000001</v>
      </c>
      <c r="IP29">
        <v>400407.07699999999</v>
      </c>
      <c r="IQ29">
        <v>8.1000000000000003E-2</v>
      </c>
    </row>
    <row r="30" spans="5:251" x14ac:dyDescent="0.3">
      <c r="AC30" s="73">
        <v>-8531794.1009999998</v>
      </c>
      <c r="AD30">
        <v>397710.43300000002</v>
      </c>
      <c r="AE30" s="74">
        <v>2.7E-2</v>
      </c>
      <c r="AG30" s="73">
        <v>-8531953.7540000007</v>
      </c>
      <c r="AH30">
        <v>397624.16399999999</v>
      </c>
      <c r="AI30" s="74">
        <v>3.5000000000000003E-2</v>
      </c>
      <c r="AK30" s="73">
        <v>-8531742.9639999997</v>
      </c>
      <c r="AL30">
        <v>397646.71299999999</v>
      </c>
      <c r="AM30" s="74">
        <v>2.5999999999999999E-2</v>
      </c>
      <c r="AO30" s="73">
        <v>-8531742.9639999997</v>
      </c>
      <c r="AP30">
        <v>397646.71299999999</v>
      </c>
      <c r="AQ30" s="74">
        <v>2.5999999999999999E-2</v>
      </c>
      <c r="AS30" s="73">
        <v>-8532506.1970000006</v>
      </c>
      <c r="AT30">
        <v>397458.17</v>
      </c>
      <c r="AU30" s="74">
        <v>3.2000000000000001E-2</v>
      </c>
      <c r="AW30" s="73">
        <v>-8532506.1970000006</v>
      </c>
      <c r="AX30">
        <v>397458.17</v>
      </c>
      <c r="AY30" s="74">
        <v>3.2000000000000001E-2</v>
      </c>
      <c r="BA30" s="73">
        <v>-8532506.1970000006</v>
      </c>
      <c r="BB30">
        <v>397458.17</v>
      </c>
      <c r="BC30" s="74">
        <v>3.2000000000000001E-2</v>
      </c>
      <c r="BE30" s="73">
        <v>-8532506.1970000006</v>
      </c>
      <c r="BF30">
        <v>397458.17</v>
      </c>
      <c r="BG30" s="74">
        <v>3.2000000000000001E-2</v>
      </c>
      <c r="BI30" s="73">
        <v>-8532506.1970000006</v>
      </c>
      <c r="BJ30">
        <v>397458.17</v>
      </c>
      <c r="BK30" s="74">
        <v>3.2000000000000001E-2</v>
      </c>
      <c r="BM30" s="73">
        <v>-8532506.1970000006</v>
      </c>
      <c r="BN30">
        <v>397458.17</v>
      </c>
      <c r="BO30" s="74">
        <v>3.2000000000000001E-2</v>
      </c>
      <c r="BQ30" s="73">
        <v>-8532506.1970000006</v>
      </c>
      <c r="BR30">
        <v>397458.17</v>
      </c>
      <c r="BS30" s="74">
        <v>3.2000000000000001E-2</v>
      </c>
      <c r="BU30" s="73">
        <v>-8532506.1970000006</v>
      </c>
      <c r="BV30">
        <v>397458.17</v>
      </c>
      <c r="BW30" s="74">
        <v>3.2000000000000001E-2</v>
      </c>
      <c r="BY30" s="73">
        <v>-8532506.1970000006</v>
      </c>
      <c r="BZ30">
        <v>397458.17</v>
      </c>
      <c r="CA30" s="74">
        <v>3.2000000000000001E-2</v>
      </c>
      <c r="CC30" s="73">
        <v>-8532506.1970000006</v>
      </c>
      <c r="CD30">
        <v>397458.17</v>
      </c>
      <c r="CE30" s="74">
        <v>3.2000000000000001E-2</v>
      </c>
      <c r="CG30" s="73">
        <v>-8532104.6490000002</v>
      </c>
      <c r="CH30">
        <v>398529.58500000002</v>
      </c>
      <c r="CI30" s="74">
        <v>6.0999999999999999E-2</v>
      </c>
      <c r="CK30" s="73">
        <v>-8532104.6490000002</v>
      </c>
      <c r="CL30">
        <v>398529.58500000002</v>
      </c>
      <c r="CM30" s="74">
        <v>6.0999999999999999E-2</v>
      </c>
      <c r="CO30" s="73">
        <v>-8533771.3509999998</v>
      </c>
      <c r="CP30">
        <v>398215.86300000001</v>
      </c>
      <c r="CQ30" s="74">
        <v>37.348999999999997</v>
      </c>
      <c r="CS30" s="73">
        <v>-8533771.3509999998</v>
      </c>
      <c r="CT30">
        <v>398215.86300000001</v>
      </c>
      <c r="CU30" s="74">
        <v>37.348999999999997</v>
      </c>
      <c r="CW30" s="73">
        <v>-8533771.3509999998</v>
      </c>
      <c r="CX30">
        <v>398215.86300000001</v>
      </c>
      <c r="CY30" s="74">
        <v>37.348999999999997</v>
      </c>
      <c r="DA30" s="73">
        <v>-8533962.2640000004</v>
      </c>
      <c r="DB30">
        <v>398203.53700000001</v>
      </c>
      <c r="DC30" s="74">
        <v>39.253999999999998</v>
      </c>
      <c r="DE30" s="73">
        <v>-8533774.0020000003</v>
      </c>
      <c r="DF30">
        <v>398237.83600000001</v>
      </c>
      <c r="DG30" s="74">
        <v>5.8999999999999997E-2</v>
      </c>
      <c r="DI30" s="73">
        <v>-8532232.4470000006</v>
      </c>
      <c r="DJ30">
        <v>397910.63699999999</v>
      </c>
      <c r="DK30" s="74">
        <v>100.004</v>
      </c>
      <c r="DM30" s="73">
        <v>-8532506.1970000006</v>
      </c>
      <c r="DN30">
        <v>397458.17</v>
      </c>
      <c r="DO30" s="74">
        <v>3.2000000000000001E-2</v>
      </c>
      <c r="DQ30" s="73">
        <v>-8532506.1970000006</v>
      </c>
      <c r="DR30">
        <v>397458.17</v>
      </c>
      <c r="DS30" s="74">
        <v>3.2000000000000001E-2</v>
      </c>
      <c r="DU30" s="73">
        <v>-8533771.3509999998</v>
      </c>
      <c r="DV30">
        <v>398215.86300000001</v>
      </c>
      <c r="DW30" s="74">
        <v>37.348999999999997</v>
      </c>
      <c r="DY30" s="73">
        <v>-8533755.9759999998</v>
      </c>
      <c r="DZ30">
        <v>398165.95699999999</v>
      </c>
      <c r="EA30" s="74">
        <v>0.13500000000000001</v>
      </c>
      <c r="EC30" s="73">
        <v>-8533589.7679999992</v>
      </c>
      <c r="ED30">
        <v>397969.36499999999</v>
      </c>
      <c r="EE30" s="74">
        <v>5.7000000000000002E-2</v>
      </c>
      <c r="EG30" s="73">
        <v>-8540164.5899999999</v>
      </c>
      <c r="EH30">
        <v>395831.12</v>
      </c>
      <c r="EI30" s="74">
        <v>0.23300000000000001</v>
      </c>
      <c r="EK30">
        <v>-8534231.3629999999</v>
      </c>
      <c r="EL30">
        <v>398886.38</v>
      </c>
      <c r="EM30">
        <v>7.0000000000000007E-2</v>
      </c>
      <c r="EO30">
        <v>-8532911.8110000007</v>
      </c>
      <c r="EP30">
        <v>398088.22200000001</v>
      </c>
      <c r="EQ30">
        <v>0.185</v>
      </c>
      <c r="ES30">
        <v>-8532366.7699999996</v>
      </c>
      <c r="ET30">
        <v>397547.14899999998</v>
      </c>
      <c r="EU30">
        <v>4.7E-2</v>
      </c>
      <c r="EW30">
        <v>-8532286.8990000002</v>
      </c>
      <c r="EX30">
        <v>397953.20199999999</v>
      </c>
      <c r="EY30">
        <v>0.106</v>
      </c>
      <c r="FA30">
        <v>-8528627.5869999994</v>
      </c>
      <c r="FB30">
        <v>396102.21399999998</v>
      </c>
      <c r="FC30">
        <v>4.2999999999999997E-2</v>
      </c>
      <c r="FE30">
        <v>-8533220.2599999998</v>
      </c>
      <c r="FF30">
        <v>395526.80699999997</v>
      </c>
      <c r="FG30">
        <v>3.5000000000000003E-2</v>
      </c>
      <c r="FM30">
        <v>-8528899.0940000005</v>
      </c>
      <c r="FN30">
        <v>394632.26899999997</v>
      </c>
      <c r="FO30">
        <v>138.22399999999999</v>
      </c>
      <c r="FQ30">
        <v>-8532700.5979999993</v>
      </c>
      <c r="FR30">
        <v>397268.13900000002</v>
      </c>
      <c r="FS30">
        <v>36.906999999999996</v>
      </c>
      <c r="FU30">
        <v>-8534205.5289999992</v>
      </c>
      <c r="FV30">
        <v>398719.67800000001</v>
      </c>
      <c r="FW30">
        <v>8.2000000000000003E-2</v>
      </c>
      <c r="FY30">
        <v>-8529718.7799999993</v>
      </c>
      <c r="FZ30">
        <v>396456.97899999999</v>
      </c>
      <c r="GA30">
        <v>0.02</v>
      </c>
      <c r="GC30">
        <v>-8530871.9389999993</v>
      </c>
      <c r="GD30">
        <v>396991.766</v>
      </c>
      <c r="GE30">
        <v>86.951999999999998</v>
      </c>
      <c r="GG30">
        <v>-8530406.3059999999</v>
      </c>
      <c r="GH30">
        <v>396596.44400000002</v>
      </c>
      <c r="GI30">
        <v>100.768</v>
      </c>
      <c r="GO30">
        <v>-8532226.8699999992</v>
      </c>
      <c r="GP30">
        <v>397914.08500000002</v>
      </c>
      <c r="GQ30">
        <v>4.8000000000000001E-2</v>
      </c>
      <c r="GS30">
        <v>-8530963.5590000004</v>
      </c>
      <c r="GT30">
        <v>397041.03399999999</v>
      </c>
      <c r="GU30">
        <v>4.2000000000000003E-2</v>
      </c>
      <c r="GW30">
        <v>-8532841.3080000002</v>
      </c>
      <c r="GX30">
        <v>398139.54399999999</v>
      </c>
      <c r="GY30">
        <v>58.927999999999997</v>
      </c>
      <c r="HE30">
        <v>-8534044.6009999998</v>
      </c>
      <c r="HF30">
        <v>398083.91899999999</v>
      </c>
      <c r="HG30">
        <v>4.7E-2</v>
      </c>
      <c r="HI30">
        <v>-8532385.1809999999</v>
      </c>
      <c r="HJ30">
        <v>397991.54100000003</v>
      </c>
      <c r="HK30">
        <v>6.6000000000000003E-2</v>
      </c>
      <c r="HM30">
        <v>-8532386.6710000001</v>
      </c>
      <c r="HN30">
        <v>397534.12300000002</v>
      </c>
      <c r="HO30">
        <v>7.0000000000000007E-2</v>
      </c>
      <c r="HQ30">
        <v>-8532709.9930000007</v>
      </c>
      <c r="HR30">
        <v>398029.01400000002</v>
      </c>
      <c r="HS30">
        <v>4.2000000000000003E-2</v>
      </c>
      <c r="HU30">
        <v>-8532595.3399999999</v>
      </c>
      <c r="HV30">
        <v>397910.11499999999</v>
      </c>
      <c r="HW30">
        <v>0.10199999999999999</v>
      </c>
      <c r="HY30">
        <v>-8536041.7899999991</v>
      </c>
      <c r="HZ30">
        <v>398915.08500000002</v>
      </c>
      <c r="IA30">
        <v>0.21299999999999999</v>
      </c>
      <c r="IG30">
        <v>-8532750.0539999995</v>
      </c>
      <c r="IH30">
        <v>397914.054</v>
      </c>
      <c r="II30">
        <v>0.127</v>
      </c>
      <c r="IK30">
        <v>-8532680.9949999992</v>
      </c>
      <c r="IL30">
        <v>397296.03700000001</v>
      </c>
      <c r="IM30">
        <v>0.04</v>
      </c>
      <c r="IO30">
        <v>-8534053.8080000002</v>
      </c>
      <c r="IP30">
        <v>400341.36900000001</v>
      </c>
      <c r="IQ30">
        <v>6.9000000000000006E-2</v>
      </c>
    </row>
    <row r="31" spans="5:251" ht="15" thickBot="1" x14ac:dyDescent="0.35">
      <c r="AC31" s="73">
        <v>-8531779.6060000006</v>
      </c>
      <c r="AD31">
        <v>397695.13199999998</v>
      </c>
      <c r="AE31" s="74">
        <v>2.1000000000000001E-2</v>
      </c>
      <c r="AG31" s="73">
        <v>-8531971.068</v>
      </c>
      <c r="AH31">
        <v>397613.29300000001</v>
      </c>
      <c r="AI31" s="74">
        <v>0.02</v>
      </c>
      <c r="AK31" s="73">
        <v>-8531701.0879999995</v>
      </c>
      <c r="AL31">
        <v>397674.89899999998</v>
      </c>
      <c r="AM31" s="74">
        <v>0.05</v>
      </c>
      <c r="AO31" s="73">
        <v>-8531701.0879999995</v>
      </c>
      <c r="AP31">
        <v>397674.89899999998</v>
      </c>
      <c r="AQ31" s="74">
        <v>0.05</v>
      </c>
      <c r="AS31" s="75">
        <v>-8532592.7679999992</v>
      </c>
      <c r="AT31" s="76">
        <v>397463.20299999998</v>
      </c>
      <c r="AU31" s="77"/>
      <c r="AW31" s="73">
        <v>-8532531.9670000002</v>
      </c>
      <c r="AX31">
        <v>397446.69400000002</v>
      </c>
      <c r="AY31" s="74">
        <v>2.8000000000000001E-2</v>
      </c>
      <c r="BA31" s="73">
        <v>-8532531.9670000002</v>
      </c>
      <c r="BB31">
        <v>397446.69400000002</v>
      </c>
      <c r="BC31" s="74">
        <v>2.8000000000000001E-2</v>
      </c>
      <c r="BE31" s="73">
        <v>-8532531.9670000002</v>
      </c>
      <c r="BF31">
        <v>397446.69400000002</v>
      </c>
      <c r="BG31" s="74">
        <v>2.8000000000000001E-2</v>
      </c>
      <c r="BI31" s="73">
        <v>-8532531.9670000002</v>
      </c>
      <c r="BJ31">
        <v>397446.69400000002</v>
      </c>
      <c r="BK31" s="74">
        <v>2.8000000000000001E-2</v>
      </c>
      <c r="BM31" s="73">
        <v>-8532531.9670000002</v>
      </c>
      <c r="BN31">
        <v>397446.69400000002</v>
      </c>
      <c r="BO31" s="74">
        <v>2.8000000000000001E-2</v>
      </c>
      <c r="BQ31" s="73">
        <v>-8532531.9670000002</v>
      </c>
      <c r="BR31">
        <v>397446.69400000002</v>
      </c>
      <c r="BS31" s="74">
        <v>2.8000000000000001E-2</v>
      </c>
      <c r="BU31" s="73">
        <v>-8532531.9670000002</v>
      </c>
      <c r="BV31">
        <v>397446.69400000002</v>
      </c>
      <c r="BW31" s="74">
        <v>2.8000000000000001E-2</v>
      </c>
      <c r="BY31" s="73">
        <v>-8532531.9670000002</v>
      </c>
      <c r="BZ31">
        <v>397446.69400000002</v>
      </c>
      <c r="CA31" s="74">
        <v>2.8000000000000001E-2</v>
      </c>
      <c r="CC31" s="73">
        <v>-8532531.9670000002</v>
      </c>
      <c r="CD31">
        <v>397446.69400000002</v>
      </c>
      <c r="CE31" s="74">
        <v>2.8000000000000001E-2</v>
      </c>
      <c r="CG31" s="73">
        <v>-8532109.6319999993</v>
      </c>
      <c r="CH31">
        <v>398543.62699999998</v>
      </c>
      <c r="CI31" s="74">
        <v>1.4999999999999999E-2</v>
      </c>
      <c r="CK31" s="73">
        <v>-8532109.6319999993</v>
      </c>
      <c r="CL31">
        <v>398543.62699999998</v>
      </c>
      <c r="CM31" s="74">
        <v>1.4999999999999999E-2</v>
      </c>
      <c r="CO31" s="73">
        <v>-8533771.3509999998</v>
      </c>
      <c r="CP31">
        <v>398260.58100000001</v>
      </c>
      <c r="CQ31" s="74">
        <v>44.718000000000004</v>
      </c>
      <c r="CS31" s="73">
        <v>-8533771.3509999998</v>
      </c>
      <c r="CT31">
        <v>398260.58100000001</v>
      </c>
      <c r="CU31" s="74">
        <v>44.718000000000004</v>
      </c>
      <c r="CW31" s="73">
        <v>-8533771.3509999998</v>
      </c>
      <c r="CX31">
        <v>398260.58100000001</v>
      </c>
      <c r="CY31" s="74">
        <v>44.718000000000004</v>
      </c>
      <c r="DA31" s="73">
        <v>-8533992.0759999994</v>
      </c>
      <c r="DB31">
        <v>398234.49599999998</v>
      </c>
      <c r="DC31" s="74">
        <v>42.978999999999999</v>
      </c>
      <c r="DE31" s="73">
        <v>-8533774.0020000003</v>
      </c>
      <c r="DF31">
        <v>398268.674</v>
      </c>
      <c r="DG31" s="74">
        <v>3.1E-2</v>
      </c>
      <c r="DI31" s="73">
        <v>-8532178.0270000007</v>
      </c>
      <c r="DJ31">
        <v>397862.56599999999</v>
      </c>
      <c r="DK31" s="74">
        <v>72.611000000000004</v>
      </c>
      <c r="DM31" s="73">
        <v>-8532531.9670000002</v>
      </c>
      <c r="DN31">
        <v>397446.69400000002</v>
      </c>
      <c r="DO31" s="74">
        <v>2.8000000000000001E-2</v>
      </c>
      <c r="DQ31" s="73">
        <v>-8532531.9670000002</v>
      </c>
      <c r="DR31">
        <v>397446.69400000002</v>
      </c>
      <c r="DS31" s="74">
        <v>2.8000000000000001E-2</v>
      </c>
      <c r="DU31" s="73">
        <v>-8533771.3509999998</v>
      </c>
      <c r="DV31">
        <v>398260.58100000001</v>
      </c>
      <c r="DW31" s="74">
        <v>44.718000000000004</v>
      </c>
      <c r="DY31" s="73">
        <v>-8533766.8589999992</v>
      </c>
      <c r="DZ31">
        <v>398202.23700000002</v>
      </c>
      <c r="EA31" s="74">
        <v>3.7999999999999999E-2</v>
      </c>
      <c r="EC31" s="73">
        <v>-8533615.6180000007</v>
      </c>
      <c r="ED31">
        <v>397981.15600000002</v>
      </c>
      <c r="EE31" s="74">
        <v>2.8000000000000001E-2</v>
      </c>
      <c r="EG31" s="73">
        <v>-8540178.1950000003</v>
      </c>
      <c r="EH31">
        <v>395797.56099999999</v>
      </c>
      <c r="EI31" s="74">
        <v>3.5999999999999997E-2</v>
      </c>
      <c r="EK31">
        <v>-8534209.3149999995</v>
      </c>
      <c r="EL31">
        <v>398873.15</v>
      </c>
      <c r="EM31">
        <v>2.5999999999999999E-2</v>
      </c>
      <c r="EO31">
        <v>-8532891.9680000003</v>
      </c>
      <c r="EP31">
        <v>398203.315</v>
      </c>
      <c r="EQ31">
        <v>0.11600000000000001</v>
      </c>
      <c r="ES31">
        <v>-8532301.2850000001</v>
      </c>
      <c r="ET31">
        <v>397565.50400000002</v>
      </c>
      <c r="EU31">
        <v>6.8000000000000005E-2</v>
      </c>
      <c r="EW31">
        <v>-8532331.0510000009</v>
      </c>
      <c r="EX31">
        <v>397988.424</v>
      </c>
      <c r="EY31">
        <v>5.6000000000000001E-2</v>
      </c>
      <c r="FA31">
        <v>-8528636.8890000004</v>
      </c>
      <c r="FB31">
        <v>396121.56099999999</v>
      </c>
      <c r="FC31">
        <v>2.1000000000000001E-2</v>
      </c>
      <c r="FE31">
        <v>-8533206.1209999993</v>
      </c>
      <c r="FF31">
        <v>395597.5</v>
      </c>
      <c r="FG31">
        <v>7.0999999999999994E-2</v>
      </c>
      <c r="FM31">
        <v>-8528897.1089999992</v>
      </c>
      <c r="FN31">
        <v>394812.35100000002</v>
      </c>
      <c r="FO31">
        <v>178.55199999999999</v>
      </c>
      <c r="FQ31">
        <v>-8532675.2970000003</v>
      </c>
      <c r="FR31">
        <v>397341.065</v>
      </c>
      <c r="FS31">
        <v>76.582999999999998</v>
      </c>
      <c r="FU31">
        <v>-8534210.8310000002</v>
      </c>
      <c r="FV31">
        <v>398651.03100000002</v>
      </c>
      <c r="FW31">
        <v>6.8000000000000005E-2</v>
      </c>
      <c r="FY31">
        <v>-8529727.3609999996</v>
      </c>
      <c r="FZ31">
        <v>396413.86499999999</v>
      </c>
      <c r="GA31">
        <v>4.3999999999999997E-2</v>
      </c>
      <c r="GC31">
        <v>-8530908.1989999991</v>
      </c>
      <c r="GD31">
        <v>397034.147</v>
      </c>
      <c r="GE31">
        <v>55.454000000000001</v>
      </c>
      <c r="GG31">
        <v>-8530466.5810000002</v>
      </c>
      <c r="GH31">
        <v>396643.53399999999</v>
      </c>
      <c r="GI31">
        <v>76.150000000000006</v>
      </c>
      <c r="GO31">
        <v>-8532337.0610000007</v>
      </c>
      <c r="GP31">
        <v>397992.49099999998</v>
      </c>
      <c r="GQ31">
        <v>0.13500000000000001</v>
      </c>
      <c r="GS31">
        <v>-8530998.5240000002</v>
      </c>
      <c r="GT31">
        <v>397041.74</v>
      </c>
      <c r="GU31">
        <v>3.5000000000000003E-2</v>
      </c>
      <c r="GW31">
        <v>-8531743.1070000008</v>
      </c>
      <c r="GX31">
        <v>398171.33</v>
      </c>
      <c r="HE31">
        <v>-8534111.352</v>
      </c>
      <c r="HF31">
        <v>398055.31199999998</v>
      </c>
      <c r="HG31">
        <v>7.1999999999999995E-2</v>
      </c>
      <c r="HI31">
        <v>-8532454.3149999995</v>
      </c>
      <c r="HJ31">
        <v>397971.27799999999</v>
      </c>
      <c r="HK31">
        <v>7.1999999999999995E-2</v>
      </c>
      <c r="HM31">
        <v>-8532356.8719999995</v>
      </c>
      <c r="HN31">
        <v>397553.19500000001</v>
      </c>
      <c r="HO31">
        <v>3.5000000000000003E-2</v>
      </c>
      <c r="HQ31">
        <v>-8532687.6439999994</v>
      </c>
      <c r="HR31">
        <v>398031.696</v>
      </c>
      <c r="HS31">
        <v>2.1999999999999999E-2</v>
      </c>
      <c r="HU31">
        <v>-8532728.0960000008</v>
      </c>
      <c r="HV31">
        <v>397911.45600000001</v>
      </c>
      <c r="HW31">
        <v>0.13300000000000001</v>
      </c>
      <c r="HY31">
        <v>-8535880.8739999998</v>
      </c>
      <c r="HZ31">
        <v>398979.451</v>
      </c>
      <c r="IA31">
        <v>0.17299999999999999</v>
      </c>
      <c r="IG31">
        <v>-8532715.1889999993</v>
      </c>
      <c r="IH31">
        <v>398029.37699999998</v>
      </c>
      <c r="II31">
        <v>0.12</v>
      </c>
      <c r="IK31">
        <v>-8532674.2899999991</v>
      </c>
      <c r="IL31">
        <v>397372.47200000001</v>
      </c>
      <c r="IM31">
        <v>7.5999999999999998E-2</v>
      </c>
      <c r="IO31">
        <v>-8534032.3530000001</v>
      </c>
      <c r="IP31">
        <v>400294.43599999999</v>
      </c>
      <c r="IQ31">
        <v>5.0999999999999997E-2</v>
      </c>
    </row>
    <row r="32" spans="5:251" ht="15" thickBot="1" x14ac:dyDescent="0.35">
      <c r="AC32" s="75">
        <v>-8531764.3049999997</v>
      </c>
      <c r="AD32" s="76">
        <v>397848.94699999999</v>
      </c>
      <c r="AE32" s="77"/>
      <c r="AG32" s="75">
        <v>-8531866.7799999993</v>
      </c>
      <c r="AH32" s="76">
        <v>397660.00099999999</v>
      </c>
      <c r="AI32" s="77"/>
      <c r="AK32" s="73">
        <v>-8531669.6809999999</v>
      </c>
      <c r="AL32">
        <v>397669.26199999999</v>
      </c>
      <c r="AM32" s="74">
        <v>3.2000000000000001E-2</v>
      </c>
      <c r="AO32" s="73">
        <v>-8531669.6809999999</v>
      </c>
      <c r="AP32">
        <v>397669.26199999999</v>
      </c>
      <c r="AQ32" s="74">
        <v>3.2000000000000001E-2</v>
      </c>
      <c r="AU32">
        <f>SUM(AU$3:AU31)</f>
        <v>1.343</v>
      </c>
      <c r="AW32" s="73">
        <v>-8532577.4670000002</v>
      </c>
      <c r="AX32">
        <v>397412.06599999999</v>
      </c>
      <c r="AY32" s="74">
        <v>5.7000000000000002E-2</v>
      </c>
      <c r="BA32" s="73">
        <v>-8532577.4670000002</v>
      </c>
      <c r="BB32">
        <v>397412.06599999999</v>
      </c>
      <c r="BC32" s="74">
        <v>5.7000000000000002E-2</v>
      </c>
      <c r="BE32" s="73">
        <v>-8532577.4670000002</v>
      </c>
      <c r="BF32">
        <v>397412.06599999999</v>
      </c>
      <c r="BG32" s="74">
        <v>5.7000000000000002E-2</v>
      </c>
      <c r="BI32" s="73">
        <v>-8532577.4670000002</v>
      </c>
      <c r="BJ32">
        <v>397412.06599999999</v>
      </c>
      <c r="BK32" s="74">
        <v>5.7000000000000002E-2</v>
      </c>
      <c r="BM32" s="73">
        <v>-8532577.4670000002</v>
      </c>
      <c r="BN32">
        <v>397412.06599999999</v>
      </c>
      <c r="BO32" s="74">
        <v>5.7000000000000002E-2</v>
      </c>
      <c r="BQ32" s="73">
        <v>-8532577.4670000002</v>
      </c>
      <c r="BR32">
        <v>397412.06599999999</v>
      </c>
      <c r="BS32" s="74">
        <v>5.7000000000000002E-2</v>
      </c>
      <c r="BU32" s="73">
        <v>-8532577.4670000002</v>
      </c>
      <c r="BV32">
        <v>397412.06599999999</v>
      </c>
      <c r="BW32" s="74">
        <v>5.7000000000000002E-2</v>
      </c>
      <c r="BY32" s="73">
        <v>-8532577.4670000002</v>
      </c>
      <c r="BZ32">
        <v>397412.06599999999</v>
      </c>
      <c r="CA32" s="74">
        <v>5.7000000000000002E-2</v>
      </c>
      <c r="CC32" s="73">
        <v>-8532577.4670000002</v>
      </c>
      <c r="CD32">
        <v>397412.06599999999</v>
      </c>
      <c r="CE32" s="74">
        <v>5.7000000000000002E-2</v>
      </c>
      <c r="CG32" s="73">
        <v>-8532132.7339999992</v>
      </c>
      <c r="CH32">
        <v>398562.65299999999</v>
      </c>
      <c r="CI32" s="74">
        <v>0.03</v>
      </c>
      <c r="CK32" s="73">
        <v>-8532132.7339999992</v>
      </c>
      <c r="CL32">
        <v>398562.65299999999</v>
      </c>
      <c r="CM32" s="74">
        <v>0.03</v>
      </c>
      <c r="CO32" s="73">
        <v>-8533798.8699999992</v>
      </c>
      <c r="CP32">
        <v>398276.63400000002</v>
      </c>
      <c r="CQ32" s="74">
        <v>31.859000000000002</v>
      </c>
      <c r="CS32" s="73">
        <v>-8533798.8699999992</v>
      </c>
      <c r="CT32">
        <v>398276.63400000002</v>
      </c>
      <c r="CU32" s="74">
        <v>31.859000000000002</v>
      </c>
      <c r="CW32" s="73">
        <v>-8533798.8699999992</v>
      </c>
      <c r="CX32">
        <v>398276.63400000002</v>
      </c>
      <c r="CY32" s="74">
        <v>31.859000000000002</v>
      </c>
      <c r="DA32" s="73">
        <v>-8534006.9820000008</v>
      </c>
      <c r="DB32">
        <v>398226.46899999998</v>
      </c>
      <c r="DC32" s="74">
        <v>16.93</v>
      </c>
      <c r="DE32" s="73">
        <v>-8533806.6539999992</v>
      </c>
      <c r="DF32">
        <v>398281.37199999997</v>
      </c>
      <c r="DG32" s="74">
        <v>3.5000000000000003E-2</v>
      </c>
      <c r="DI32" s="73">
        <v>-8532145.375</v>
      </c>
      <c r="DJ32">
        <v>397842.61200000002</v>
      </c>
      <c r="DK32" s="74">
        <v>38.265999999999998</v>
      </c>
      <c r="DM32" s="73">
        <v>-8532577.4670000002</v>
      </c>
      <c r="DN32">
        <v>397412.06599999999</v>
      </c>
      <c r="DO32" s="74">
        <v>5.7000000000000002E-2</v>
      </c>
      <c r="DQ32" s="73">
        <v>-8532577.4670000002</v>
      </c>
      <c r="DR32">
        <v>397412.06599999999</v>
      </c>
      <c r="DS32" s="74">
        <v>5.7000000000000002E-2</v>
      </c>
      <c r="DU32" s="73">
        <v>-8533798.8699999992</v>
      </c>
      <c r="DV32">
        <v>398276.63400000002</v>
      </c>
      <c r="DW32" s="74">
        <v>31.859000000000002</v>
      </c>
      <c r="DY32" s="73">
        <v>-8533775.0219999999</v>
      </c>
      <c r="DZ32">
        <v>398225.81900000002</v>
      </c>
      <c r="EA32" s="74">
        <v>2.5000000000000001E-2</v>
      </c>
      <c r="EC32" s="73">
        <v>-8533636.0250000004</v>
      </c>
      <c r="ED32">
        <v>398007.00599999999</v>
      </c>
      <c r="EE32" s="74">
        <v>3.3000000000000002E-2</v>
      </c>
      <c r="EG32" s="73">
        <v>-8540323.3149999995</v>
      </c>
      <c r="EH32">
        <v>395638.83600000001</v>
      </c>
      <c r="EI32" s="74">
        <v>0.215</v>
      </c>
      <c r="EK32">
        <v>-8534200.4949999992</v>
      </c>
      <c r="EL32">
        <v>398850.22</v>
      </c>
      <c r="EM32">
        <v>2.4E-2</v>
      </c>
      <c r="EO32">
        <v>-8532841.6970000006</v>
      </c>
      <c r="EP32">
        <v>398182.14899999998</v>
      </c>
      <c r="EQ32">
        <v>5.3999999999999999E-2</v>
      </c>
      <c r="ES32">
        <v>-8532277.9690000005</v>
      </c>
      <c r="ET32">
        <v>397606.18400000001</v>
      </c>
      <c r="EU32">
        <v>4.7E-2</v>
      </c>
      <c r="EW32">
        <v>-8532388.5979999993</v>
      </c>
      <c r="EX32">
        <v>397991.40100000001</v>
      </c>
      <c r="EY32">
        <v>5.8000000000000003E-2</v>
      </c>
      <c r="FA32">
        <v>-8528710.9309999999</v>
      </c>
      <c r="FB32">
        <v>396149.09499999997</v>
      </c>
      <c r="FC32">
        <v>7.9000000000000001E-2</v>
      </c>
      <c r="FE32">
        <v>-8533148.0789999999</v>
      </c>
      <c r="FF32">
        <v>395674.891</v>
      </c>
      <c r="FG32">
        <v>9.6000000000000002E-2</v>
      </c>
      <c r="FM32">
        <v>-8528896.8609999996</v>
      </c>
      <c r="FN32">
        <v>394848.06900000002</v>
      </c>
      <c r="FO32">
        <v>35.414000000000001</v>
      </c>
      <c r="FQ32">
        <v>-8532654.4609999992</v>
      </c>
      <c r="FR32">
        <v>397387.201</v>
      </c>
      <c r="FS32">
        <v>50.246000000000002</v>
      </c>
      <c r="FU32">
        <v>-8534179.5779999997</v>
      </c>
      <c r="FV32">
        <v>398610.84700000001</v>
      </c>
      <c r="FW32">
        <v>5.0999999999999997E-2</v>
      </c>
      <c r="FY32">
        <v>-8529742.0109999999</v>
      </c>
      <c r="FZ32">
        <v>396395.44799999997</v>
      </c>
      <c r="GA32">
        <v>2.3E-2</v>
      </c>
      <c r="GC32">
        <v>-8530991.0769999996</v>
      </c>
      <c r="GD32">
        <v>397041.68199999997</v>
      </c>
      <c r="GE32">
        <v>83.055999999999997</v>
      </c>
      <c r="GG32">
        <v>-8530515.5549999997</v>
      </c>
      <c r="GH32">
        <v>396647.30200000003</v>
      </c>
      <c r="GI32">
        <v>49.021999999999998</v>
      </c>
      <c r="GO32">
        <v>-8532430.3000000007</v>
      </c>
      <c r="GP32">
        <v>397981.89500000002</v>
      </c>
      <c r="GQ32">
        <v>9.4E-2</v>
      </c>
      <c r="GS32">
        <v>-8531067.0399999991</v>
      </c>
      <c r="GT32">
        <v>397021.609</v>
      </c>
      <c r="GU32">
        <v>7.0999999999999994E-2</v>
      </c>
      <c r="GY32" s="77">
        <f>SUM(GY$3:GY31)/1000</f>
        <v>2.2797620000000003</v>
      </c>
      <c r="HE32">
        <v>-8534092.2799999993</v>
      </c>
      <c r="HF32">
        <v>398131.598</v>
      </c>
      <c r="HG32">
        <v>7.8E-2</v>
      </c>
      <c r="HI32">
        <v>-8532540.1370000001</v>
      </c>
      <c r="HJ32">
        <v>397918.83100000001</v>
      </c>
      <c r="HK32">
        <v>0.1</v>
      </c>
      <c r="HM32">
        <v>-8532310.3849999998</v>
      </c>
      <c r="HN32">
        <v>397560.34600000002</v>
      </c>
      <c r="HO32">
        <v>4.7E-2</v>
      </c>
      <c r="HQ32">
        <v>-8532729.6600000001</v>
      </c>
      <c r="HR32">
        <v>398079.97100000002</v>
      </c>
      <c r="HS32">
        <v>6.4000000000000001E-2</v>
      </c>
      <c r="HU32">
        <v>-8532746.8690000009</v>
      </c>
      <c r="HV32">
        <v>397912.79700000002</v>
      </c>
      <c r="HW32">
        <v>1.9E-2</v>
      </c>
      <c r="HY32">
        <v>-8535988.1510000005</v>
      </c>
      <c r="HZ32">
        <v>399247.64399999997</v>
      </c>
      <c r="IA32">
        <v>0.28699999999999998</v>
      </c>
      <c r="IG32">
        <v>-8532685.6879999992</v>
      </c>
      <c r="IH32">
        <v>398048.15100000001</v>
      </c>
      <c r="II32">
        <v>3.5000000000000003E-2</v>
      </c>
      <c r="IK32">
        <v>-8532639.4250000007</v>
      </c>
      <c r="IL32">
        <v>397396.609</v>
      </c>
      <c r="IM32">
        <v>4.2000000000000003E-2</v>
      </c>
      <c r="IO32">
        <v>-8534026.9890000001</v>
      </c>
      <c r="IP32">
        <v>400262.25199999998</v>
      </c>
      <c r="IQ32">
        <v>3.2000000000000001E-2</v>
      </c>
    </row>
    <row r="33" spans="31:251" x14ac:dyDescent="0.3">
      <c r="AE33">
        <f>SUM(AE$3:AE32)</f>
        <v>1.3099999999999998</v>
      </c>
      <c r="AI33">
        <f>SUM(AI$3:AI32)</f>
        <v>1.2010000000000001</v>
      </c>
      <c r="AK33" s="73">
        <v>-8531659.2119999994</v>
      </c>
      <c r="AL33">
        <v>397655.571</v>
      </c>
      <c r="AM33" s="74">
        <v>1.7000000000000001E-2</v>
      </c>
      <c r="AO33" s="73">
        <v>-8531659.2119999994</v>
      </c>
      <c r="AP33">
        <v>397655.571</v>
      </c>
      <c r="AQ33" s="74">
        <v>1.7000000000000001E-2</v>
      </c>
      <c r="AW33" s="73">
        <v>-8532587.5329999998</v>
      </c>
      <c r="AX33">
        <v>397400.79100000003</v>
      </c>
      <c r="AY33" s="74">
        <v>1.4999999999999999E-2</v>
      </c>
      <c r="BA33" s="73">
        <v>-8532587.5329999998</v>
      </c>
      <c r="BB33">
        <v>397400.79100000003</v>
      </c>
      <c r="BC33" s="74">
        <v>1.4999999999999999E-2</v>
      </c>
      <c r="BE33" s="73">
        <v>-8532587.5329999998</v>
      </c>
      <c r="BF33">
        <v>397400.79100000003</v>
      </c>
      <c r="BG33" s="74">
        <v>1.4999999999999999E-2</v>
      </c>
      <c r="BI33" s="73">
        <v>-8532587.5329999998</v>
      </c>
      <c r="BJ33">
        <v>397400.79100000003</v>
      </c>
      <c r="BK33" s="74">
        <v>1.4999999999999999E-2</v>
      </c>
      <c r="BM33" s="73">
        <v>-8532587.5329999998</v>
      </c>
      <c r="BN33">
        <v>397400.79100000003</v>
      </c>
      <c r="BO33" s="74">
        <v>1.4999999999999999E-2</v>
      </c>
      <c r="BQ33" s="73">
        <v>-8532587.5329999998</v>
      </c>
      <c r="BR33">
        <v>397400.79100000003</v>
      </c>
      <c r="BS33" s="74">
        <v>1.4999999999999999E-2</v>
      </c>
      <c r="BU33" s="73">
        <v>-8532587.5329999998</v>
      </c>
      <c r="BV33">
        <v>397400.79100000003</v>
      </c>
      <c r="BW33" s="74">
        <v>1.4999999999999999E-2</v>
      </c>
      <c r="BY33" s="73">
        <v>-8532587.5329999998</v>
      </c>
      <c r="BZ33">
        <v>397400.79100000003</v>
      </c>
      <c r="CA33" s="74">
        <v>1.4999999999999999E-2</v>
      </c>
      <c r="CC33" s="73">
        <v>-8532587.5329999998</v>
      </c>
      <c r="CD33">
        <v>397400.79100000003</v>
      </c>
      <c r="CE33" s="74">
        <v>1.4999999999999999E-2</v>
      </c>
      <c r="CG33" s="73">
        <v>-8532158.1009999998</v>
      </c>
      <c r="CH33">
        <v>398579.86599999998</v>
      </c>
      <c r="CI33" s="74">
        <v>3.1E-2</v>
      </c>
      <c r="CK33" s="73">
        <v>-8532158.1009999998</v>
      </c>
      <c r="CL33">
        <v>398579.86599999998</v>
      </c>
      <c r="CM33" s="74">
        <v>3.1E-2</v>
      </c>
      <c r="CO33" s="73">
        <v>-8533915.8259999994</v>
      </c>
      <c r="CP33">
        <v>398205.54300000001</v>
      </c>
      <c r="CQ33" s="74">
        <v>136.86699999999999</v>
      </c>
      <c r="CS33" s="73">
        <v>-8533915.8259999994</v>
      </c>
      <c r="CT33">
        <v>398205.54300000001</v>
      </c>
      <c r="CU33" s="74">
        <v>136.86699999999999</v>
      </c>
      <c r="CW33" s="73">
        <v>-8533915.8259999994</v>
      </c>
      <c r="CX33">
        <v>398205.54300000001</v>
      </c>
      <c r="CY33" s="74">
        <v>136.86699999999999</v>
      </c>
      <c r="DA33" s="73">
        <v>-8534005.8350000009</v>
      </c>
      <c r="DB33">
        <v>398194.364</v>
      </c>
      <c r="DC33" s="74">
        <v>32.125999999999998</v>
      </c>
      <c r="DE33" s="73">
        <v>-8533922.75</v>
      </c>
      <c r="DF33">
        <v>398192.48700000002</v>
      </c>
      <c r="DG33" s="74">
        <v>0.14599999999999999</v>
      </c>
      <c r="DI33" s="73">
        <v>-8532081.432</v>
      </c>
      <c r="DJ33">
        <v>397829.00799999997</v>
      </c>
      <c r="DK33" s="74">
        <v>65.375</v>
      </c>
      <c r="DM33" s="73">
        <v>-8532587.5329999998</v>
      </c>
      <c r="DN33">
        <v>397400.79100000003</v>
      </c>
      <c r="DO33" s="74">
        <v>1.4999999999999999E-2</v>
      </c>
      <c r="DQ33" s="73">
        <v>-8532587.5329999998</v>
      </c>
      <c r="DR33">
        <v>397400.79100000003</v>
      </c>
      <c r="DS33" s="74">
        <v>1.4999999999999999E-2</v>
      </c>
      <c r="DU33" s="73">
        <v>-8533915.8259999994</v>
      </c>
      <c r="DV33">
        <v>398205.54300000001</v>
      </c>
      <c r="DW33" s="74">
        <v>136.86699999999999</v>
      </c>
      <c r="DY33" s="73">
        <v>-8533764.1390000004</v>
      </c>
      <c r="DZ33">
        <v>398253.93599999999</v>
      </c>
      <c r="EA33" s="74">
        <v>0.03</v>
      </c>
      <c r="EC33" s="73">
        <v>-8533651.4440000001</v>
      </c>
      <c r="ED33">
        <v>398075.03</v>
      </c>
      <c r="EE33" s="74">
        <v>7.0000000000000007E-2</v>
      </c>
      <c r="EG33" s="73">
        <v>-8540330.5700000003</v>
      </c>
      <c r="EH33">
        <v>395606.63799999998</v>
      </c>
      <c r="EI33" s="74">
        <v>3.3000000000000002E-2</v>
      </c>
      <c r="EK33">
        <v>-8534210.1970000006</v>
      </c>
      <c r="EL33">
        <v>398714.4</v>
      </c>
      <c r="EM33">
        <v>0.13500000000000001</v>
      </c>
      <c r="EO33">
        <v>-8532918.4260000009</v>
      </c>
      <c r="EP33">
        <v>398007.52399999998</v>
      </c>
      <c r="ES33">
        <v>-8532279.9529999997</v>
      </c>
      <c r="ET33">
        <v>397665.71500000003</v>
      </c>
      <c r="EU33">
        <v>5.8999999999999997E-2</v>
      </c>
      <c r="EW33">
        <v>-8532433.2459999993</v>
      </c>
      <c r="EX33">
        <v>397984.45500000002</v>
      </c>
      <c r="EY33">
        <v>4.4999999999999998E-2</v>
      </c>
      <c r="FA33">
        <v>-8528755.9509999994</v>
      </c>
      <c r="FB33">
        <v>396177.37199999997</v>
      </c>
      <c r="FC33">
        <v>5.2999999999999999E-2</v>
      </c>
      <c r="FE33">
        <v>-8533081.1060000006</v>
      </c>
      <c r="FF33">
        <v>395738.88699999999</v>
      </c>
      <c r="FG33">
        <v>9.1999999999999998E-2</v>
      </c>
      <c r="FM33">
        <v>-8528938.2850000001</v>
      </c>
      <c r="FN33">
        <v>394969.61200000002</v>
      </c>
      <c r="FO33">
        <v>127.398</v>
      </c>
      <c r="FQ33">
        <v>-8532575.5820000004</v>
      </c>
      <c r="FR33">
        <v>397408.03700000001</v>
      </c>
      <c r="FS33">
        <v>81.391999999999996</v>
      </c>
      <c r="FU33">
        <v>-8534095.0250000004</v>
      </c>
      <c r="FV33">
        <v>398587.68599999999</v>
      </c>
      <c r="FW33">
        <v>8.6999999999999994E-2</v>
      </c>
      <c r="FY33">
        <v>-8529769.6370000001</v>
      </c>
      <c r="FZ33">
        <v>396392.51799999998</v>
      </c>
      <c r="GA33">
        <v>2.8000000000000001E-2</v>
      </c>
      <c r="GC33">
        <v>-8531073.9560000002</v>
      </c>
      <c r="GD33">
        <v>397019.549</v>
      </c>
      <c r="GE33">
        <v>85.58</v>
      </c>
      <c r="GG33">
        <v>-8530547.5769999996</v>
      </c>
      <c r="GH33">
        <v>396696.27500000002</v>
      </c>
      <c r="GI33">
        <v>58.128</v>
      </c>
      <c r="GO33">
        <v>-8532548.9670000002</v>
      </c>
      <c r="GP33">
        <v>397911.96600000001</v>
      </c>
      <c r="GQ33">
        <v>0.13700000000000001</v>
      </c>
      <c r="GS33">
        <v>-8531083.2860000003</v>
      </c>
      <c r="GT33">
        <v>397027.26</v>
      </c>
      <c r="GU33">
        <v>1.7000000000000001E-2</v>
      </c>
      <c r="HE33">
        <v>-8534020.7620000001</v>
      </c>
      <c r="HF33">
        <v>398176.098</v>
      </c>
      <c r="HG33">
        <v>8.4000000000000005E-2</v>
      </c>
      <c r="HI33">
        <v>-8532625.9590000007</v>
      </c>
      <c r="HJ33">
        <v>397914.06300000002</v>
      </c>
      <c r="HK33">
        <v>8.5999999999999993E-2</v>
      </c>
      <c r="HM33">
        <v>-8532281.7780000009</v>
      </c>
      <c r="HN33">
        <v>397592.53</v>
      </c>
      <c r="HO33">
        <v>4.2999999999999997E-2</v>
      </c>
      <c r="HQ33">
        <v>-8532773.4649999999</v>
      </c>
      <c r="HR33">
        <v>398088.91</v>
      </c>
      <c r="HS33">
        <v>4.4999999999999998E-2</v>
      </c>
      <c r="HU33">
        <v>-8532713.3450000007</v>
      </c>
      <c r="HV33">
        <v>398026.77899999998</v>
      </c>
      <c r="HW33">
        <v>0.11799999999999999</v>
      </c>
      <c r="HY33">
        <v>-8535837.9629999995</v>
      </c>
      <c r="HZ33">
        <v>399236.91700000002</v>
      </c>
      <c r="IA33">
        <v>0.15</v>
      </c>
      <c r="IG33">
        <v>-8532736.6449999996</v>
      </c>
      <c r="IH33">
        <v>398053.51500000001</v>
      </c>
      <c r="II33">
        <v>5.0999999999999997E-2</v>
      </c>
      <c r="IK33">
        <v>-8532589.8090000004</v>
      </c>
      <c r="IL33">
        <v>397396.609</v>
      </c>
      <c r="IM33">
        <v>0.05</v>
      </c>
      <c r="IO33">
        <v>-8534028.3300000001</v>
      </c>
      <c r="IP33">
        <v>400223.364</v>
      </c>
      <c r="IQ33">
        <v>3.9E-2</v>
      </c>
    </row>
    <row r="34" spans="31:251" ht="15" thickBot="1" x14ac:dyDescent="0.35">
      <c r="AK34" s="73">
        <v>-8531660.8220000006</v>
      </c>
      <c r="AL34">
        <v>397579.87199999997</v>
      </c>
      <c r="AM34" s="74">
        <v>7.5999999999999998E-2</v>
      </c>
      <c r="AO34" s="73">
        <v>-8531660.8220000006</v>
      </c>
      <c r="AP34">
        <v>397579.87199999997</v>
      </c>
      <c r="AQ34" s="74">
        <v>7.5999999999999998E-2</v>
      </c>
      <c r="AW34" s="73">
        <v>-8532645.9179999996</v>
      </c>
      <c r="AX34">
        <v>397395.96</v>
      </c>
      <c r="AY34" s="74">
        <v>5.8999999999999997E-2</v>
      </c>
      <c r="BA34" s="73">
        <v>-8532645.9179999996</v>
      </c>
      <c r="BB34">
        <v>397395.96</v>
      </c>
      <c r="BC34" s="74">
        <v>5.8999999999999997E-2</v>
      </c>
      <c r="BE34" s="73">
        <v>-8532645.9179999996</v>
      </c>
      <c r="BF34">
        <v>397395.96</v>
      </c>
      <c r="BG34" s="74">
        <v>5.8999999999999997E-2</v>
      </c>
      <c r="BI34" s="73">
        <v>-8532645.9179999996</v>
      </c>
      <c r="BJ34">
        <v>397395.96</v>
      </c>
      <c r="BK34" s="74">
        <v>5.8999999999999997E-2</v>
      </c>
      <c r="BM34" s="73">
        <v>-8532645.9179999996</v>
      </c>
      <c r="BN34">
        <v>397395.96</v>
      </c>
      <c r="BO34" s="74">
        <v>5.8999999999999997E-2</v>
      </c>
      <c r="BQ34" s="73">
        <v>-8532645.9179999996</v>
      </c>
      <c r="BR34">
        <v>397395.96</v>
      </c>
      <c r="BS34" s="74">
        <v>5.8999999999999997E-2</v>
      </c>
      <c r="BU34" s="73">
        <v>-8532645.9179999996</v>
      </c>
      <c r="BV34">
        <v>397395.96</v>
      </c>
      <c r="BW34" s="74">
        <v>5.8999999999999997E-2</v>
      </c>
      <c r="BY34" s="73">
        <v>-8532645.9179999996</v>
      </c>
      <c r="BZ34">
        <v>397395.96</v>
      </c>
      <c r="CA34" s="74">
        <v>5.8999999999999997E-2</v>
      </c>
      <c r="CC34" s="73">
        <v>-8532645.9179999996</v>
      </c>
      <c r="CD34">
        <v>397395.96</v>
      </c>
      <c r="CE34" s="74">
        <v>5.8999999999999997E-2</v>
      </c>
      <c r="CG34" s="73">
        <v>-8532175.3149999995</v>
      </c>
      <c r="CH34">
        <v>398623.353</v>
      </c>
      <c r="CI34" s="74">
        <v>4.7E-2</v>
      </c>
      <c r="CK34" s="73">
        <v>-8532175.3149999995</v>
      </c>
      <c r="CL34">
        <v>398623.353</v>
      </c>
      <c r="CM34" s="74">
        <v>4.7E-2</v>
      </c>
      <c r="CO34" s="73">
        <v>-8533961.6899999995</v>
      </c>
      <c r="CP34">
        <v>398205.54300000001</v>
      </c>
      <c r="CQ34" s="74">
        <v>45.865000000000002</v>
      </c>
      <c r="CS34" s="73">
        <v>-8533961.6899999995</v>
      </c>
      <c r="CT34">
        <v>398205.54300000001</v>
      </c>
      <c r="CU34" s="74">
        <v>45.865000000000002</v>
      </c>
      <c r="CW34" s="73">
        <v>-8533961.6899999995</v>
      </c>
      <c r="CX34">
        <v>398205.54300000001</v>
      </c>
      <c r="CY34" s="74">
        <v>45.865000000000002</v>
      </c>
      <c r="DA34" s="73">
        <v>-8534088.3920000009</v>
      </c>
      <c r="DB34">
        <v>398139.326</v>
      </c>
      <c r="DC34" s="74">
        <v>99.221000000000004</v>
      </c>
      <c r="DE34" s="73">
        <v>-8533980.7970000003</v>
      </c>
      <c r="DF34">
        <v>398230.58</v>
      </c>
      <c r="DG34" s="74">
        <v>6.9000000000000006E-2</v>
      </c>
      <c r="DI34" s="73">
        <v>-8532038.3499999996</v>
      </c>
      <c r="DJ34">
        <v>397829.00799999997</v>
      </c>
      <c r="DK34" s="74">
        <v>43.082000000000001</v>
      </c>
      <c r="DM34" s="73">
        <v>-8532645.9179999996</v>
      </c>
      <c r="DN34">
        <v>397395.96</v>
      </c>
      <c r="DO34" s="74">
        <v>5.8999999999999997E-2</v>
      </c>
      <c r="DQ34" s="73">
        <v>-8532645.9179999996</v>
      </c>
      <c r="DR34">
        <v>397395.96</v>
      </c>
      <c r="DS34" s="74">
        <v>5.8999999999999997E-2</v>
      </c>
      <c r="DU34" s="73">
        <v>-8533961.6899999995</v>
      </c>
      <c r="DV34">
        <v>398205.54300000001</v>
      </c>
      <c r="DW34" s="74">
        <v>45.865000000000002</v>
      </c>
      <c r="DY34" s="73">
        <v>-8533788.6270000003</v>
      </c>
      <c r="DZ34">
        <v>398281.14600000001</v>
      </c>
      <c r="EA34" s="74">
        <v>3.6999999999999998E-2</v>
      </c>
      <c r="EC34" s="73">
        <v>-8533674.5730000008</v>
      </c>
      <c r="ED34">
        <v>398099.973</v>
      </c>
      <c r="EE34" s="74">
        <v>3.4000000000000002E-2</v>
      </c>
      <c r="EG34" s="73">
        <v>-8540328.7559999991</v>
      </c>
      <c r="EH34">
        <v>395577.16100000002</v>
      </c>
      <c r="EI34" s="74">
        <v>0.03</v>
      </c>
      <c r="EK34">
        <v>-8534213.284</v>
      </c>
      <c r="EL34">
        <v>398666.77500000002</v>
      </c>
      <c r="EM34">
        <v>4.7E-2</v>
      </c>
      <c r="EQ34" s="77">
        <f>SUM(EQ$3:EQ33)</f>
        <v>2.31</v>
      </c>
      <c r="ES34">
        <v>-8532256.1410000008</v>
      </c>
      <c r="ET34">
        <v>397725.24599999998</v>
      </c>
      <c r="EU34">
        <v>6.4000000000000001E-2</v>
      </c>
      <c r="EW34">
        <v>-8532494.2660000008</v>
      </c>
      <c r="EX34">
        <v>397946.25599999999</v>
      </c>
      <c r="EY34">
        <v>7.1999999999999995E-2</v>
      </c>
      <c r="FA34">
        <v>-8528777.5309999995</v>
      </c>
      <c r="FB34">
        <v>396198.95199999999</v>
      </c>
      <c r="FC34">
        <v>0.03</v>
      </c>
      <c r="FE34">
        <v>-8533052.8289999999</v>
      </c>
      <c r="FF34">
        <v>395743.35200000001</v>
      </c>
      <c r="FG34">
        <v>2.9000000000000001E-2</v>
      </c>
      <c r="FM34">
        <v>-8528915.4649999999</v>
      </c>
      <c r="FN34">
        <v>395006.32299999997</v>
      </c>
      <c r="FO34">
        <v>42.936</v>
      </c>
      <c r="FQ34">
        <v>-8532472.8910000008</v>
      </c>
      <c r="FR34">
        <v>397476.49800000002</v>
      </c>
      <c r="FS34">
        <v>122.93</v>
      </c>
      <c r="FU34">
        <v>-8534000.1469999999</v>
      </c>
      <c r="FV34">
        <v>398560.61800000002</v>
      </c>
      <c r="FW34">
        <v>9.8000000000000004E-2</v>
      </c>
      <c r="FY34">
        <v>-8529811.0769999996</v>
      </c>
      <c r="FZ34">
        <v>396419.30699999997</v>
      </c>
      <c r="GA34">
        <v>4.9000000000000002E-2</v>
      </c>
      <c r="GC34">
        <v>-8531114.4539999999</v>
      </c>
      <c r="GD34">
        <v>397057.22100000002</v>
      </c>
      <c r="GE34">
        <v>55.033999999999999</v>
      </c>
      <c r="GG34">
        <v>-8530607.852</v>
      </c>
      <c r="GH34">
        <v>396692.50799999997</v>
      </c>
      <c r="GI34">
        <v>60.276000000000003</v>
      </c>
      <c r="GO34">
        <v>-8532748.1579999998</v>
      </c>
      <c r="GP34">
        <v>397914.08500000002</v>
      </c>
      <c r="GQ34">
        <v>0.19900000000000001</v>
      </c>
      <c r="GS34">
        <v>-8531122.8420000002</v>
      </c>
      <c r="GT34">
        <v>397062.57799999998</v>
      </c>
      <c r="GU34">
        <v>5.2999999999999999E-2</v>
      </c>
      <c r="HE34">
        <v>-8533988.9759999998</v>
      </c>
      <c r="HF34">
        <v>398238.08</v>
      </c>
      <c r="HG34">
        <v>6.9000000000000006E-2</v>
      </c>
      <c r="HI34">
        <v>-8532748.7320000008</v>
      </c>
      <c r="HJ34">
        <v>397917.63900000002</v>
      </c>
      <c r="HK34">
        <v>0.123</v>
      </c>
      <c r="HM34">
        <v>-8532281.7780000009</v>
      </c>
      <c r="HN34">
        <v>397668.81599999999</v>
      </c>
      <c r="HO34">
        <v>7.5999999999999998E-2</v>
      </c>
      <c r="HQ34">
        <v>-8532832.4680000003</v>
      </c>
      <c r="HR34">
        <v>398099.63799999998</v>
      </c>
      <c r="HS34">
        <v>0.06</v>
      </c>
      <c r="HU34">
        <v>-8532681.1620000005</v>
      </c>
      <c r="HV34">
        <v>398022.75599999999</v>
      </c>
      <c r="HW34">
        <v>3.2000000000000001E-2</v>
      </c>
      <c r="HY34">
        <v>-8535795.0519999992</v>
      </c>
      <c r="HZ34">
        <v>399451.47100000002</v>
      </c>
      <c r="IA34">
        <v>0.217</v>
      </c>
      <c r="IG34">
        <v>-8532731.2809999995</v>
      </c>
      <c r="IH34">
        <v>398091.06199999998</v>
      </c>
      <c r="II34">
        <v>3.7999999999999999E-2</v>
      </c>
      <c r="IK34">
        <v>-8532521.4199999999</v>
      </c>
      <c r="IL34">
        <v>397451.58899999998</v>
      </c>
      <c r="IM34">
        <v>8.6999999999999994E-2</v>
      </c>
      <c r="IO34">
        <v>-8534060.5130000003</v>
      </c>
      <c r="IP34">
        <v>400171.06699999998</v>
      </c>
      <c r="IQ34">
        <v>6.0999999999999999E-2</v>
      </c>
    </row>
    <row r="35" spans="31:251" x14ac:dyDescent="0.3">
      <c r="AK35" s="73">
        <v>-8531482.8489999995</v>
      </c>
      <c r="AL35">
        <v>397486.45600000001</v>
      </c>
      <c r="AM35" s="74">
        <v>0.20100000000000001</v>
      </c>
      <c r="AO35" s="73">
        <v>-8531482.8489999995</v>
      </c>
      <c r="AP35">
        <v>397486.45600000001</v>
      </c>
      <c r="AQ35" s="74">
        <v>0.20100000000000001</v>
      </c>
      <c r="AW35" s="73">
        <v>-8532665.2449999992</v>
      </c>
      <c r="AX35">
        <v>397384.283</v>
      </c>
      <c r="AY35" s="74">
        <v>2.3E-2</v>
      </c>
      <c r="BA35" s="73">
        <v>-8532665.2449999992</v>
      </c>
      <c r="BB35">
        <v>397384.283</v>
      </c>
      <c r="BC35" s="74">
        <v>2.3E-2</v>
      </c>
      <c r="BE35" s="73">
        <v>-8532665.2449999992</v>
      </c>
      <c r="BF35">
        <v>397384.283</v>
      </c>
      <c r="BG35" s="74">
        <v>2.3E-2</v>
      </c>
      <c r="BI35" s="73">
        <v>-8532665.2449999992</v>
      </c>
      <c r="BJ35">
        <v>397384.283</v>
      </c>
      <c r="BK35" s="74">
        <v>2.3E-2</v>
      </c>
      <c r="BM35" s="73">
        <v>-8532665.2449999992</v>
      </c>
      <c r="BN35">
        <v>397384.283</v>
      </c>
      <c r="BO35" s="74">
        <v>2.3E-2</v>
      </c>
      <c r="BQ35" s="73">
        <v>-8532665.2449999992</v>
      </c>
      <c r="BR35">
        <v>397384.283</v>
      </c>
      <c r="BS35" s="74">
        <v>2.3E-2</v>
      </c>
      <c r="BU35" s="73">
        <v>-8532665.2449999992</v>
      </c>
      <c r="BV35">
        <v>397384.283</v>
      </c>
      <c r="BW35" s="74">
        <v>2.3E-2</v>
      </c>
      <c r="BY35" s="73">
        <v>-8532665.2449999992</v>
      </c>
      <c r="BZ35">
        <v>397384.283</v>
      </c>
      <c r="CA35" s="74">
        <v>2.3E-2</v>
      </c>
      <c r="CC35" s="73">
        <v>-8532665.2449999992</v>
      </c>
      <c r="CD35">
        <v>397384.283</v>
      </c>
      <c r="CE35" s="74">
        <v>2.3E-2</v>
      </c>
      <c r="CG35" s="73">
        <v>-8532210.648</v>
      </c>
      <c r="CH35">
        <v>398662.31</v>
      </c>
      <c r="CI35" s="74">
        <v>5.2999999999999999E-2</v>
      </c>
      <c r="CK35" s="73">
        <v>-8532210.648</v>
      </c>
      <c r="CL35">
        <v>398662.31</v>
      </c>
      <c r="CM35" s="74">
        <v>5.2999999999999999E-2</v>
      </c>
      <c r="CO35" s="73">
        <v>-8533986.9159999993</v>
      </c>
      <c r="CP35">
        <v>398238.79499999998</v>
      </c>
      <c r="CQ35" s="74">
        <v>41.738</v>
      </c>
      <c r="CS35" s="73">
        <v>-8533986.9159999993</v>
      </c>
      <c r="CT35">
        <v>398238.79499999998</v>
      </c>
      <c r="CU35" s="74">
        <v>41.738</v>
      </c>
      <c r="CW35" s="73">
        <v>-8533986.9159999993</v>
      </c>
      <c r="CX35">
        <v>398238.79499999998</v>
      </c>
      <c r="CY35" s="74">
        <v>41.738</v>
      </c>
      <c r="DA35" s="73">
        <v>-8534103.2980000004</v>
      </c>
      <c r="DB35">
        <v>398106.07400000002</v>
      </c>
      <c r="DC35" s="74">
        <v>36.44</v>
      </c>
      <c r="DE35" s="73">
        <v>-8533960.8430000003</v>
      </c>
      <c r="DF35">
        <v>398285</v>
      </c>
      <c r="DG35" s="74">
        <v>5.8000000000000003E-2</v>
      </c>
      <c r="DI35" s="73">
        <v>-8531972.5930000003</v>
      </c>
      <c r="DJ35">
        <v>397861.20600000001</v>
      </c>
      <c r="DK35" s="74">
        <v>73.216999999999999</v>
      </c>
      <c r="DM35" s="73">
        <v>-8532665.2449999992</v>
      </c>
      <c r="DN35">
        <v>397384.283</v>
      </c>
      <c r="DO35" s="74">
        <v>2.3E-2</v>
      </c>
      <c r="DQ35" s="73">
        <v>-8532665.2449999992</v>
      </c>
      <c r="DR35">
        <v>397384.283</v>
      </c>
      <c r="DS35" s="74">
        <v>2.3E-2</v>
      </c>
      <c r="DU35" s="73">
        <v>-8533986.9159999993</v>
      </c>
      <c r="DV35">
        <v>398238.79499999998</v>
      </c>
      <c r="DW35" s="74">
        <v>41.738</v>
      </c>
      <c r="DY35" s="73">
        <v>-8533837.6050000004</v>
      </c>
      <c r="DZ35">
        <v>398270.26199999999</v>
      </c>
      <c r="EA35" s="74">
        <v>0.05</v>
      </c>
      <c r="EC35" s="73">
        <v>-8533758.0160000008</v>
      </c>
      <c r="ED35">
        <v>398166.63699999999</v>
      </c>
      <c r="EE35" s="74">
        <v>0.107</v>
      </c>
      <c r="EG35" s="73">
        <v>-8540303.3609999996</v>
      </c>
      <c r="EH35">
        <v>395518.20600000001</v>
      </c>
      <c r="EI35" s="74">
        <v>6.4000000000000001E-2</v>
      </c>
      <c r="EK35">
        <v>-8534207.9920000006</v>
      </c>
      <c r="EL35">
        <v>398647.37300000002</v>
      </c>
      <c r="EM35">
        <v>0.02</v>
      </c>
      <c r="ES35">
        <v>-8532272.0160000008</v>
      </c>
      <c r="ET35">
        <v>397806.60600000003</v>
      </c>
      <c r="EU35">
        <v>8.2000000000000003E-2</v>
      </c>
      <c r="EW35">
        <v>-8532537.4260000009</v>
      </c>
      <c r="EX35">
        <v>397922.94</v>
      </c>
      <c r="EY35">
        <v>4.9000000000000002E-2</v>
      </c>
      <c r="FA35">
        <v>-8528790.182</v>
      </c>
      <c r="FB35">
        <v>396294.20199999999</v>
      </c>
      <c r="FC35">
        <v>9.5000000000000001E-2</v>
      </c>
      <c r="FE35">
        <v>-8532982.8790000007</v>
      </c>
      <c r="FF35">
        <v>395726.98100000003</v>
      </c>
      <c r="FG35">
        <v>7.1999999999999995E-2</v>
      </c>
      <c r="FM35">
        <v>-8528880.7379999999</v>
      </c>
      <c r="FN35">
        <v>395002.35499999998</v>
      </c>
      <c r="FO35">
        <v>34.883000000000003</v>
      </c>
      <c r="FQ35">
        <v>-8532376.1530000009</v>
      </c>
      <c r="FR35">
        <v>397539.00599999999</v>
      </c>
      <c r="FS35">
        <v>114.729</v>
      </c>
      <c r="FU35">
        <v>-8533942.1040000003</v>
      </c>
      <c r="FV35">
        <v>398587.40700000001</v>
      </c>
      <c r="FW35">
        <v>6.4000000000000001E-2</v>
      </c>
      <c r="FY35">
        <v>-8529855.4460000005</v>
      </c>
      <c r="FZ35">
        <v>396405.07500000001</v>
      </c>
      <c r="GA35">
        <v>4.5999999999999999E-2</v>
      </c>
      <c r="GC35">
        <v>-8531156.8350000009</v>
      </c>
      <c r="GD35">
        <v>397091.12599999999</v>
      </c>
      <c r="GE35">
        <v>54.029000000000003</v>
      </c>
      <c r="GG35">
        <v>-8530632.3389999997</v>
      </c>
      <c r="GH35">
        <v>396709.46100000001</v>
      </c>
      <c r="GI35">
        <v>29.661000000000001</v>
      </c>
      <c r="GO35">
        <v>-8532717.7850000001</v>
      </c>
      <c r="GP35">
        <v>398026.39500000002</v>
      </c>
      <c r="GQ35">
        <v>0.115</v>
      </c>
      <c r="GS35">
        <v>-8531145.2679999992</v>
      </c>
      <c r="GT35">
        <v>397088.88900000002</v>
      </c>
      <c r="GU35">
        <v>3.4000000000000002E-2</v>
      </c>
      <c r="HE35">
        <v>-8533969.9049999993</v>
      </c>
      <c r="HF35">
        <v>398212.652</v>
      </c>
      <c r="HG35">
        <v>3.2000000000000001E-2</v>
      </c>
      <c r="HI35">
        <v>-8532721.3169999998</v>
      </c>
      <c r="HJ35">
        <v>398010.61300000001</v>
      </c>
      <c r="HK35">
        <v>9.6000000000000002E-2</v>
      </c>
      <c r="HM35">
        <v>-8532259.1309999991</v>
      </c>
      <c r="HN35">
        <v>397699.80699999997</v>
      </c>
      <c r="HO35">
        <v>3.7999999999999999E-2</v>
      </c>
      <c r="HQ35">
        <v>-8532836.0439999998</v>
      </c>
      <c r="HR35">
        <v>398134.50300000003</v>
      </c>
      <c r="HS35">
        <v>3.5000000000000003E-2</v>
      </c>
      <c r="HU35">
        <v>-8532690.5490000006</v>
      </c>
      <c r="HV35">
        <v>398053.598</v>
      </c>
      <c r="HW35">
        <v>3.2000000000000001E-2</v>
      </c>
      <c r="HY35">
        <v>-8535913.057</v>
      </c>
      <c r="HZ35">
        <v>399590.93199999997</v>
      </c>
      <c r="IA35">
        <v>0.182</v>
      </c>
      <c r="IG35">
        <v>-8532846.6040000003</v>
      </c>
      <c r="IH35">
        <v>398143.359</v>
      </c>
      <c r="II35">
        <v>0.126</v>
      </c>
      <c r="IK35">
        <v>-8532459.7349999994</v>
      </c>
      <c r="IL35">
        <v>397479.74900000001</v>
      </c>
      <c r="IM35">
        <v>6.8000000000000005E-2</v>
      </c>
      <c r="IO35">
        <v>-8534079.2860000003</v>
      </c>
      <c r="IP35">
        <v>400117.42800000001</v>
      </c>
      <c r="IQ35">
        <v>5.6000000000000001E-2</v>
      </c>
    </row>
    <row r="36" spans="31:251" x14ac:dyDescent="0.3">
      <c r="AK36" s="73">
        <v>-8531420.2359999996</v>
      </c>
      <c r="AL36">
        <v>397310.89899999998</v>
      </c>
      <c r="AM36" s="74">
        <v>0.186</v>
      </c>
      <c r="AO36" s="73">
        <v>-8531420.2359999996</v>
      </c>
      <c r="AP36">
        <v>397310.89899999998</v>
      </c>
      <c r="AQ36" s="74">
        <v>0.186</v>
      </c>
      <c r="AW36" s="73">
        <v>-8532679.3379999995</v>
      </c>
      <c r="AX36">
        <v>397411.26</v>
      </c>
      <c r="AY36" s="74"/>
      <c r="BA36" s="73">
        <v>-8532679.4890000001</v>
      </c>
      <c r="BB36">
        <v>397351.516</v>
      </c>
      <c r="BC36" s="74">
        <v>3.5999999999999997E-2</v>
      </c>
      <c r="BE36" s="73">
        <v>-8532679.4890000001</v>
      </c>
      <c r="BF36">
        <v>397351.516</v>
      </c>
      <c r="BG36" s="74">
        <v>3.5999999999999997E-2</v>
      </c>
      <c r="BI36" s="73">
        <v>-8532679.4890000001</v>
      </c>
      <c r="BJ36">
        <v>397351.516</v>
      </c>
      <c r="BK36" s="74">
        <v>3.5999999999999997E-2</v>
      </c>
      <c r="BM36" s="73">
        <v>-8532679.4890000001</v>
      </c>
      <c r="BN36">
        <v>397351.516</v>
      </c>
      <c r="BO36" s="74">
        <v>3.5999999999999997E-2</v>
      </c>
      <c r="BQ36" s="73">
        <v>-8532679.4890000001</v>
      </c>
      <c r="BR36">
        <v>397351.516</v>
      </c>
      <c r="BS36" s="74">
        <v>3.5999999999999997E-2</v>
      </c>
      <c r="BU36" s="73">
        <v>-8532679.4890000001</v>
      </c>
      <c r="BV36">
        <v>397351.516</v>
      </c>
      <c r="BW36" s="74">
        <v>3.5999999999999997E-2</v>
      </c>
      <c r="BY36" s="73">
        <v>-8532679.4890000001</v>
      </c>
      <c r="BZ36">
        <v>397351.516</v>
      </c>
      <c r="CA36" s="74">
        <v>3.5999999999999997E-2</v>
      </c>
      <c r="CC36" s="73">
        <v>-8532679.4890000001</v>
      </c>
      <c r="CD36">
        <v>397351.516</v>
      </c>
      <c r="CE36" s="74">
        <v>3.5999999999999997E-2</v>
      </c>
      <c r="CG36" s="73">
        <v>-8532234.2029999997</v>
      </c>
      <c r="CH36">
        <v>398713.04499999998</v>
      </c>
      <c r="CI36" s="74">
        <v>5.6000000000000001E-2</v>
      </c>
      <c r="CK36" s="73">
        <v>-8532234.2029999997</v>
      </c>
      <c r="CL36">
        <v>398713.04499999998</v>
      </c>
      <c r="CM36" s="74">
        <v>5.6000000000000001E-2</v>
      </c>
      <c r="CO36" s="73">
        <v>-8533936.4649999999</v>
      </c>
      <c r="CP36">
        <v>398315.61900000001</v>
      </c>
      <c r="CQ36" s="74">
        <v>91.909000000000006</v>
      </c>
      <c r="CS36" s="73">
        <v>-8533936.4649999999</v>
      </c>
      <c r="CT36">
        <v>398315.61900000001</v>
      </c>
      <c r="CU36" s="74">
        <v>91.909000000000006</v>
      </c>
      <c r="CW36" s="73">
        <v>-8533936.4649999999</v>
      </c>
      <c r="CX36">
        <v>398315.61900000001</v>
      </c>
      <c r="CY36" s="74">
        <v>91.909000000000006</v>
      </c>
      <c r="DA36" s="73">
        <v>-8534122.7909999993</v>
      </c>
      <c r="DB36">
        <v>398065.94199999998</v>
      </c>
      <c r="DC36" s="74">
        <v>44.615000000000002</v>
      </c>
      <c r="DE36" s="73">
        <v>-8533908.2379999999</v>
      </c>
      <c r="DF36">
        <v>398341.234</v>
      </c>
      <c r="DG36" s="74">
        <v>7.6999999999999999E-2</v>
      </c>
      <c r="DI36" s="73">
        <v>-8531949.9179999996</v>
      </c>
      <c r="DJ36">
        <v>397853.49599999998</v>
      </c>
      <c r="DK36" s="74">
        <v>23.95</v>
      </c>
      <c r="DM36" s="73">
        <v>-8532679.4890000001</v>
      </c>
      <c r="DN36">
        <v>397351.516</v>
      </c>
      <c r="DO36" s="74">
        <v>3.5999999999999997E-2</v>
      </c>
      <c r="DQ36" s="73">
        <v>-8532679.4890000001</v>
      </c>
      <c r="DR36">
        <v>397351.516</v>
      </c>
      <c r="DS36" s="74">
        <v>3.5999999999999997E-2</v>
      </c>
      <c r="DU36" s="73">
        <v>-8533936.4649999999</v>
      </c>
      <c r="DV36">
        <v>398315.61900000001</v>
      </c>
      <c r="DW36" s="74">
        <v>91.909000000000006</v>
      </c>
      <c r="DY36" s="73">
        <v>-8533925.5840000007</v>
      </c>
      <c r="DZ36">
        <v>398204.05099999998</v>
      </c>
      <c r="EA36" s="74">
        <v>0.11</v>
      </c>
      <c r="EC36" s="73">
        <v>-8533771.6209999993</v>
      </c>
      <c r="ED36">
        <v>398205.185</v>
      </c>
      <c r="EE36" s="74">
        <v>4.1000000000000002E-2</v>
      </c>
      <c r="EG36" s="73">
        <v>-8540297.9189999998</v>
      </c>
      <c r="EH36">
        <v>395355.853</v>
      </c>
      <c r="EI36" s="74">
        <v>0.16200000000000001</v>
      </c>
      <c r="EK36">
        <v>-8534196.5270000007</v>
      </c>
      <c r="EL36">
        <v>398627.08799999999</v>
      </c>
      <c r="EM36">
        <v>2.3E-2</v>
      </c>
      <c r="ES36">
        <v>-8532232.3279999997</v>
      </c>
      <c r="ET36">
        <v>397846.29300000001</v>
      </c>
      <c r="EU36">
        <v>5.6000000000000001E-2</v>
      </c>
      <c r="EW36">
        <v>-8532589.0199999996</v>
      </c>
      <c r="EX36">
        <v>397918.47499999998</v>
      </c>
      <c r="EY36">
        <v>5.1999999999999998E-2</v>
      </c>
      <c r="FA36">
        <v>-8528906.2679999992</v>
      </c>
      <c r="FB36">
        <v>396347.78</v>
      </c>
      <c r="FC36">
        <v>0.127</v>
      </c>
      <c r="FE36">
        <v>-8532904</v>
      </c>
      <c r="FF36">
        <v>395880.27399999998</v>
      </c>
      <c r="FG36">
        <v>0.17100000000000001</v>
      </c>
      <c r="FM36">
        <v>-8528855.9340000004</v>
      </c>
      <c r="FN36">
        <v>394998.386</v>
      </c>
      <c r="FO36">
        <v>25.068000000000001</v>
      </c>
      <c r="FQ36">
        <v>-8532309.1799999997</v>
      </c>
      <c r="FR36">
        <v>397562.07400000002</v>
      </c>
      <c r="FS36">
        <v>70.647999999999996</v>
      </c>
      <c r="FU36">
        <v>-8533914.1980000008</v>
      </c>
      <c r="FV36">
        <v>398560.61800000002</v>
      </c>
      <c r="FW36">
        <v>3.7999999999999999E-2</v>
      </c>
      <c r="FY36">
        <v>-8529897.3039999995</v>
      </c>
      <c r="FZ36">
        <v>396445.25900000002</v>
      </c>
      <c r="GA36">
        <v>5.8000000000000003E-2</v>
      </c>
      <c r="GC36">
        <v>-8531231.2369999997</v>
      </c>
      <c r="GD36">
        <v>397119.38</v>
      </c>
      <c r="GE36">
        <v>79.367000000000004</v>
      </c>
      <c r="GG36">
        <v>-8530585.2489999998</v>
      </c>
      <c r="GH36">
        <v>396771.62</v>
      </c>
      <c r="GI36">
        <v>77.503</v>
      </c>
      <c r="GO36">
        <v>-8532686.7050000001</v>
      </c>
      <c r="GP36">
        <v>398028.51500000001</v>
      </c>
      <c r="GQ36">
        <v>3.1E-2</v>
      </c>
      <c r="GS36">
        <v>-8531211.4890000001</v>
      </c>
      <c r="GT36">
        <v>397114.31800000003</v>
      </c>
      <c r="GU36">
        <v>7.0999999999999994E-2</v>
      </c>
      <c r="HE36">
        <v>-8533923.8149999995</v>
      </c>
      <c r="HF36">
        <v>398198.348</v>
      </c>
      <c r="HG36">
        <v>4.8000000000000001E-2</v>
      </c>
      <c r="HI36">
        <v>-8532686.75</v>
      </c>
      <c r="HJ36">
        <v>398029.68400000001</v>
      </c>
      <c r="HK36">
        <v>3.9E-2</v>
      </c>
      <c r="HM36">
        <v>-8532273.4340000004</v>
      </c>
      <c r="HN36">
        <v>397771.32500000001</v>
      </c>
      <c r="HO36">
        <v>7.1999999999999995E-2</v>
      </c>
      <c r="HQ36">
        <v>-8532122.6500000004</v>
      </c>
      <c r="HR36">
        <v>398128.245</v>
      </c>
      <c r="HU36">
        <v>-8532746.8690000009</v>
      </c>
      <c r="HV36">
        <v>398081.75900000002</v>
      </c>
      <c r="HW36">
        <v>6.3E-2</v>
      </c>
      <c r="HY36">
        <v>-8535816.5069999993</v>
      </c>
      <c r="HZ36">
        <v>399687.48100000003</v>
      </c>
      <c r="IA36">
        <v>0.13600000000000001</v>
      </c>
      <c r="IG36">
        <v>-8531890.4949999992</v>
      </c>
      <c r="IH36">
        <v>398101.78899999999</v>
      </c>
      <c r="IK36">
        <v>-8532388.6640000008</v>
      </c>
      <c r="IL36">
        <v>397540.092</v>
      </c>
      <c r="IM36">
        <v>9.2999999999999999E-2</v>
      </c>
      <c r="IO36">
        <v>-8534127.5610000007</v>
      </c>
      <c r="IP36">
        <v>400023.56099999999</v>
      </c>
      <c r="IQ36">
        <v>0.105</v>
      </c>
    </row>
    <row r="37" spans="31:251" ht="15" thickBot="1" x14ac:dyDescent="0.35">
      <c r="AK37" s="73">
        <v>-8531346.9529999997</v>
      </c>
      <c r="AL37">
        <v>397251.30599999998</v>
      </c>
      <c r="AM37" s="74">
        <v>9.4E-2</v>
      </c>
      <c r="AO37" s="73">
        <v>-8531346.9529999997</v>
      </c>
      <c r="AP37">
        <v>397251.30599999998</v>
      </c>
      <c r="AQ37" s="74">
        <v>9.4E-2</v>
      </c>
      <c r="AW37" s="73">
        <v>-8532567.7530000005</v>
      </c>
      <c r="AX37">
        <v>396955.304</v>
      </c>
      <c r="AY37" s="74"/>
      <c r="BA37" s="73">
        <v>-8532693.9849999994</v>
      </c>
      <c r="BB37">
        <v>397286.28600000002</v>
      </c>
      <c r="BC37" s="74">
        <v>6.7000000000000004E-2</v>
      </c>
      <c r="BE37" s="73">
        <v>-8532693.9849999994</v>
      </c>
      <c r="BF37">
        <v>397286.28600000002</v>
      </c>
      <c r="BG37" s="74">
        <v>6.7000000000000004E-2</v>
      </c>
      <c r="BI37" s="73">
        <v>-8532693.9849999994</v>
      </c>
      <c r="BJ37">
        <v>397286.28600000002</v>
      </c>
      <c r="BK37" s="74">
        <v>6.7000000000000004E-2</v>
      </c>
      <c r="BM37" s="73">
        <v>-8532693.9849999994</v>
      </c>
      <c r="BN37">
        <v>397286.28600000002</v>
      </c>
      <c r="BO37" s="74">
        <v>6.7000000000000004E-2</v>
      </c>
      <c r="BQ37" s="73">
        <v>-8532693.9849999994</v>
      </c>
      <c r="BR37">
        <v>397286.28600000002</v>
      </c>
      <c r="BS37" s="74">
        <v>6.7000000000000004E-2</v>
      </c>
      <c r="BU37" s="73">
        <v>-8532693.9849999994</v>
      </c>
      <c r="BV37">
        <v>397286.28600000002</v>
      </c>
      <c r="BW37" s="74">
        <v>6.7000000000000004E-2</v>
      </c>
      <c r="BY37" s="73">
        <v>-8532693.9849999994</v>
      </c>
      <c r="BZ37">
        <v>397286.28600000002</v>
      </c>
      <c r="CA37" s="74">
        <v>6.7000000000000004E-2</v>
      </c>
      <c r="CC37" s="73">
        <v>-8532693.9849999994</v>
      </c>
      <c r="CD37">
        <v>397286.28600000002</v>
      </c>
      <c r="CE37" s="74">
        <v>6.7000000000000004E-2</v>
      </c>
      <c r="CG37" s="73">
        <v>-8532288.5620000008</v>
      </c>
      <c r="CH37">
        <v>398752.90700000001</v>
      </c>
      <c r="CI37" s="74">
        <v>6.7000000000000004E-2</v>
      </c>
      <c r="CK37" s="73">
        <v>-8532288.5620000008</v>
      </c>
      <c r="CL37">
        <v>398752.90700000001</v>
      </c>
      <c r="CM37" s="74">
        <v>6.7000000000000004E-2</v>
      </c>
      <c r="CO37" s="73">
        <v>-8533895.1860000007</v>
      </c>
      <c r="CP37">
        <v>398339.69799999997</v>
      </c>
      <c r="CQ37" s="74">
        <v>47.787999999999997</v>
      </c>
      <c r="CS37" s="73">
        <v>-8533895.1860000007</v>
      </c>
      <c r="CT37">
        <v>398339.69799999997</v>
      </c>
      <c r="CU37" s="74">
        <v>47.787999999999997</v>
      </c>
      <c r="CW37" s="73">
        <v>-8533895.1860000007</v>
      </c>
      <c r="CX37">
        <v>398339.69799999997</v>
      </c>
      <c r="CY37" s="74">
        <v>47.787999999999997</v>
      </c>
      <c r="DA37" s="73">
        <v>-8534106.7379999999</v>
      </c>
      <c r="DB37">
        <v>398053.32900000003</v>
      </c>
      <c r="DC37" s="74">
        <v>20.414999999999999</v>
      </c>
      <c r="DE37" s="73">
        <v>-8533830.2359999996</v>
      </c>
      <c r="DF37">
        <v>398355.74599999998</v>
      </c>
      <c r="DG37" s="74">
        <v>7.9000000000000001E-2</v>
      </c>
      <c r="DI37" s="73">
        <v>-8531927.2430000007</v>
      </c>
      <c r="DJ37">
        <v>397799.07699999999</v>
      </c>
      <c r="DK37" s="74">
        <v>58.954999999999998</v>
      </c>
      <c r="DM37" s="73">
        <v>-8532693.9849999994</v>
      </c>
      <c r="DN37">
        <v>397286.28600000002</v>
      </c>
      <c r="DO37" s="74">
        <v>6.7000000000000004E-2</v>
      </c>
      <c r="DQ37" s="73">
        <v>-8532693.9849999994</v>
      </c>
      <c r="DR37">
        <v>397286.28600000002</v>
      </c>
      <c r="DS37" s="74">
        <v>6.7000000000000004E-2</v>
      </c>
      <c r="DU37" s="73">
        <v>-8533895.1860000007</v>
      </c>
      <c r="DV37">
        <v>398339.69799999997</v>
      </c>
      <c r="DW37" s="74">
        <v>47.787999999999997</v>
      </c>
      <c r="DY37" s="73">
        <v>-8533962.7709999997</v>
      </c>
      <c r="DZ37">
        <v>398201.33</v>
      </c>
      <c r="EA37" s="74">
        <v>3.6999999999999998E-2</v>
      </c>
      <c r="EC37" s="73">
        <v>-8533767.5399999991</v>
      </c>
      <c r="ED37">
        <v>398254.61599999998</v>
      </c>
      <c r="EE37" s="74">
        <v>0.05</v>
      </c>
      <c r="EG37" s="73">
        <v>-8540288.8489999995</v>
      </c>
      <c r="EH37">
        <v>395225.24599999998</v>
      </c>
      <c r="EI37" s="74">
        <v>0.13100000000000001</v>
      </c>
      <c r="EK37">
        <v>-8534183.7379999999</v>
      </c>
      <c r="EL37">
        <v>398613.859</v>
      </c>
      <c r="EM37">
        <v>1.7999999999999999E-2</v>
      </c>
      <c r="ES37">
        <v>-8532202.5629999992</v>
      </c>
      <c r="ET37">
        <v>397885.98100000003</v>
      </c>
      <c r="EU37">
        <v>4.9000000000000002E-2</v>
      </c>
      <c r="EW37">
        <v>-8532664.4260000009</v>
      </c>
      <c r="EX37">
        <v>397913.01799999998</v>
      </c>
      <c r="EY37">
        <v>7.4999999999999997E-2</v>
      </c>
      <c r="FA37">
        <v>-8528986.6349999998</v>
      </c>
      <c r="FB37">
        <v>396408.8</v>
      </c>
      <c r="FC37">
        <v>0.1</v>
      </c>
      <c r="FE37">
        <v>-8532962.0429999996</v>
      </c>
      <c r="FF37">
        <v>396085.65700000001</v>
      </c>
      <c r="FG37">
        <v>0.21199999999999999</v>
      </c>
      <c r="FM37">
        <v>-8528839.0659999996</v>
      </c>
      <c r="FN37">
        <v>395018.23</v>
      </c>
      <c r="FO37">
        <v>25.893999999999998</v>
      </c>
      <c r="FQ37">
        <v>-8532280.159</v>
      </c>
      <c r="FR37">
        <v>397590.35200000001</v>
      </c>
      <c r="FS37">
        <v>40.311</v>
      </c>
      <c r="FU37">
        <v>-8533878.2009999994</v>
      </c>
      <c r="FV37">
        <v>398506.761</v>
      </c>
      <c r="FW37">
        <v>6.4000000000000001E-2</v>
      </c>
      <c r="FY37">
        <v>-8529940.8359999992</v>
      </c>
      <c r="FZ37">
        <v>396441.07299999997</v>
      </c>
      <c r="GA37">
        <v>4.3999999999999997E-2</v>
      </c>
      <c r="GC37">
        <v>-8531338.6030000001</v>
      </c>
      <c r="GD37">
        <v>397228.63</v>
      </c>
      <c r="GE37">
        <v>152.363</v>
      </c>
      <c r="GG37">
        <v>-8530615.3859999999</v>
      </c>
      <c r="GH37">
        <v>396803.641</v>
      </c>
      <c r="GI37">
        <v>43.734000000000002</v>
      </c>
      <c r="GO37">
        <v>-8532689.5309999995</v>
      </c>
      <c r="GP37">
        <v>398075.84</v>
      </c>
      <c r="GQ37">
        <v>4.7E-2</v>
      </c>
      <c r="GS37">
        <v>-8531247.5130000003</v>
      </c>
      <c r="GT37">
        <v>397121.73499999999</v>
      </c>
      <c r="GU37">
        <v>3.6999999999999998E-2</v>
      </c>
      <c r="HE37">
        <v>-8533853.8859999999</v>
      </c>
      <c r="HF37">
        <v>398263.50900000002</v>
      </c>
      <c r="HG37">
        <v>9.5000000000000001E-2</v>
      </c>
      <c r="HI37">
        <v>-8532686.75</v>
      </c>
      <c r="HJ37">
        <v>398051.14</v>
      </c>
      <c r="HK37">
        <v>2.1000000000000001E-2</v>
      </c>
      <c r="HM37">
        <v>-8532262.7060000002</v>
      </c>
      <c r="HN37">
        <v>397832.11599999998</v>
      </c>
      <c r="HO37">
        <v>6.0999999999999999E-2</v>
      </c>
      <c r="HS37" s="77">
        <f>SUM(HS$3:HS36)</f>
        <v>1.544</v>
      </c>
      <c r="HU37">
        <v>-8532831.3499999996</v>
      </c>
      <c r="HV37">
        <v>398097.85</v>
      </c>
      <c r="HW37">
        <v>8.5999999999999993E-2</v>
      </c>
      <c r="HY37">
        <v>-8535623.4079999998</v>
      </c>
      <c r="HZ37">
        <v>399687.48100000003</v>
      </c>
      <c r="IA37">
        <v>0.193</v>
      </c>
      <c r="II37" s="77">
        <f>SUM(II$3:II36)</f>
        <v>2.0589999999999997</v>
      </c>
      <c r="IK37">
        <v>-8532297.4780000001</v>
      </c>
      <c r="IL37">
        <v>397562.88900000002</v>
      </c>
      <c r="IM37">
        <v>9.4E-2</v>
      </c>
      <c r="IO37">
        <v>-8534161.0850000009</v>
      </c>
      <c r="IP37">
        <v>399918.96500000003</v>
      </c>
      <c r="IQ37">
        <v>0.109</v>
      </c>
    </row>
    <row r="38" spans="31:251" x14ac:dyDescent="0.3">
      <c r="AK38" s="73">
        <v>-8531272.8640000001</v>
      </c>
      <c r="AL38">
        <v>397154.66800000001</v>
      </c>
      <c r="AM38" s="74">
        <v>0.122</v>
      </c>
      <c r="AO38" s="73">
        <v>-8531272.8640000001</v>
      </c>
      <c r="AP38">
        <v>397154.66800000001</v>
      </c>
      <c r="AQ38" s="74">
        <v>0.122</v>
      </c>
      <c r="AW38" s="73">
        <v>-8532503.1260000002</v>
      </c>
      <c r="AX38">
        <v>396901.549</v>
      </c>
      <c r="AY38" s="74">
        <v>8.4000000000000005E-2</v>
      </c>
      <c r="BA38" s="73">
        <v>-8532713.3120000008</v>
      </c>
      <c r="BB38">
        <v>397262.12699999998</v>
      </c>
      <c r="BC38" s="74">
        <v>3.1E-2</v>
      </c>
      <c r="BE38" s="73">
        <v>-8532713.3120000008</v>
      </c>
      <c r="BF38">
        <v>397262.12699999998</v>
      </c>
      <c r="BG38" s="74">
        <v>3.1E-2</v>
      </c>
      <c r="BI38" s="73">
        <v>-8532713.3120000008</v>
      </c>
      <c r="BJ38">
        <v>397262.12699999998</v>
      </c>
      <c r="BK38" s="74">
        <v>3.1E-2</v>
      </c>
      <c r="BM38" s="73">
        <v>-8532713.3120000008</v>
      </c>
      <c r="BN38">
        <v>397262.12699999998</v>
      </c>
      <c r="BO38" s="74">
        <v>3.1E-2</v>
      </c>
      <c r="BQ38" s="73">
        <v>-8532713.3120000008</v>
      </c>
      <c r="BR38">
        <v>397262.12699999998</v>
      </c>
      <c r="BS38" s="74">
        <v>3.1E-2</v>
      </c>
      <c r="BU38" s="73">
        <v>-8532713.3120000008</v>
      </c>
      <c r="BV38">
        <v>397262.12699999998</v>
      </c>
      <c r="BW38" s="74">
        <v>3.1E-2</v>
      </c>
      <c r="BY38" s="73">
        <v>-8532713.3120000008</v>
      </c>
      <c r="BZ38">
        <v>397262.12699999998</v>
      </c>
      <c r="CA38" s="74">
        <v>3.1E-2</v>
      </c>
      <c r="CC38" s="73">
        <v>-8532713.3120000008</v>
      </c>
      <c r="CD38">
        <v>397262.12699999998</v>
      </c>
      <c r="CE38" s="74">
        <v>3.1E-2</v>
      </c>
      <c r="CG38" s="73">
        <v>-8532544.9519999996</v>
      </c>
      <c r="CH38">
        <v>398680.429</v>
      </c>
      <c r="CI38" s="74"/>
      <c r="CK38" s="73">
        <v>-8532293.5439999998</v>
      </c>
      <c r="CL38">
        <v>398775.10399999999</v>
      </c>
      <c r="CM38" s="74">
        <v>2.3E-2</v>
      </c>
      <c r="CO38" s="73">
        <v>-8533842.4419999998</v>
      </c>
      <c r="CP38">
        <v>398351.16499999998</v>
      </c>
      <c r="CQ38" s="74">
        <v>53.976999999999997</v>
      </c>
      <c r="CS38" s="73">
        <v>-8533842.4419999998</v>
      </c>
      <c r="CT38">
        <v>398351.16499999998</v>
      </c>
      <c r="CU38" s="74">
        <v>53.976999999999997</v>
      </c>
      <c r="CW38" s="73">
        <v>-8533842.4419999998</v>
      </c>
      <c r="CX38">
        <v>398351.16499999998</v>
      </c>
      <c r="CY38" s="74">
        <v>53.976999999999997</v>
      </c>
      <c r="DA38" s="73">
        <v>-8534084.9519999996</v>
      </c>
      <c r="DB38">
        <v>398052.18199999997</v>
      </c>
      <c r="DC38" s="74">
        <v>21.815999999999999</v>
      </c>
      <c r="DE38" s="73">
        <v>-8533799.398</v>
      </c>
      <c r="DF38">
        <v>398413.79399999999</v>
      </c>
      <c r="DG38" s="74">
        <v>6.6000000000000003E-2</v>
      </c>
      <c r="DI38" s="73">
        <v>-8531866.9269999992</v>
      </c>
      <c r="DJ38">
        <v>397738.761</v>
      </c>
      <c r="DK38" s="74">
        <v>85.299000000000007</v>
      </c>
      <c r="DM38" s="73">
        <v>-8532713.3120000008</v>
      </c>
      <c r="DN38">
        <v>397262.12699999998</v>
      </c>
      <c r="DO38" s="74">
        <v>3.1E-2</v>
      </c>
      <c r="DQ38" s="73">
        <v>-8532713.3120000008</v>
      </c>
      <c r="DR38">
        <v>397262.12699999998</v>
      </c>
      <c r="DS38" s="74">
        <v>3.1E-2</v>
      </c>
      <c r="DU38" s="73">
        <v>-8533842.4419999998</v>
      </c>
      <c r="DV38">
        <v>398351.16499999998</v>
      </c>
      <c r="DW38" s="74">
        <v>53.976999999999997</v>
      </c>
      <c r="DY38" s="73">
        <v>-8533992.7019999996</v>
      </c>
      <c r="DZ38">
        <v>398243.05200000003</v>
      </c>
      <c r="EA38" s="74">
        <v>5.0999999999999997E-2</v>
      </c>
      <c r="EC38" s="73">
        <v>-8533775.7029999997</v>
      </c>
      <c r="ED38">
        <v>398270.94199999998</v>
      </c>
      <c r="EE38" s="74">
        <v>1.7999999999999999E-2</v>
      </c>
      <c r="EG38" s="73">
        <v>-8540296.1050000004</v>
      </c>
      <c r="EH38">
        <v>395120.03399999999</v>
      </c>
      <c r="EI38" s="74">
        <v>0.105</v>
      </c>
      <c r="EK38">
        <v>-8534146.6970000006</v>
      </c>
      <c r="EL38">
        <v>398601.95299999998</v>
      </c>
      <c r="EM38">
        <v>3.9E-2</v>
      </c>
      <c r="ES38">
        <v>-8532329.5629999992</v>
      </c>
      <c r="ET38">
        <v>397989.16800000001</v>
      </c>
      <c r="EU38">
        <v>0.16300000000000001</v>
      </c>
      <c r="EW38">
        <v>-8532747.7699999996</v>
      </c>
      <c r="EX38">
        <v>397915.00199999998</v>
      </c>
      <c r="EY38">
        <v>8.3000000000000004E-2</v>
      </c>
      <c r="FA38">
        <v>-8529032.7719999999</v>
      </c>
      <c r="FB38">
        <v>396438.565</v>
      </c>
      <c r="FC38">
        <v>5.5E-2</v>
      </c>
      <c r="FE38">
        <v>-8532869.7699999996</v>
      </c>
      <c r="FF38">
        <v>396137.74599999998</v>
      </c>
      <c r="FG38">
        <v>0.106</v>
      </c>
      <c r="FM38">
        <v>-8528836.0899999999</v>
      </c>
      <c r="FN38">
        <v>395073.79200000002</v>
      </c>
      <c r="FO38">
        <v>55.167000000000002</v>
      </c>
      <c r="FQ38">
        <v>-8532278.6699999999</v>
      </c>
      <c r="FR38">
        <v>397668.48599999998</v>
      </c>
      <c r="FS38">
        <v>77.477999999999994</v>
      </c>
      <c r="FU38">
        <v>-8533841.6449999996</v>
      </c>
      <c r="FV38">
        <v>398478.576</v>
      </c>
      <c r="FW38">
        <v>4.5999999999999999E-2</v>
      </c>
      <c r="FY38">
        <v>-8529959.2540000007</v>
      </c>
      <c r="FZ38">
        <v>396450.28200000001</v>
      </c>
      <c r="GA38">
        <v>2.1000000000000001E-2</v>
      </c>
      <c r="GC38">
        <v>-8531429.0160000008</v>
      </c>
      <c r="GD38">
        <v>397319.04300000001</v>
      </c>
      <c r="GE38">
        <v>127.193</v>
      </c>
      <c r="GG38">
        <v>-8530613.5030000005</v>
      </c>
      <c r="GH38">
        <v>396862.033</v>
      </c>
      <c r="GI38">
        <v>57.921999999999997</v>
      </c>
      <c r="GO38">
        <v>-8532833.6270000003</v>
      </c>
      <c r="GP38">
        <v>398101.26899999997</v>
      </c>
      <c r="GQ38">
        <v>0.14599999999999999</v>
      </c>
      <c r="GS38">
        <v>-8531266.5840000007</v>
      </c>
      <c r="GT38">
        <v>397140.277</v>
      </c>
      <c r="GU38">
        <v>2.5999999999999999E-2</v>
      </c>
      <c r="HE38">
        <v>-8533783.9570000004</v>
      </c>
      <c r="HF38">
        <v>398285.75900000002</v>
      </c>
      <c r="HG38">
        <v>7.2999999999999995E-2</v>
      </c>
      <c r="HI38">
        <v>-8532839.3220000006</v>
      </c>
      <c r="HJ38">
        <v>398098.81900000002</v>
      </c>
      <c r="HK38">
        <v>0.159</v>
      </c>
      <c r="HM38">
        <v>-8532229.9269999992</v>
      </c>
      <c r="HN38">
        <v>397908.99800000002</v>
      </c>
      <c r="HO38">
        <v>8.3000000000000004E-2</v>
      </c>
      <c r="HU38">
        <v>-8532855.4879999999</v>
      </c>
      <c r="HV38">
        <v>398155.51199999999</v>
      </c>
      <c r="HW38">
        <v>6.2E-2</v>
      </c>
      <c r="HY38">
        <v>-8535559.0419999994</v>
      </c>
      <c r="HZ38">
        <v>399837.66899999999</v>
      </c>
      <c r="IA38">
        <v>0.16200000000000001</v>
      </c>
      <c r="IK38">
        <v>-8532282.7280000001</v>
      </c>
      <c r="IL38">
        <v>397604.45899999997</v>
      </c>
      <c r="IM38">
        <v>4.3999999999999997E-2</v>
      </c>
      <c r="IO38">
        <v>-8534175.8359999992</v>
      </c>
      <c r="IP38">
        <v>399884.1</v>
      </c>
      <c r="IQ38">
        <v>3.7999999999999999E-2</v>
      </c>
    </row>
    <row r="39" spans="31:251" x14ac:dyDescent="0.3">
      <c r="AK39" s="73">
        <v>-8531248.7050000001</v>
      </c>
      <c r="AL39">
        <v>397124.06699999998</v>
      </c>
      <c r="AM39" s="74">
        <v>3.9E-2</v>
      </c>
      <c r="AO39" s="73">
        <v>-8531248.7050000001</v>
      </c>
      <c r="AP39">
        <v>397124.06699999998</v>
      </c>
      <c r="AQ39" s="74">
        <v>3.9E-2</v>
      </c>
      <c r="AW39" s="73">
        <v>-8532469.3029999994</v>
      </c>
      <c r="AX39">
        <v>396861.08299999998</v>
      </c>
      <c r="AY39" s="74">
        <v>5.2999999999999999E-2</v>
      </c>
      <c r="BA39" s="73">
        <v>-8532710.8969999999</v>
      </c>
      <c r="BB39">
        <v>397229.51199999999</v>
      </c>
      <c r="BC39" s="74">
        <v>3.3000000000000002E-2</v>
      </c>
      <c r="BE39" s="73">
        <v>-8532710.8969999999</v>
      </c>
      <c r="BF39">
        <v>397229.51199999999</v>
      </c>
      <c r="BG39" s="74">
        <v>3.3000000000000002E-2</v>
      </c>
      <c r="BI39" s="73">
        <v>-8532710.8969999999</v>
      </c>
      <c r="BJ39">
        <v>397229.51199999999</v>
      </c>
      <c r="BK39" s="74">
        <v>3.3000000000000002E-2</v>
      </c>
      <c r="BM39" s="73">
        <v>-8532710.8969999999</v>
      </c>
      <c r="BN39">
        <v>397229.51199999999</v>
      </c>
      <c r="BO39" s="74">
        <v>3.3000000000000002E-2</v>
      </c>
      <c r="BQ39" s="73">
        <v>-8532710.8969999999</v>
      </c>
      <c r="BR39">
        <v>397229.51199999999</v>
      </c>
      <c r="BS39" s="74">
        <v>3.3000000000000002E-2</v>
      </c>
      <c r="BU39" s="73">
        <v>-8532710.8969999999</v>
      </c>
      <c r="BV39">
        <v>397229.51199999999</v>
      </c>
      <c r="BW39" s="74">
        <v>3.3000000000000002E-2</v>
      </c>
      <c r="BY39" s="73">
        <v>-8532710.8969999999</v>
      </c>
      <c r="BZ39">
        <v>397229.51199999999</v>
      </c>
      <c r="CA39" s="74">
        <v>3.3000000000000002E-2</v>
      </c>
      <c r="CC39" s="73">
        <v>-8532710.8969999999</v>
      </c>
      <c r="CD39">
        <v>397229.51199999999</v>
      </c>
      <c r="CE39" s="74">
        <v>3.3000000000000002E-2</v>
      </c>
      <c r="CG39" s="73">
        <v>-8532288.1940000001</v>
      </c>
      <c r="CH39">
        <v>398757.83399999997</v>
      </c>
      <c r="CI39" s="74"/>
      <c r="CK39" s="73">
        <v>-8532291.7329999991</v>
      </c>
      <c r="CL39">
        <v>398788.24</v>
      </c>
      <c r="CM39" s="74">
        <v>1.2999999999999999E-2</v>
      </c>
      <c r="CO39" s="73">
        <v>-8533802.3100000005</v>
      </c>
      <c r="CP39">
        <v>398394.73599999998</v>
      </c>
      <c r="CQ39" s="74">
        <v>59.237000000000002</v>
      </c>
      <c r="CS39" s="73">
        <v>-8533802.3100000005</v>
      </c>
      <c r="CT39">
        <v>398394.73599999998</v>
      </c>
      <c r="CU39" s="74">
        <v>59.237000000000002</v>
      </c>
      <c r="CW39" s="73">
        <v>-8533802.3100000005</v>
      </c>
      <c r="CX39">
        <v>398394.73599999998</v>
      </c>
      <c r="CY39" s="74">
        <v>59.237000000000002</v>
      </c>
      <c r="DA39" s="73">
        <v>-8534057.4340000004</v>
      </c>
      <c r="DB39">
        <v>398075.11499999999</v>
      </c>
      <c r="DC39" s="74">
        <v>35.822000000000003</v>
      </c>
      <c r="DE39" s="73">
        <v>-8533804.8399999999</v>
      </c>
      <c r="DF39">
        <v>398441.00400000002</v>
      </c>
      <c r="DG39" s="74">
        <v>2.8000000000000001E-2</v>
      </c>
      <c r="DI39" s="73">
        <v>-8531830.1940000001</v>
      </c>
      <c r="DJ39">
        <v>397716.08600000001</v>
      </c>
      <c r="DK39" s="74">
        <v>43.167999999999999</v>
      </c>
      <c r="DM39" s="73">
        <v>-8532710.8969999999</v>
      </c>
      <c r="DN39">
        <v>397229.51199999999</v>
      </c>
      <c r="DO39" s="74">
        <v>3.3000000000000002E-2</v>
      </c>
      <c r="DQ39" s="73">
        <v>-8532710.8969999999</v>
      </c>
      <c r="DR39">
        <v>397229.51199999999</v>
      </c>
      <c r="DS39" s="74">
        <v>3.3000000000000002E-2</v>
      </c>
      <c r="DU39" s="73">
        <v>-8533802.3100000005</v>
      </c>
      <c r="DV39">
        <v>398394.73599999998</v>
      </c>
      <c r="DW39" s="74">
        <v>59.237000000000002</v>
      </c>
      <c r="DY39" s="73">
        <v>-8534000.8650000002</v>
      </c>
      <c r="DZ39">
        <v>398228.54</v>
      </c>
      <c r="EA39" s="74">
        <v>1.7000000000000001E-2</v>
      </c>
      <c r="EC39" s="73">
        <v>-8533794.75</v>
      </c>
      <c r="ED39">
        <v>398282.27899999998</v>
      </c>
      <c r="EE39" s="74">
        <v>2.1999999999999999E-2</v>
      </c>
      <c r="EG39" s="73">
        <v>-8540316.0590000004</v>
      </c>
      <c r="EH39">
        <v>395002.12400000001</v>
      </c>
      <c r="EI39" s="74">
        <v>0.12</v>
      </c>
      <c r="EK39">
        <v>-8534075.2589999996</v>
      </c>
      <c r="EL39">
        <v>398583.43199999997</v>
      </c>
      <c r="EM39">
        <v>7.3999999999999996E-2</v>
      </c>
      <c r="ES39">
        <v>-8532426.7970000003</v>
      </c>
      <c r="ET39">
        <v>397985.2</v>
      </c>
      <c r="EU39">
        <v>9.7000000000000003E-2</v>
      </c>
      <c r="EW39">
        <v>-8532747.7699999996</v>
      </c>
      <c r="EX39">
        <v>397931.87</v>
      </c>
      <c r="EY39">
        <v>1.7000000000000001E-2</v>
      </c>
      <c r="FA39">
        <v>-8529151.8340000007</v>
      </c>
      <c r="FB39">
        <v>396447.495</v>
      </c>
      <c r="FC39">
        <v>0.11899999999999999</v>
      </c>
      <c r="FE39">
        <v>-8532906.977</v>
      </c>
      <c r="FF39">
        <v>396295.50400000002</v>
      </c>
      <c r="FG39">
        <v>0.161</v>
      </c>
      <c r="FM39">
        <v>-8528853.9489999991</v>
      </c>
      <c r="FN39">
        <v>395167.05800000002</v>
      </c>
      <c r="FO39">
        <v>94.17</v>
      </c>
      <c r="FQ39">
        <v>-8532263.0429999996</v>
      </c>
      <c r="FR39">
        <v>397713.87900000002</v>
      </c>
      <c r="FS39">
        <v>47.628999999999998</v>
      </c>
      <c r="FU39">
        <v>-8533803.1349999998</v>
      </c>
      <c r="FV39">
        <v>398430.57900000003</v>
      </c>
      <c r="FW39">
        <v>6.0999999999999999E-2</v>
      </c>
      <c r="FY39">
        <v>-8529968.0439999998</v>
      </c>
      <c r="FZ39">
        <v>396486.27899999998</v>
      </c>
      <c r="GA39">
        <v>3.6999999999999998E-2</v>
      </c>
      <c r="GC39">
        <v>-8531489.2909999993</v>
      </c>
      <c r="GD39">
        <v>397488.56699999998</v>
      </c>
      <c r="GE39">
        <v>178.512</v>
      </c>
      <c r="GG39">
        <v>-8530645.5240000002</v>
      </c>
      <c r="GH39">
        <v>396875.21799999999</v>
      </c>
      <c r="GI39">
        <v>34.53</v>
      </c>
      <c r="GO39">
        <v>-8532841.3969999999</v>
      </c>
      <c r="GP39">
        <v>398147.88799999998</v>
      </c>
      <c r="GQ39">
        <v>4.7E-2</v>
      </c>
      <c r="GS39">
        <v>-8531278.2390000001</v>
      </c>
      <c r="GT39">
        <v>397175.77100000001</v>
      </c>
      <c r="GU39">
        <v>3.6999999999999998E-2</v>
      </c>
      <c r="HE39">
        <v>-8533764.8859999999</v>
      </c>
      <c r="HF39">
        <v>398255.56300000002</v>
      </c>
      <c r="HG39">
        <v>3.5000000000000003E-2</v>
      </c>
      <c r="HI39">
        <v>-8532839.3220000006</v>
      </c>
      <c r="HJ39">
        <v>398142.92200000002</v>
      </c>
      <c r="HK39">
        <v>4.3999999999999997E-2</v>
      </c>
      <c r="HM39">
        <v>-8532337.2050000001</v>
      </c>
      <c r="HN39">
        <v>397989.45500000002</v>
      </c>
      <c r="HO39">
        <v>0.13400000000000001</v>
      </c>
      <c r="HU39">
        <v>-8531849.7640000004</v>
      </c>
      <c r="HV39">
        <v>398006.66499999998</v>
      </c>
      <c r="HY39">
        <v>-8535398.1260000002</v>
      </c>
      <c r="HZ39">
        <v>399773.30300000001</v>
      </c>
      <c r="IA39">
        <v>0.17299999999999999</v>
      </c>
      <c r="IK39">
        <v>-8532278.7050000001</v>
      </c>
      <c r="IL39">
        <v>397666.14299999998</v>
      </c>
      <c r="IM39">
        <v>6.0999999999999999E-2</v>
      </c>
      <c r="IO39">
        <v>-8534176.3389999997</v>
      </c>
      <c r="IP39">
        <v>399843.70400000003</v>
      </c>
      <c r="IQ39">
        <v>0.04</v>
      </c>
    </row>
    <row r="40" spans="31:251" ht="15" thickBot="1" x14ac:dyDescent="0.35">
      <c r="AK40" s="73">
        <v>-8531145.625</v>
      </c>
      <c r="AL40">
        <v>397090.24400000001</v>
      </c>
      <c r="AM40" s="74">
        <v>0.108</v>
      </c>
      <c r="AO40" s="73">
        <v>-8531145.625</v>
      </c>
      <c r="AP40">
        <v>397090.24400000001</v>
      </c>
      <c r="AQ40" s="74">
        <v>0.108</v>
      </c>
      <c r="AW40" s="73">
        <v>-8532448.1640000008</v>
      </c>
      <c r="AX40">
        <v>396853.83500000002</v>
      </c>
      <c r="AY40" s="74">
        <v>2.1999999999999999E-2</v>
      </c>
      <c r="BA40" s="73">
        <v>-8532649.2899999991</v>
      </c>
      <c r="BB40">
        <v>397173.946</v>
      </c>
      <c r="BC40" s="74">
        <v>8.3000000000000004E-2</v>
      </c>
      <c r="BE40" s="73">
        <v>-8532649.2899999991</v>
      </c>
      <c r="BF40">
        <v>397173.946</v>
      </c>
      <c r="BG40" s="74">
        <v>8.3000000000000004E-2</v>
      </c>
      <c r="BI40" s="73">
        <v>-8532649.2899999991</v>
      </c>
      <c r="BJ40">
        <v>397173.946</v>
      </c>
      <c r="BK40" s="74">
        <v>8.3000000000000004E-2</v>
      </c>
      <c r="BM40" s="73">
        <v>-8532649.2899999991</v>
      </c>
      <c r="BN40">
        <v>397173.946</v>
      </c>
      <c r="BO40" s="74">
        <v>8.3000000000000004E-2</v>
      </c>
      <c r="BQ40" s="73">
        <v>-8532649.2899999991</v>
      </c>
      <c r="BR40">
        <v>397173.946</v>
      </c>
      <c r="BS40" s="74">
        <v>8.3000000000000004E-2</v>
      </c>
      <c r="BU40" s="73">
        <v>-8532649.2899999991</v>
      </c>
      <c r="BV40">
        <v>397173.946</v>
      </c>
      <c r="BW40" s="74">
        <v>8.3000000000000004E-2</v>
      </c>
      <c r="BY40" s="73">
        <v>-8532649.2899999991</v>
      </c>
      <c r="BZ40">
        <v>397173.946</v>
      </c>
      <c r="CA40" s="74">
        <v>8.3000000000000004E-2</v>
      </c>
      <c r="CC40" s="73">
        <v>-8532649.2899999991</v>
      </c>
      <c r="CD40">
        <v>397173.946</v>
      </c>
      <c r="CE40" s="74">
        <v>8.3000000000000004E-2</v>
      </c>
      <c r="CG40" s="73">
        <v>-8532585.5510000009</v>
      </c>
      <c r="CH40">
        <v>398929.82699999999</v>
      </c>
      <c r="CI40" s="74">
        <v>0.34399999999999997</v>
      </c>
      <c r="CK40" s="73">
        <v>-8532282.6730000004</v>
      </c>
      <c r="CL40">
        <v>398804.54800000001</v>
      </c>
      <c r="CM40" s="74">
        <v>1.9E-2</v>
      </c>
      <c r="CO40" s="73">
        <v>-8533798.8699999992</v>
      </c>
      <c r="CP40">
        <v>398422.255</v>
      </c>
      <c r="CQ40" s="74">
        <v>27.733000000000001</v>
      </c>
      <c r="CS40" s="73">
        <v>-8533798.8699999992</v>
      </c>
      <c r="CT40">
        <v>398422.255</v>
      </c>
      <c r="CU40" s="74">
        <v>27.733000000000001</v>
      </c>
      <c r="CW40" s="73">
        <v>-8533798.8699999992</v>
      </c>
      <c r="CX40">
        <v>398422.255</v>
      </c>
      <c r="CY40" s="74">
        <v>27.733000000000001</v>
      </c>
      <c r="DA40" s="73">
        <v>-8534028.7679999992</v>
      </c>
      <c r="DB40">
        <v>398049.88900000002</v>
      </c>
      <c r="DC40" s="74">
        <v>38.183999999999997</v>
      </c>
      <c r="DE40" s="73">
        <v>-8533836.5850000009</v>
      </c>
      <c r="DF40">
        <v>398483.179</v>
      </c>
      <c r="DG40" s="74">
        <v>5.2999999999999999E-2</v>
      </c>
      <c r="DI40" s="73">
        <v>-8531797.9959999993</v>
      </c>
      <c r="DJ40">
        <v>397709.73700000002</v>
      </c>
      <c r="DK40" s="74">
        <v>32.817999999999998</v>
      </c>
      <c r="DM40" s="73">
        <v>-8532649.2899999991</v>
      </c>
      <c r="DN40">
        <v>397173.946</v>
      </c>
      <c r="DO40" s="74">
        <v>8.3000000000000004E-2</v>
      </c>
      <c r="DQ40" s="73">
        <v>-8532649.2899999991</v>
      </c>
      <c r="DR40">
        <v>397173.946</v>
      </c>
      <c r="DS40" s="74">
        <v>8.3000000000000004E-2</v>
      </c>
      <c r="DU40" s="73">
        <v>-8533798.8699999992</v>
      </c>
      <c r="DV40">
        <v>398422.255</v>
      </c>
      <c r="DW40" s="74">
        <v>27.733000000000001</v>
      </c>
      <c r="DY40" s="73">
        <v>-8534008.1209999993</v>
      </c>
      <c r="DZ40">
        <v>398197.70199999999</v>
      </c>
      <c r="EA40" s="74">
        <v>3.2000000000000001E-2</v>
      </c>
      <c r="EC40" s="73">
        <v>-8533818.3320000004</v>
      </c>
      <c r="ED40">
        <v>398276.38400000002</v>
      </c>
      <c r="EE40" s="74">
        <v>2.4E-2</v>
      </c>
      <c r="EG40" s="73">
        <v>-8540143.7290000003</v>
      </c>
      <c r="EH40">
        <v>394932.28600000002</v>
      </c>
      <c r="EI40" s="74">
        <v>0.186</v>
      </c>
      <c r="EK40">
        <v>-8534005.5859999992</v>
      </c>
      <c r="EL40">
        <v>398571.08399999997</v>
      </c>
      <c r="EM40">
        <v>7.0999999999999994E-2</v>
      </c>
      <c r="ES40">
        <v>-8532494.2660000008</v>
      </c>
      <c r="ET40">
        <v>397941.54300000001</v>
      </c>
      <c r="EU40">
        <v>0.08</v>
      </c>
      <c r="EW40">
        <v>-8532731.8949999996</v>
      </c>
      <c r="EX40">
        <v>397954.69</v>
      </c>
      <c r="EY40">
        <v>2.8000000000000001E-2</v>
      </c>
      <c r="FA40">
        <v>-8529206.9000000004</v>
      </c>
      <c r="FB40">
        <v>396489.16700000002</v>
      </c>
      <c r="FC40">
        <v>6.9000000000000006E-2</v>
      </c>
      <c r="FE40">
        <v>-8532921.8599999994</v>
      </c>
      <c r="FF40">
        <v>396402.66100000002</v>
      </c>
      <c r="FG40">
        <v>0.107</v>
      </c>
      <c r="FM40">
        <v>-8528844.0270000007</v>
      </c>
      <c r="FN40">
        <v>395236.511</v>
      </c>
      <c r="FO40">
        <v>69.566999999999993</v>
      </c>
      <c r="FQ40">
        <v>-8532274.9499999993</v>
      </c>
      <c r="FR40">
        <v>397803.17599999998</v>
      </c>
      <c r="FS40">
        <v>89.323999999999998</v>
      </c>
      <c r="FU40">
        <v>-8533796.9959999993</v>
      </c>
      <c r="FV40">
        <v>398409.929</v>
      </c>
      <c r="FW40">
        <v>2.1000000000000001E-2</v>
      </c>
      <c r="FY40">
        <v>-8529981.0199999996</v>
      </c>
      <c r="FZ40">
        <v>396500.09299999999</v>
      </c>
      <c r="GA40">
        <v>1.9E-2</v>
      </c>
      <c r="GC40">
        <v>-8531587.2390000001</v>
      </c>
      <c r="GD40">
        <v>397539.424</v>
      </c>
      <c r="GE40">
        <v>109.996</v>
      </c>
      <c r="GG40">
        <v>-8530700.1490000002</v>
      </c>
      <c r="GH40">
        <v>396877.10200000001</v>
      </c>
      <c r="GI40">
        <v>54.552</v>
      </c>
      <c r="GO40">
        <v>-8532150.5840000007</v>
      </c>
      <c r="GP40">
        <v>397543.25099999999</v>
      </c>
      <c r="GS40">
        <v>-8531324.3289999999</v>
      </c>
      <c r="GT40">
        <v>397209.67599999998</v>
      </c>
      <c r="GU40">
        <v>5.7000000000000002E-2</v>
      </c>
      <c r="HE40">
        <v>-8533769.6539999992</v>
      </c>
      <c r="HF40">
        <v>398190.402</v>
      </c>
      <c r="HG40">
        <v>6.5000000000000002E-2</v>
      </c>
      <c r="HI40">
        <v>-8532078.8450000007</v>
      </c>
      <c r="HJ40">
        <v>397894.99200000003</v>
      </c>
      <c r="HM40">
        <v>-8532401.5710000005</v>
      </c>
      <c r="HN40">
        <v>397991.24300000002</v>
      </c>
      <c r="HO40">
        <v>6.4000000000000001E-2</v>
      </c>
      <c r="HW40" s="77">
        <f>SUM(HW$3:HW39)</f>
        <v>2.1290000000000004</v>
      </c>
      <c r="HY40">
        <v>-8535323.0319999997</v>
      </c>
      <c r="HZ40">
        <v>399923.49099999998</v>
      </c>
      <c r="IA40">
        <v>0.16700000000000001</v>
      </c>
      <c r="IK40">
        <v>-8532258.5899999999</v>
      </c>
      <c r="IL40">
        <v>397690.28</v>
      </c>
      <c r="IM40">
        <v>3.1E-2</v>
      </c>
      <c r="IO40">
        <v>-8534162.7620000001</v>
      </c>
      <c r="IP40">
        <v>399738.94099999999</v>
      </c>
      <c r="IQ40">
        <v>0.105</v>
      </c>
    </row>
    <row r="41" spans="31:251" ht="15" thickBot="1" x14ac:dyDescent="0.35">
      <c r="AK41" s="73">
        <v>-8531069.9260000009</v>
      </c>
      <c r="AL41">
        <v>397020.98700000002</v>
      </c>
      <c r="AM41" s="74">
        <v>0.10299999999999999</v>
      </c>
      <c r="AO41" s="73">
        <v>-8531069.9260000009</v>
      </c>
      <c r="AP41">
        <v>397020.98700000002</v>
      </c>
      <c r="AQ41" s="74">
        <v>0.10299999999999999</v>
      </c>
      <c r="AW41" s="73">
        <v>-8532427.0250000004</v>
      </c>
      <c r="AX41">
        <v>396862.89399999997</v>
      </c>
      <c r="AY41" s="74">
        <v>2.3E-2</v>
      </c>
      <c r="BA41" s="73">
        <v>-8532586.4759999998</v>
      </c>
      <c r="BB41">
        <v>397090.59600000002</v>
      </c>
      <c r="BC41" s="74">
        <v>0.104</v>
      </c>
      <c r="BE41" s="73">
        <v>-8532586.4759999998</v>
      </c>
      <c r="BF41">
        <v>397090.59600000002</v>
      </c>
      <c r="BG41" s="74">
        <v>0.104</v>
      </c>
      <c r="BI41" s="73">
        <v>-8532586.4759999998</v>
      </c>
      <c r="BJ41">
        <v>397090.59600000002</v>
      </c>
      <c r="BK41" s="74">
        <v>0.104</v>
      </c>
      <c r="BM41" s="73">
        <v>-8532586.4759999998</v>
      </c>
      <c r="BN41">
        <v>397090.59600000002</v>
      </c>
      <c r="BO41" s="74">
        <v>0.104</v>
      </c>
      <c r="BQ41" s="73">
        <v>-8532586.4759999998</v>
      </c>
      <c r="BR41">
        <v>397090.59600000002</v>
      </c>
      <c r="BS41" s="74">
        <v>0.104</v>
      </c>
      <c r="BU41" s="73">
        <v>-8532586.4759999998</v>
      </c>
      <c r="BV41">
        <v>397090.59600000002</v>
      </c>
      <c r="BW41" s="74">
        <v>0.104</v>
      </c>
      <c r="BY41" s="73">
        <v>-8532586.4759999998</v>
      </c>
      <c r="BZ41">
        <v>397090.59600000002</v>
      </c>
      <c r="CA41" s="74">
        <v>0.104</v>
      </c>
      <c r="CC41" s="73">
        <v>-8532586.4759999998</v>
      </c>
      <c r="CD41">
        <v>397090.59600000002</v>
      </c>
      <c r="CE41" s="74">
        <v>0.104</v>
      </c>
      <c r="CG41" s="73">
        <v>-8532629.8870000001</v>
      </c>
      <c r="CH41">
        <v>398916.83199999999</v>
      </c>
      <c r="CI41" s="74">
        <v>4.5999999999999999E-2</v>
      </c>
      <c r="CK41" s="73">
        <v>-8532243.716</v>
      </c>
      <c r="CL41">
        <v>398822.21399999998</v>
      </c>
      <c r="CM41" s="74">
        <v>4.2999999999999997E-2</v>
      </c>
      <c r="CO41" s="73">
        <v>-8533842.4419999998</v>
      </c>
      <c r="CP41">
        <v>398488.75900000002</v>
      </c>
      <c r="CQ41" s="74">
        <v>79.507000000000005</v>
      </c>
      <c r="CS41" s="73">
        <v>-8533842.4419999998</v>
      </c>
      <c r="CT41">
        <v>398488.75900000002</v>
      </c>
      <c r="CU41" s="74">
        <v>79.507000000000005</v>
      </c>
      <c r="CW41" s="73">
        <v>-8533842.4419999998</v>
      </c>
      <c r="CX41">
        <v>398488.75900000002</v>
      </c>
      <c r="CY41" s="74">
        <v>79.507000000000005</v>
      </c>
      <c r="DA41" s="73">
        <v>-8534024.1809999999</v>
      </c>
      <c r="DB41">
        <v>398018.93</v>
      </c>
      <c r="DC41" s="74">
        <v>31.297000000000001</v>
      </c>
      <c r="DE41" s="73">
        <v>-8533877.4000000004</v>
      </c>
      <c r="DF41">
        <v>398510.38900000002</v>
      </c>
      <c r="DG41" s="74">
        <v>4.9000000000000002E-2</v>
      </c>
      <c r="DI41" s="73">
        <v>-8531781.216</v>
      </c>
      <c r="DJ41">
        <v>397692.95799999998</v>
      </c>
      <c r="DK41" s="74">
        <v>23.73</v>
      </c>
      <c r="DM41" s="73">
        <v>-8532586.4759999998</v>
      </c>
      <c r="DN41">
        <v>397090.59600000002</v>
      </c>
      <c r="DO41" s="74">
        <v>0.104</v>
      </c>
      <c r="DQ41" s="73">
        <v>-8532586.4759999998</v>
      </c>
      <c r="DR41">
        <v>397090.59600000002</v>
      </c>
      <c r="DS41" s="74">
        <v>0.104</v>
      </c>
      <c r="DU41" s="73">
        <v>-8533842.4419999998</v>
      </c>
      <c r="DV41">
        <v>398488.75900000002</v>
      </c>
      <c r="DW41" s="74">
        <v>79.507000000000005</v>
      </c>
      <c r="DY41" s="73">
        <v>-8534014.4700000007</v>
      </c>
      <c r="DZ41">
        <v>398184.09700000001</v>
      </c>
      <c r="EA41" s="74">
        <v>1.4999999999999999E-2</v>
      </c>
      <c r="EC41" s="73">
        <v>-8533845.5409999993</v>
      </c>
      <c r="ED41">
        <v>398262.77899999998</v>
      </c>
      <c r="EE41" s="74">
        <v>0.03</v>
      </c>
      <c r="EG41" s="73">
        <v>-8540115.159</v>
      </c>
      <c r="EH41">
        <v>394924.576</v>
      </c>
      <c r="EI41" s="74">
        <v>0.03</v>
      </c>
      <c r="EK41">
        <v>-8533977.8039999995</v>
      </c>
      <c r="EL41">
        <v>398583.43199999997</v>
      </c>
      <c r="EM41">
        <v>0.03</v>
      </c>
      <c r="ES41">
        <v>-8532597.4529999997</v>
      </c>
      <c r="ET41">
        <v>397915.74599999998</v>
      </c>
      <c r="EU41">
        <v>0.106</v>
      </c>
      <c r="EW41">
        <v>-8532731.8949999996</v>
      </c>
      <c r="EX41">
        <v>397986.44</v>
      </c>
      <c r="EY41">
        <v>3.1E-2</v>
      </c>
      <c r="FA41">
        <v>-8529230.7129999995</v>
      </c>
      <c r="FB41">
        <v>396536.79200000002</v>
      </c>
      <c r="FC41">
        <v>5.2999999999999999E-2</v>
      </c>
      <c r="FE41">
        <v>-8532859.352</v>
      </c>
      <c r="FF41">
        <v>396555.95400000003</v>
      </c>
      <c r="FG41">
        <v>0.16400000000000001</v>
      </c>
      <c r="FM41">
        <v>-8528809.3010000009</v>
      </c>
      <c r="FN41">
        <v>395274.21399999998</v>
      </c>
      <c r="FO41">
        <v>50.976999999999997</v>
      </c>
      <c r="FQ41">
        <v>-8532207.2329999991</v>
      </c>
      <c r="FR41">
        <v>397885.03100000002</v>
      </c>
      <c r="FS41">
        <v>105.611</v>
      </c>
      <c r="FU41">
        <v>-8533812.0649999995</v>
      </c>
      <c r="FV41">
        <v>398385.37300000002</v>
      </c>
      <c r="FW41">
        <v>2.9000000000000001E-2</v>
      </c>
      <c r="FY41">
        <v>-8530002.7860000003</v>
      </c>
      <c r="FZ41">
        <v>396503.86</v>
      </c>
      <c r="GA41">
        <v>2.1999999999999999E-2</v>
      </c>
      <c r="GC41">
        <v>-8531655.0490000006</v>
      </c>
      <c r="GD41">
        <v>397569.56199999998</v>
      </c>
      <c r="GE41">
        <v>73.980999999999995</v>
      </c>
      <c r="GG41">
        <v>-8530728.8739999998</v>
      </c>
      <c r="GH41">
        <v>396920.424</v>
      </c>
      <c r="GI41">
        <v>51.640999999999998</v>
      </c>
      <c r="GQ41" s="77">
        <f>SUM(GQ$3:GQ40)</f>
        <v>2.3290000000000006</v>
      </c>
      <c r="GS41">
        <v>-8531359.2929999996</v>
      </c>
      <c r="GT41">
        <v>397259.47399999999</v>
      </c>
      <c r="GU41">
        <v>0.06</v>
      </c>
      <c r="HE41">
        <v>-8533712.4389999993</v>
      </c>
      <c r="HF41">
        <v>398137.95500000002</v>
      </c>
      <c r="HG41">
        <v>7.6999999999999999E-2</v>
      </c>
      <c r="HK41" s="77">
        <f>SUM(HK$3:HK40)</f>
        <v>2.0910000000000002</v>
      </c>
      <c r="HM41">
        <v>-8532442.6940000001</v>
      </c>
      <c r="HN41">
        <v>397980.516</v>
      </c>
      <c r="HO41">
        <v>4.2000000000000003E-2</v>
      </c>
      <c r="HY41">
        <v>-8535162.1160000004</v>
      </c>
      <c r="HZ41">
        <v>399880.58</v>
      </c>
      <c r="IA41">
        <v>0.16600000000000001</v>
      </c>
      <c r="IK41">
        <v>-8532276.023</v>
      </c>
      <c r="IL41">
        <v>397766.71600000001</v>
      </c>
      <c r="IM41">
        <v>7.8E-2</v>
      </c>
      <c r="IO41">
        <v>-8534176.1710000001</v>
      </c>
      <c r="IP41">
        <v>399620.93599999999</v>
      </c>
      <c r="IQ41">
        <v>0.11799999999999999</v>
      </c>
    </row>
    <row r="42" spans="31:251" x14ac:dyDescent="0.3">
      <c r="AK42" s="73">
        <v>-8531007.1119999997</v>
      </c>
      <c r="AL42">
        <v>397041.92499999999</v>
      </c>
      <c r="AM42" s="74">
        <v>6.6000000000000003E-2</v>
      </c>
      <c r="AO42" s="73">
        <v>-8531007.1119999997</v>
      </c>
      <c r="AP42">
        <v>397041.92499999999</v>
      </c>
      <c r="AQ42" s="74">
        <v>6.6000000000000003E-2</v>
      </c>
      <c r="AW42" s="73">
        <v>-8532424.0050000008</v>
      </c>
      <c r="AX42">
        <v>396876.18199999997</v>
      </c>
      <c r="AY42" s="74">
        <v>1.4E-2</v>
      </c>
      <c r="BA42" s="73">
        <v>-8532563.5250000004</v>
      </c>
      <c r="BB42">
        <v>397030.19799999997</v>
      </c>
      <c r="BC42" s="74">
        <v>6.5000000000000002E-2</v>
      </c>
      <c r="BE42" s="73">
        <v>-8532563.5250000004</v>
      </c>
      <c r="BF42">
        <v>397030.19799999997</v>
      </c>
      <c r="BG42" s="74">
        <v>6.5000000000000002E-2</v>
      </c>
      <c r="BI42" s="73">
        <v>-8532563.5250000004</v>
      </c>
      <c r="BJ42">
        <v>397030.19799999997</v>
      </c>
      <c r="BK42" s="74">
        <v>6.5000000000000002E-2</v>
      </c>
      <c r="BM42" s="73">
        <v>-8532563.5250000004</v>
      </c>
      <c r="BN42">
        <v>397030.19799999997</v>
      </c>
      <c r="BO42" s="74">
        <v>6.5000000000000002E-2</v>
      </c>
      <c r="BQ42" s="73">
        <v>-8532563.5250000004</v>
      </c>
      <c r="BR42">
        <v>397030.19799999997</v>
      </c>
      <c r="BS42" s="74">
        <v>6.5000000000000002E-2</v>
      </c>
      <c r="BU42" s="73">
        <v>-8532563.5250000004</v>
      </c>
      <c r="BV42">
        <v>397030.19799999997</v>
      </c>
      <c r="BW42" s="74">
        <v>6.5000000000000002E-2</v>
      </c>
      <c r="BY42" s="73">
        <v>-8532563.5250000004</v>
      </c>
      <c r="BZ42">
        <v>397030.19799999997</v>
      </c>
      <c r="CA42" s="74">
        <v>6.5000000000000002E-2</v>
      </c>
      <c r="CC42" s="73">
        <v>-8532563.5250000004</v>
      </c>
      <c r="CD42">
        <v>397030.19799999997</v>
      </c>
      <c r="CE42" s="74">
        <v>6.5000000000000002E-2</v>
      </c>
      <c r="CG42" s="73">
        <v>-8532691.0409999993</v>
      </c>
      <c r="CH42">
        <v>398949.70199999999</v>
      </c>
      <c r="CI42" s="74">
        <v>6.9000000000000006E-2</v>
      </c>
      <c r="CK42" s="73">
        <v>-8532231.0319999997</v>
      </c>
      <c r="CL42">
        <v>398847.12900000002</v>
      </c>
      <c r="CM42" s="74">
        <v>2.8000000000000001E-2</v>
      </c>
      <c r="CO42" s="73">
        <v>-8533884.8670000006</v>
      </c>
      <c r="CP42">
        <v>398523.158</v>
      </c>
      <c r="CQ42" s="74">
        <v>54.618000000000002</v>
      </c>
      <c r="CS42" s="73">
        <v>-8533884.8670000006</v>
      </c>
      <c r="CT42">
        <v>398523.158</v>
      </c>
      <c r="CU42" s="74">
        <v>54.618000000000002</v>
      </c>
      <c r="CW42" s="73">
        <v>-8533884.8670000006</v>
      </c>
      <c r="CX42">
        <v>398523.158</v>
      </c>
      <c r="CY42" s="74">
        <v>54.618000000000002</v>
      </c>
      <c r="DA42" s="73">
        <v>-8533987.4900000002</v>
      </c>
      <c r="DB42">
        <v>397946.69300000003</v>
      </c>
      <c r="DC42" s="74">
        <v>81.022000000000006</v>
      </c>
      <c r="DE42" s="73">
        <v>-8533920.9360000007</v>
      </c>
      <c r="DF42">
        <v>398574.78600000002</v>
      </c>
      <c r="DG42" s="74">
        <v>7.8E-2</v>
      </c>
      <c r="DI42" s="73">
        <v>-8531768.5179999992</v>
      </c>
      <c r="DJ42">
        <v>397653.05</v>
      </c>
      <c r="DK42" s="74">
        <v>41.878999999999998</v>
      </c>
      <c r="DM42" s="73">
        <v>-8532563.5250000004</v>
      </c>
      <c r="DN42">
        <v>397030.19799999997</v>
      </c>
      <c r="DO42" s="74">
        <v>6.5000000000000002E-2</v>
      </c>
      <c r="DQ42" s="73">
        <v>-8532563.5250000004</v>
      </c>
      <c r="DR42">
        <v>397030.19799999997</v>
      </c>
      <c r="DS42" s="74">
        <v>6.5000000000000002E-2</v>
      </c>
      <c r="DU42" s="73">
        <v>-8533884.8670000006</v>
      </c>
      <c r="DV42">
        <v>398523.158</v>
      </c>
      <c r="DW42" s="74">
        <v>54.618000000000002</v>
      </c>
      <c r="DY42" s="73">
        <v>-8534047.1219999995</v>
      </c>
      <c r="DZ42">
        <v>398164.14299999998</v>
      </c>
      <c r="EA42" s="74">
        <v>3.7999999999999999E-2</v>
      </c>
      <c r="EC42" s="73">
        <v>-8533883.182</v>
      </c>
      <c r="ED42">
        <v>398236.022</v>
      </c>
      <c r="EE42" s="74">
        <v>4.5999999999999999E-2</v>
      </c>
      <c r="EG42" s="73">
        <v>-8540108.8100000005</v>
      </c>
      <c r="EH42">
        <v>394886.48200000002</v>
      </c>
      <c r="EI42" s="74">
        <v>3.9E-2</v>
      </c>
      <c r="EK42">
        <v>-8533957.5199999996</v>
      </c>
      <c r="EL42">
        <v>398592.25099999999</v>
      </c>
      <c r="EM42">
        <v>2.1999999999999999E-2</v>
      </c>
      <c r="ES42">
        <v>-8532746.2809999995</v>
      </c>
      <c r="ET42">
        <v>397917.73100000003</v>
      </c>
      <c r="EU42">
        <v>0.14899999999999999</v>
      </c>
      <c r="EW42">
        <v>-8532748.7620000001</v>
      </c>
      <c r="EX42">
        <v>398006.28399999999</v>
      </c>
      <c r="EY42">
        <v>2.5999999999999999E-2</v>
      </c>
      <c r="FA42">
        <v>-8529273.8729999997</v>
      </c>
      <c r="FB42">
        <v>396550.18599999999</v>
      </c>
      <c r="FC42">
        <v>4.4999999999999998E-2</v>
      </c>
      <c r="FE42">
        <v>-8532862.3289999999</v>
      </c>
      <c r="FF42">
        <v>396645.25</v>
      </c>
      <c r="FG42">
        <v>8.8999999999999996E-2</v>
      </c>
      <c r="FM42">
        <v>-8528748.7770000007</v>
      </c>
      <c r="FN42">
        <v>395266.27600000001</v>
      </c>
      <c r="FO42">
        <v>60.918999999999997</v>
      </c>
      <c r="FQ42">
        <v>-8532312.9010000005</v>
      </c>
      <c r="FR42">
        <v>397978.049</v>
      </c>
      <c r="FS42">
        <v>140.096</v>
      </c>
      <c r="FU42">
        <v>-8533831.0409999993</v>
      </c>
      <c r="FV42">
        <v>398371.42</v>
      </c>
      <c r="FW42">
        <v>2.3E-2</v>
      </c>
      <c r="FY42">
        <v>-8530031.2489999998</v>
      </c>
      <c r="FZ42">
        <v>396505.11599999998</v>
      </c>
      <c r="GA42">
        <v>2.8000000000000001E-2</v>
      </c>
      <c r="GC42">
        <v>-8531655.0490000006</v>
      </c>
      <c r="GD42">
        <v>397656.20799999998</v>
      </c>
      <c r="GE42">
        <v>85.902000000000001</v>
      </c>
      <c r="GG42">
        <v>-8530757.1280000005</v>
      </c>
      <c r="GH42">
        <v>396950.09100000001</v>
      </c>
      <c r="GI42">
        <v>40.747</v>
      </c>
      <c r="GS42">
        <v>-8531401.409</v>
      </c>
      <c r="GT42">
        <v>397297.88099999999</v>
      </c>
      <c r="GU42">
        <v>5.7000000000000002E-2</v>
      </c>
      <c r="HE42">
        <v>-8533645.6889999993</v>
      </c>
      <c r="HF42">
        <v>398085.50799999997</v>
      </c>
      <c r="HG42">
        <v>8.5000000000000006E-2</v>
      </c>
      <c r="HM42">
        <v>-8532517.7880000006</v>
      </c>
      <c r="HN42">
        <v>397926.87699999998</v>
      </c>
      <c r="HO42">
        <v>9.1999999999999998E-2</v>
      </c>
      <c r="HY42">
        <v>-8535129.9330000002</v>
      </c>
      <c r="HZ42">
        <v>400105.86200000002</v>
      </c>
      <c r="IA42">
        <v>0.22600000000000001</v>
      </c>
      <c r="IK42">
        <v>-8532262.6129999999</v>
      </c>
      <c r="IL42">
        <v>397828.4</v>
      </c>
      <c r="IM42">
        <v>6.3E-2</v>
      </c>
      <c r="IO42">
        <v>-8534189.5810000002</v>
      </c>
      <c r="IP42">
        <v>399604.84399999998</v>
      </c>
      <c r="IQ42">
        <v>2.1000000000000001E-2</v>
      </c>
    </row>
    <row r="43" spans="31:251" ht="15" thickBot="1" x14ac:dyDescent="0.35">
      <c r="AK43" s="73">
        <v>-8530916.9169999994</v>
      </c>
      <c r="AL43">
        <v>397037.09299999999</v>
      </c>
      <c r="AM43" s="74">
        <v>0.09</v>
      </c>
      <c r="AO43" s="73">
        <v>-8530916.9169999994</v>
      </c>
      <c r="AP43">
        <v>397037.09299999999</v>
      </c>
      <c r="AQ43" s="74">
        <v>0.09</v>
      </c>
      <c r="AW43" s="73">
        <v>-8532431.8570000008</v>
      </c>
      <c r="AX43">
        <v>396920.87699999998</v>
      </c>
      <c r="AY43" s="74">
        <v>4.4999999999999998E-2</v>
      </c>
      <c r="BA43" s="73">
        <v>-8532565.9409999996</v>
      </c>
      <c r="BB43">
        <v>396960.136</v>
      </c>
      <c r="BC43" s="74">
        <v>7.0000000000000007E-2</v>
      </c>
      <c r="BE43" s="73">
        <v>-8532565.9409999996</v>
      </c>
      <c r="BF43">
        <v>396960.136</v>
      </c>
      <c r="BG43" s="74">
        <v>7.0000000000000007E-2</v>
      </c>
      <c r="BI43" s="73">
        <v>-8532565.9409999996</v>
      </c>
      <c r="BJ43">
        <v>396960.136</v>
      </c>
      <c r="BK43" s="74">
        <v>7.0000000000000007E-2</v>
      </c>
      <c r="BM43" s="73">
        <v>-8532565.9409999996</v>
      </c>
      <c r="BN43">
        <v>396960.136</v>
      </c>
      <c r="BO43" s="74">
        <v>7.0000000000000007E-2</v>
      </c>
      <c r="BQ43" s="73">
        <v>-8532565.9409999996</v>
      </c>
      <c r="BR43">
        <v>396960.136</v>
      </c>
      <c r="BS43" s="74">
        <v>7.0000000000000007E-2</v>
      </c>
      <c r="BU43" s="73">
        <v>-8532565.9409999996</v>
      </c>
      <c r="BV43">
        <v>396960.136</v>
      </c>
      <c r="BW43" s="74">
        <v>7.0000000000000007E-2</v>
      </c>
      <c r="BY43" s="73">
        <v>-8532565.9409999996</v>
      </c>
      <c r="BZ43">
        <v>396960.136</v>
      </c>
      <c r="CA43" s="74">
        <v>7.0000000000000007E-2</v>
      </c>
      <c r="CC43" s="73">
        <v>-8532565.9409999996</v>
      </c>
      <c r="CD43">
        <v>396960.136</v>
      </c>
      <c r="CE43" s="74">
        <v>7.0000000000000007E-2</v>
      </c>
      <c r="CG43" s="75">
        <v>-8532726.9680000003</v>
      </c>
      <c r="CH43" s="76">
        <v>398918.36099999998</v>
      </c>
      <c r="CI43" s="77"/>
      <c r="CK43" s="73">
        <v>-8532191.6219999995</v>
      </c>
      <c r="CL43">
        <v>398877.93199999997</v>
      </c>
      <c r="CM43" s="74">
        <v>0.05</v>
      </c>
      <c r="CO43" s="73">
        <v>-8533931.8780000005</v>
      </c>
      <c r="CP43">
        <v>398582.78200000001</v>
      </c>
      <c r="CQ43" s="74">
        <v>75.929000000000002</v>
      </c>
      <c r="CS43" s="73">
        <v>-8533931.8780000005</v>
      </c>
      <c r="CT43">
        <v>398582.78200000001</v>
      </c>
      <c r="CU43" s="74">
        <v>75.929000000000002</v>
      </c>
      <c r="CW43" s="73">
        <v>-8533931.8780000005</v>
      </c>
      <c r="CX43">
        <v>398582.78200000001</v>
      </c>
      <c r="CY43" s="74">
        <v>75.929000000000002</v>
      </c>
      <c r="DA43" s="73">
        <v>-8533959.9710000008</v>
      </c>
      <c r="DB43">
        <v>397906.56099999999</v>
      </c>
      <c r="DC43" s="74">
        <v>48.661000000000001</v>
      </c>
      <c r="DE43" s="73">
        <v>-8533940.8900000006</v>
      </c>
      <c r="DF43">
        <v>398589.75099999999</v>
      </c>
      <c r="DG43" s="74">
        <v>2.5000000000000001E-2</v>
      </c>
      <c r="DI43" s="73">
        <v>-8531752.1919999998</v>
      </c>
      <c r="DJ43">
        <v>397647.60800000001</v>
      </c>
      <c r="DK43" s="74">
        <v>17.209</v>
      </c>
      <c r="DM43" s="73">
        <v>-8532565.9409999996</v>
      </c>
      <c r="DN43">
        <v>396960.136</v>
      </c>
      <c r="DO43" s="74">
        <v>7.0000000000000007E-2</v>
      </c>
      <c r="DQ43" s="73">
        <v>-8532565.9409999996</v>
      </c>
      <c r="DR43">
        <v>396960.136</v>
      </c>
      <c r="DS43" s="74">
        <v>7.0000000000000007E-2</v>
      </c>
      <c r="DU43" s="73">
        <v>-8533931.8780000005</v>
      </c>
      <c r="DV43">
        <v>398582.78200000001</v>
      </c>
      <c r="DW43" s="74">
        <v>75.929000000000002</v>
      </c>
      <c r="DY43" s="73">
        <v>-8534082.9480000008</v>
      </c>
      <c r="DZ43">
        <v>398145.549</v>
      </c>
      <c r="EA43" s="74">
        <v>0.04</v>
      </c>
      <c r="EC43" s="73">
        <v>-8533914.4729999993</v>
      </c>
      <c r="ED43">
        <v>398208.81300000002</v>
      </c>
      <c r="EE43" s="74">
        <v>4.1000000000000002E-2</v>
      </c>
      <c r="EG43" s="73">
        <v>-8540109.7170000002</v>
      </c>
      <c r="EH43">
        <v>394793.06199999998</v>
      </c>
      <c r="EI43" s="74">
        <v>9.2999999999999999E-2</v>
      </c>
      <c r="EK43">
        <v>-8533938.9989999998</v>
      </c>
      <c r="EL43">
        <v>398589.16399999999</v>
      </c>
      <c r="EM43">
        <v>1.9E-2</v>
      </c>
      <c r="ES43">
        <v>-8532732.3910000008</v>
      </c>
      <c r="ET43">
        <v>397971.30900000001</v>
      </c>
      <c r="EU43">
        <v>5.5E-2</v>
      </c>
      <c r="EW43">
        <v>-8532750.7459999993</v>
      </c>
      <c r="EX43">
        <v>398017.19799999997</v>
      </c>
      <c r="EY43">
        <v>1.0999999999999999E-2</v>
      </c>
      <c r="FA43">
        <v>-8529325.9629999995</v>
      </c>
      <c r="FB43">
        <v>396490.65500000003</v>
      </c>
      <c r="FC43">
        <v>7.9000000000000001E-2</v>
      </c>
      <c r="FE43">
        <v>-8532978.4140000008</v>
      </c>
      <c r="FF43">
        <v>396770.266</v>
      </c>
      <c r="FG43">
        <v>0.17</v>
      </c>
      <c r="FM43">
        <v>-8528716.0350000001</v>
      </c>
      <c r="FN43">
        <v>395291.08100000001</v>
      </c>
      <c r="FO43">
        <v>40.899000000000001</v>
      </c>
      <c r="FQ43">
        <v>-8532366.4790000003</v>
      </c>
      <c r="FR43">
        <v>397995.16399999999</v>
      </c>
      <c r="FS43">
        <v>56.101999999999997</v>
      </c>
      <c r="FU43">
        <v>-8533858.9460000005</v>
      </c>
      <c r="FV43">
        <v>398348.538</v>
      </c>
      <c r="FW43">
        <v>3.5999999999999997E-2</v>
      </c>
      <c r="FY43">
        <v>-8530051.1319999993</v>
      </c>
      <c r="FZ43">
        <v>396514.22</v>
      </c>
      <c r="GA43">
        <v>2.1999999999999999E-2</v>
      </c>
      <c r="GC43">
        <v>-8531704.0219999999</v>
      </c>
      <c r="GD43">
        <v>397678.81099999999</v>
      </c>
      <c r="GE43">
        <v>53.771000000000001</v>
      </c>
      <c r="GG43">
        <v>-8530806.5720000006</v>
      </c>
      <c r="GH43">
        <v>396959.98</v>
      </c>
      <c r="GI43">
        <v>50.314</v>
      </c>
      <c r="GS43">
        <v>-8531426.0429999996</v>
      </c>
      <c r="GT43">
        <v>397328.60800000001</v>
      </c>
      <c r="GU43">
        <v>3.9E-2</v>
      </c>
      <c r="HE43">
        <v>-8533626.6170000006</v>
      </c>
      <c r="HF43">
        <v>397996.50799999997</v>
      </c>
      <c r="HG43">
        <v>0.09</v>
      </c>
      <c r="HM43">
        <v>-8532585.7300000004</v>
      </c>
      <c r="HN43">
        <v>397910.78499999997</v>
      </c>
      <c r="HO43">
        <v>7.0000000000000007E-2</v>
      </c>
      <c r="HY43">
        <v>-8534926.1060000006</v>
      </c>
      <c r="HZ43">
        <v>400030.76799999998</v>
      </c>
      <c r="IA43">
        <v>0.217</v>
      </c>
      <c r="IK43">
        <v>-8532231.7709999997</v>
      </c>
      <c r="IL43">
        <v>397907.51699999999</v>
      </c>
      <c r="IM43">
        <v>8.4000000000000005E-2</v>
      </c>
      <c r="IO43">
        <v>-8534138.6239999998</v>
      </c>
      <c r="IP43">
        <v>399465.38400000002</v>
      </c>
      <c r="IQ43">
        <v>0.14699999999999999</v>
      </c>
    </row>
    <row r="44" spans="31:251" x14ac:dyDescent="0.3">
      <c r="AK44" s="73">
        <v>-8530870.2090000007</v>
      </c>
      <c r="AL44">
        <v>396991.99599999998</v>
      </c>
      <c r="AM44" s="74">
        <v>6.5000000000000002E-2</v>
      </c>
      <c r="AO44" s="73">
        <v>-8530870.2090000007</v>
      </c>
      <c r="AP44">
        <v>396991.99599999998</v>
      </c>
      <c r="AQ44" s="74">
        <v>6.5000000000000002E-2</v>
      </c>
      <c r="AW44" s="73">
        <v>-8532410.7170000002</v>
      </c>
      <c r="AX44">
        <v>396954.7</v>
      </c>
      <c r="AY44" s="74">
        <v>0.04</v>
      </c>
      <c r="BA44" s="73">
        <v>-8532596.1400000006</v>
      </c>
      <c r="BB44">
        <v>396949.26400000002</v>
      </c>
      <c r="BC44" s="74">
        <v>3.2000000000000001E-2</v>
      </c>
      <c r="BE44" s="73">
        <v>-8532596.1400000006</v>
      </c>
      <c r="BF44">
        <v>396949.26400000002</v>
      </c>
      <c r="BG44" s="74">
        <v>3.2000000000000001E-2</v>
      </c>
      <c r="BI44" s="73">
        <v>-8532596.1400000006</v>
      </c>
      <c r="BJ44">
        <v>396949.26400000002</v>
      </c>
      <c r="BK44" s="74">
        <v>3.2000000000000001E-2</v>
      </c>
      <c r="BM44" s="73">
        <v>-8532596.1400000006</v>
      </c>
      <c r="BN44">
        <v>396949.26400000002</v>
      </c>
      <c r="BO44" s="74">
        <v>3.2000000000000001E-2</v>
      </c>
      <c r="BQ44" s="73">
        <v>-8532596.1400000006</v>
      </c>
      <c r="BR44">
        <v>396949.26400000002</v>
      </c>
      <c r="BS44" s="74">
        <v>3.2000000000000001E-2</v>
      </c>
      <c r="BU44" s="73">
        <v>-8532596.1400000006</v>
      </c>
      <c r="BV44">
        <v>396949.26400000002</v>
      </c>
      <c r="BW44" s="74">
        <v>3.2000000000000001E-2</v>
      </c>
      <c r="BY44" s="73">
        <v>-8532596.1400000006</v>
      </c>
      <c r="BZ44">
        <v>396949.26400000002</v>
      </c>
      <c r="CA44" s="74">
        <v>3.2000000000000001E-2</v>
      </c>
      <c r="CC44" s="73">
        <v>-8532596.1400000006</v>
      </c>
      <c r="CD44">
        <v>396949.26400000002</v>
      </c>
      <c r="CE44" s="74">
        <v>3.2000000000000001E-2</v>
      </c>
      <c r="CI44">
        <f>SUM(CI$3:CI43)</f>
        <v>2.2689999999999992</v>
      </c>
      <c r="CK44" s="73">
        <v>-8532181.2039999999</v>
      </c>
      <c r="CL44">
        <v>398891.06800000003</v>
      </c>
      <c r="CM44" s="74">
        <v>1.7000000000000001E-2</v>
      </c>
      <c r="CO44" s="73">
        <v>-8533950.7980000004</v>
      </c>
      <c r="CP44">
        <v>398590.23599999998</v>
      </c>
      <c r="CQ44" s="74">
        <v>20.334</v>
      </c>
      <c r="CS44" s="73">
        <v>-8533950.7980000004</v>
      </c>
      <c r="CT44">
        <v>398590.23599999998</v>
      </c>
      <c r="CU44" s="74">
        <v>20.334</v>
      </c>
      <c r="CW44" s="73">
        <v>-8533950.7980000004</v>
      </c>
      <c r="CX44">
        <v>398590.23599999998</v>
      </c>
      <c r="CY44" s="74">
        <v>20.334</v>
      </c>
      <c r="DA44" s="73">
        <v>-8533984.0500000007</v>
      </c>
      <c r="DB44">
        <v>397859.55</v>
      </c>
      <c r="DC44" s="74">
        <v>52.819000000000003</v>
      </c>
      <c r="DE44" s="73">
        <v>-8533960.8430000003</v>
      </c>
      <c r="DF44">
        <v>398590.658</v>
      </c>
      <c r="DG44" s="74">
        <v>0.02</v>
      </c>
      <c r="DI44" s="73">
        <v>-8531698.2259999998</v>
      </c>
      <c r="DJ44">
        <v>397673.91100000002</v>
      </c>
      <c r="DK44" s="74">
        <v>60.034999999999997</v>
      </c>
      <c r="DM44" s="73">
        <v>-8532596.1400000006</v>
      </c>
      <c r="DN44">
        <v>396949.26400000002</v>
      </c>
      <c r="DO44" s="74">
        <v>3.2000000000000001E-2</v>
      </c>
      <c r="DQ44" s="73">
        <v>-8532596.1400000006</v>
      </c>
      <c r="DR44">
        <v>396949.26400000002</v>
      </c>
      <c r="DS44" s="74">
        <v>3.2000000000000001E-2</v>
      </c>
      <c r="DU44" s="73">
        <v>-8533950.7980000004</v>
      </c>
      <c r="DV44">
        <v>398590.23599999998</v>
      </c>
      <c r="DW44" s="74">
        <v>20.334</v>
      </c>
      <c r="DY44" s="73">
        <v>-8534100.6339999996</v>
      </c>
      <c r="DZ44">
        <v>398127.18300000002</v>
      </c>
      <c r="EA44" s="74">
        <v>2.5000000000000001E-2</v>
      </c>
      <c r="EC44" s="73">
        <v>-8533935.3340000007</v>
      </c>
      <c r="ED44">
        <v>398202.01</v>
      </c>
      <c r="EE44" s="74">
        <v>2.1999999999999999E-2</v>
      </c>
      <c r="EG44" s="73">
        <v>-8540103.3680000007</v>
      </c>
      <c r="EH44">
        <v>394764.94500000001</v>
      </c>
      <c r="EI44" s="74">
        <v>2.9000000000000001E-2</v>
      </c>
      <c r="EK44">
        <v>-8533926.2109999992</v>
      </c>
      <c r="EL44">
        <v>398582.55</v>
      </c>
      <c r="EM44">
        <v>1.4E-2</v>
      </c>
      <c r="ES44">
        <v>-8532744.2970000003</v>
      </c>
      <c r="ET44">
        <v>398005.04300000001</v>
      </c>
      <c r="EU44">
        <v>3.5000000000000003E-2</v>
      </c>
      <c r="EW44">
        <v>-8532731.8949999996</v>
      </c>
      <c r="EX44">
        <v>398031.08799999999</v>
      </c>
      <c r="EY44">
        <v>2.3E-2</v>
      </c>
      <c r="FA44">
        <v>-8529389.9590000007</v>
      </c>
      <c r="FB44">
        <v>396495.12</v>
      </c>
      <c r="FC44">
        <v>6.4000000000000001E-2</v>
      </c>
      <c r="FE44">
        <v>-8533018.5979999993</v>
      </c>
      <c r="FF44">
        <v>396835.75</v>
      </c>
      <c r="FG44">
        <v>7.5999999999999998E-2</v>
      </c>
      <c r="FM44">
        <v>-8528720.0040000007</v>
      </c>
      <c r="FN44">
        <v>395387.32299999997</v>
      </c>
      <c r="FO44">
        <v>95.5</v>
      </c>
      <c r="FQ44">
        <v>-8532441.6370000001</v>
      </c>
      <c r="FR44">
        <v>397977.30499999999</v>
      </c>
      <c r="FS44">
        <v>77.073999999999998</v>
      </c>
      <c r="FU44">
        <v>-8533915.8729999997</v>
      </c>
      <c r="FV44">
        <v>398327.33</v>
      </c>
      <c r="FW44">
        <v>6.0999999999999999E-2</v>
      </c>
      <c r="FY44">
        <v>-8530066.9330000002</v>
      </c>
      <c r="FZ44">
        <v>396518.98100000003</v>
      </c>
      <c r="GA44">
        <v>1.6E-2</v>
      </c>
      <c r="GC44">
        <v>-8531760.5299999993</v>
      </c>
      <c r="GD44">
        <v>397648.674</v>
      </c>
      <c r="GE44">
        <v>63.825000000000003</v>
      </c>
      <c r="GG44">
        <v>-8530840.477</v>
      </c>
      <c r="GH44">
        <v>396981.17099999997</v>
      </c>
      <c r="GI44">
        <v>39.831000000000003</v>
      </c>
      <c r="GS44">
        <v>-8531457.8289999999</v>
      </c>
      <c r="GT44">
        <v>397423.96500000003</v>
      </c>
      <c r="GU44">
        <v>0.1</v>
      </c>
      <c r="HE44">
        <v>-8533585.2960000001</v>
      </c>
      <c r="HF44">
        <v>397963.13299999997</v>
      </c>
      <c r="HG44">
        <v>5.2999999999999999E-2</v>
      </c>
      <c r="HM44">
        <v>-8532750.2219999991</v>
      </c>
      <c r="HN44">
        <v>397916.14899999998</v>
      </c>
      <c r="HO44">
        <v>0.16400000000000001</v>
      </c>
      <c r="HY44">
        <v>-8534926.1060000006</v>
      </c>
      <c r="HZ44">
        <v>399902.03600000002</v>
      </c>
      <c r="IA44">
        <v>0.128</v>
      </c>
      <c r="IK44">
        <v>-8532297.4780000001</v>
      </c>
      <c r="IL44">
        <v>397963.837</v>
      </c>
      <c r="IM44">
        <v>8.5999999999999993E-2</v>
      </c>
      <c r="IO44">
        <v>-8534165.443</v>
      </c>
      <c r="IP44">
        <v>399368.83399999997</v>
      </c>
      <c r="IQ44">
        <v>9.9000000000000005E-2</v>
      </c>
    </row>
    <row r="45" spans="31:251" x14ac:dyDescent="0.3">
      <c r="AK45" s="73">
        <v>-8530747.8019999992</v>
      </c>
      <c r="AL45">
        <v>396940.45600000001</v>
      </c>
      <c r="AM45" s="74">
        <v>0.13300000000000001</v>
      </c>
      <c r="AO45" s="73">
        <v>-8530747.8019999992</v>
      </c>
      <c r="AP45">
        <v>396940.45600000001</v>
      </c>
      <c r="AQ45" s="74">
        <v>0.13300000000000001</v>
      </c>
      <c r="AW45" s="73">
        <v>-8532247.0380000006</v>
      </c>
      <c r="AX45">
        <v>396949.86800000002</v>
      </c>
      <c r="AY45" s="74">
        <v>0.16400000000000001</v>
      </c>
      <c r="BA45" s="73">
        <v>-8532721.7679999992</v>
      </c>
      <c r="BB45">
        <v>396940.80800000002</v>
      </c>
      <c r="BC45" s="74">
        <v>0.126</v>
      </c>
      <c r="BE45" s="73">
        <v>-8532721.7679999992</v>
      </c>
      <c r="BF45">
        <v>396940.80800000002</v>
      </c>
      <c r="BG45" s="74">
        <v>0.126</v>
      </c>
      <c r="BI45" s="73">
        <v>-8532721.7679999992</v>
      </c>
      <c r="BJ45">
        <v>396940.80800000002</v>
      </c>
      <c r="BK45" s="74">
        <v>0.126</v>
      </c>
      <c r="BM45" s="73">
        <v>-8532721.7679999992</v>
      </c>
      <c r="BN45">
        <v>396940.80800000002</v>
      </c>
      <c r="BO45" s="74">
        <v>0.126</v>
      </c>
      <c r="BQ45" s="73">
        <v>-8532721.7679999992</v>
      </c>
      <c r="BR45">
        <v>396940.80800000002</v>
      </c>
      <c r="BS45" s="74">
        <v>0.126</v>
      </c>
      <c r="BU45" s="73">
        <v>-8532721.7679999992</v>
      </c>
      <c r="BV45">
        <v>396940.80800000002</v>
      </c>
      <c r="BW45" s="74">
        <v>0.126</v>
      </c>
      <c r="BY45" s="73">
        <v>-8532721.7679999992</v>
      </c>
      <c r="BZ45">
        <v>396940.80800000002</v>
      </c>
      <c r="CA45" s="74">
        <v>0.126</v>
      </c>
      <c r="CC45" s="73">
        <v>-8532721.7679999992</v>
      </c>
      <c r="CD45">
        <v>396940.80800000002</v>
      </c>
      <c r="CE45" s="74">
        <v>0.126</v>
      </c>
      <c r="CK45" s="73">
        <v>-8532182.5629999992</v>
      </c>
      <c r="CL45">
        <v>398905.11099999998</v>
      </c>
      <c r="CM45" s="74">
        <v>1.4E-2</v>
      </c>
      <c r="CO45" s="73">
        <v>-8533989.2090000007</v>
      </c>
      <c r="CP45">
        <v>398574.18300000002</v>
      </c>
      <c r="CQ45" s="74">
        <v>41.631</v>
      </c>
      <c r="CS45" s="73">
        <v>-8533989.2090000007</v>
      </c>
      <c r="CT45">
        <v>398574.18300000002</v>
      </c>
      <c r="CU45" s="74">
        <v>41.631</v>
      </c>
      <c r="CW45" s="73">
        <v>-8533989.2090000007</v>
      </c>
      <c r="CX45">
        <v>398574.18300000002</v>
      </c>
      <c r="CY45" s="74">
        <v>41.631</v>
      </c>
      <c r="DA45" s="73">
        <v>-8534027.6209999993</v>
      </c>
      <c r="DB45">
        <v>397781.57900000003</v>
      </c>
      <c r="DC45" s="74">
        <v>89.319000000000003</v>
      </c>
      <c r="DE45" s="73">
        <v>-8534009.3680000007</v>
      </c>
      <c r="DF45">
        <v>398575.69300000003</v>
      </c>
      <c r="DG45" s="74">
        <v>5.0999999999999997E-2</v>
      </c>
      <c r="DI45" s="73">
        <v>-8531677.8190000001</v>
      </c>
      <c r="DJ45">
        <v>397672.09700000001</v>
      </c>
      <c r="DK45" s="74">
        <v>20.488</v>
      </c>
      <c r="DM45" s="73">
        <v>-8532721.7679999992</v>
      </c>
      <c r="DN45">
        <v>396940.80800000002</v>
      </c>
      <c r="DO45" s="74">
        <v>0.126</v>
      </c>
      <c r="DQ45" s="73">
        <v>-8532721.7679999992</v>
      </c>
      <c r="DR45">
        <v>396940.80800000002</v>
      </c>
      <c r="DS45" s="74">
        <v>0.126</v>
      </c>
      <c r="DU45" s="73">
        <v>-8533989.2090000007</v>
      </c>
      <c r="DV45">
        <v>398574.18300000002</v>
      </c>
      <c r="DW45" s="74">
        <v>41.631</v>
      </c>
      <c r="DY45" s="73">
        <v>-8534105.8499999996</v>
      </c>
      <c r="DZ45">
        <v>398112.44400000002</v>
      </c>
      <c r="EA45" s="74">
        <v>1.6E-2</v>
      </c>
      <c r="EC45" s="73">
        <v>-8533960.7300000004</v>
      </c>
      <c r="ED45">
        <v>398203.37099999998</v>
      </c>
      <c r="EE45" s="74">
        <v>2.5000000000000001E-2</v>
      </c>
      <c r="EG45" s="73">
        <v>-8540070.716</v>
      </c>
      <c r="EH45">
        <v>394755.875</v>
      </c>
      <c r="EI45" s="74">
        <v>3.4000000000000002E-2</v>
      </c>
      <c r="EK45">
        <v>-8533910.7770000007</v>
      </c>
      <c r="EL45">
        <v>398560.50099999999</v>
      </c>
      <c r="EM45">
        <v>2.7E-2</v>
      </c>
      <c r="ES45">
        <v>-8532726.4379999992</v>
      </c>
      <c r="ET45">
        <v>398046.71500000003</v>
      </c>
      <c r="EU45">
        <v>4.4999999999999998E-2</v>
      </c>
      <c r="EW45">
        <v>-8532727.9260000009</v>
      </c>
      <c r="EX45">
        <v>398049.94</v>
      </c>
      <c r="EY45">
        <v>1.9E-2</v>
      </c>
      <c r="FA45">
        <v>-8529419.7249999996</v>
      </c>
      <c r="FB45">
        <v>396484.70199999999</v>
      </c>
      <c r="FC45">
        <v>3.1E-2</v>
      </c>
      <c r="FE45">
        <v>-8532976.9260000009</v>
      </c>
      <c r="FF45">
        <v>396914.62900000002</v>
      </c>
      <c r="FG45">
        <v>8.8999999999999996E-2</v>
      </c>
      <c r="FM45">
        <v>-8528786.4800000004</v>
      </c>
      <c r="FN45">
        <v>395445.86200000002</v>
      </c>
      <c r="FO45">
        <v>88.152000000000001</v>
      </c>
      <c r="FQ45">
        <v>-8532556.9790000003</v>
      </c>
      <c r="FR45">
        <v>397920.75</v>
      </c>
      <c r="FS45">
        <v>128.048</v>
      </c>
      <c r="FU45">
        <v>-8533970.5669999998</v>
      </c>
      <c r="FV45">
        <v>398267.054</v>
      </c>
      <c r="FW45">
        <v>8.1000000000000003E-2</v>
      </c>
      <c r="FY45">
        <v>-8530196.4309999999</v>
      </c>
      <c r="FZ45">
        <v>396524.16100000002</v>
      </c>
      <c r="GA45">
        <v>0.129</v>
      </c>
      <c r="GC45">
        <v>-8531781.25</v>
      </c>
      <c r="GD45">
        <v>397676.92800000001</v>
      </c>
      <c r="GE45">
        <v>34.817999999999998</v>
      </c>
      <c r="GG45">
        <v>-8530884.2709999997</v>
      </c>
      <c r="GH45">
        <v>397010.83799999999</v>
      </c>
      <c r="GI45">
        <v>52.683999999999997</v>
      </c>
      <c r="GS45">
        <v>-8531479.2850000001</v>
      </c>
      <c r="GT45">
        <v>397481.18</v>
      </c>
      <c r="GU45">
        <v>6.0999999999999999E-2</v>
      </c>
      <c r="HE45">
        <v>-8533474.0449999999</v>
      </c>
      <c r="HF45">
        <v>397956.77600000001</v>
      </c>
      <c r="HG45">
        <v>0.111</v>
      </c>
      <c r="HM45">
        <v>-8532705.523</v>
      </c>
      <c r="HN45">
        <v>398034.15399999998</v>
      </c>
      <c r="HO45">
        <v>0.125</v>
      </c>
      <c r="HY45">
        <v>-8534647.1850000005</v>
      </c>
      <c r="HZ45">
        <v>399977.13</v>
      </c>
      <c r="IA45">
        <v>0.28799999999999998</v>
      </c>
      <c r="IK45">
        <v>-8532335.0250000004</v>
      </c>
      <c r="IL45">
        <v>397990.65700000001</v>
      </c>
      <c r="IM45">
        <v>4.5999999999999999E-2</v>
      </c>
      <c r="IO45">
        <v>-8534208.3540000003</v>
      </c>
      <c r="IP45">
        <v>399232.05599999998</v>
      </c>
      <c r="IQ45">
        <v>0.14199999999999999</v>
      </c>
    </row>
    <row r="46" spans="31:251" ht="15" thickBot="1" x14ac:dyDescent="0.35">
      <c r="AK46" s="73">
        <v>-8530709.1469999999</v>
      </c>
      <c r="AL46">
        <v>396887.30499999999</v>
      </c>
      <c r="AM46" s="74">
        <v>6.6000000000000003E-2</v>
      </c>
      <c r="AO46" s="73">
        <v>-8530709.1469999999</v>
      </c>
      <c r="AP46">
        <v>396887.30499999999</v>
      </c>
      <c r="AQ46" s="74">
        <v>6.6000000000000003E-2</v>
      </c>
      <c r="AW46" s="73">
        <v>-8532251.8699999992</v>
      </c>
      <c r="AX46">
        <v>396993.95899999997</v>
      </c>
      <c r="AY46" s="74">
        <v>4.3999999999999997E-2</v>
      </c>
      <c r="BA46" s="73">
        <v>-8532820.8210000005</v>
      </c>
      <c r="BB46">
        <v>396962.55200000003</v>
      </c>
      <c r="BC46" s="74">
        <v>0.10100000000000001</v>
      </c>
      <c r="BE46" s="73">
        <v>-8532820.8210000005</v>
      </c>
      <c r="BF46">
        <v>396962.55200000003</v>
      </c>
      <c r="BG46" s="74">
        <v>0.10100000000000001</v>
      </c>
      <c r="BI46" s="73">
        <v>-8532820.8210000005</v>
      </c>
      <c r="BJ46">
        <v>396962.55200000003</v>
      </c>
      <c r="BK46" s="74">
        <v>0.10100000000000001</v>
      </c>
      <c r="BM46" s="73">
        <v>-8532820.8210000005</v>
      </c>
      <c r="BN46">
        <v>396962.55200000003</v>
      </c>
      <c r="BO46" s="74">
        <v>0.10100000000000001</v>
      </c>
      <c r="BQ46" s="73">
        <v>-8532820.8210000005</v>
      </c>
      <c r="BR46">
        <v>396962.55200000003</v>
      </c>
      <c r="BS46" s="74">
        <v>0.10100000000000001</v>
      </c>
      <c r="BU46" s="73">
        <v>-8532820.8210000005</v>
      </c>
      <c r="BV46">
        <v>396962.55200000003</v>
      </c>
      <c r="BW46" s="74">
        <v>0.10100000000000001</v>
      </c>
      <c r="BY46" s="73">
        <v>-8532820.8210000005</v>
      </c>
      <c r="BZ46">
        <v>396962.55200000003</v>
      </c>
      <c r="CA46" s="74">
        <v>0.10100000000000001</v>
      </c>
      <c r="CC46" s="73">
        <v>-8532820.8210000005</v>
      </c>
      <c r="CD46">
        <v>396962.55200000003</v>
      </c>
      <c r="CE46" s="74">
        <v>0.10100000000000001</v>
      </c>
      <c r="CK46" s="73">
        <v>-8532204.7589999996</v>
      </c>
      <c r="CL46">
        <v>398900.12800000003</v>
      </c>
      <c r="CM46" s="74">
        <v>2.3E-2</v>
      </c>
      <c r="CO46" s="73">
        <v>-8534031.6349999998</v>
      </c>
      <c r="CP46">
        <v>398574.75599999999</v>
      </c>
      <c r="CQ46" s="74">
        <v>42.429000000000002</v>
      </c>
      <c r="CS46" s="73">
        <v>-8534031.6349999998</v>
      </c>
      <c r="CT46">
        <v>398574.75599999999</v>
      </c>
      <c r="CU46" s="74">
        <v>42.429000000000002</v>
      </c>
      <c r="CW46" s="73">
        <v>-8534031.6349999998</v>
      </c>
      <c r="CX46">
        <v>398574.75599999999</v>
      </c>
      <c r="CY46" s="74">
        <v>42.429000000000002</v>
      </c>
      <c r="DA46" s="75">
        <v>-8534389.9539999999</v>
      </c>
      <c r="DB46" s="76">
        <v>397868.723</v>
      </c>
      <c r="DC46" s="77"/>
      <c r="DE46" s="73">
        <v>-8534178.9759999998</v>
      </c>
      <c r="DF46">
        <v>398612.88</v>
      </c>
      <c r="DG46" s="74">
        <v>0.17399999999999999</v>
      </c>
      <c r="DI46" s="73">
        <v>-8531661.0390000008</v>
      </c>
      <c r="DJ46">
        <v>397662.12</v>
      </c>
      <c r="DK46" s="74">
        <v>19.521999999999998</v>
      </c>
      <c r="DM46" s="73">
        <v>-8532820.8210000005</v>
      </c>
      <c r="DN46">
        <v>396962.55200000003</v>
      </c>
      <c r="DO46" s="74">
        <v>0.10100000000000001</v>
      </c>
      <c r="DQ46" s="73">
        <v>-8532820.8210000005</v>
      </c>
      <c r="DR46">
        <v>396962.55200000003</v>
      </c>
      <c r="DS46" s="74">
        <v>0.10100000000000001</v>
      </c>
      <c r="DU46" s="73">
        <v>-8534031.6349999998</v>
      </c>
      <c r="DV46">
        <v>398574.75599999999</v>
      </c>
      <c r="DW46" s="74">
        <v>42.429000000000002</v>
      </c>
      <c r="DY46" s="73">
        <v>-8534109.2510000002</v>
      </c>
      <c r="DZ46">
        <v>398090.44900000002</v>
      </c>
      <c r="EA46" s="74">
        <v>2.1999999999999999E-2</v>
      </c>
      <c r="EC46" s="73">
        <v>-8533981.1380000003</v>
      </c>
      <c r="ED46">
        <v>398212.89399999997</v>
      </c>
      <c r="EE46" s="74">
        <v>2.3E-2</v>
      </c>
      <c r="EG46" s="73">
        <v>-8540033.5289999992</v>
      </c>
      <c r="EH46">
        <v>394783.08500000002</v>
      </c>
      <c r="EI46" s="74">
        <v>4.5999999999999999E-2</v>
      </c>
      <c r="EK46">
        <v>-8533877.2630000003</v>
      </c>
      <c r="EL46">
        <v>398519.93199999997</v>
      </c>
      <c r="EM46">
        <v>5.1999999999999998E-2</v>
      </c>
      <c r="ES46">
        <v>-8532871.2970000003</v>
      </c>
      <c r="ET46">
        <v>398078.46500000003</v>
      </c>
      <c r="EU46">
        <v>0.14799999999999999</v>
      </c>
      <c r="EW46">
        <v>-8532821.1909999996</v>
      </c>
      <c r="EX46">
        <v>398061.84600000002</v>
      </c>
      <c r="EY46">
        <v>9.4E-2</v>
      </c>
      <c r="FA46">
        <v>-8529455.443</v>
      </c>
      <c r="FB46">
        <v>396446.00699999998</v>
      </c>
      <c r="FC46">
        <v>5.1999999999999998E-2</v>
      </c>
      <c r="FE46">
        <v>-8532962.0429999996</v>
      </c>
      <c r="FF46">
        <v>396951.83600000001</v>
      </c>
      <c r="FG46">
        <v>0.04</v>
      </c>
      <c r="FM46">
        <v>-8528821.7029999997</v>
      </c>
      <c r="FN46">
        <v>395507.87400000001</v>
      </c>
      <c r="FO46">
        <v>70.822000000000003</v>
      </c>
      <c r="FQ46">
        <v>-8532659.6699999999</v>
      </c>
      <c r="FR46">
        <v>397911.82</v>
      </c>
      <c r="FS46">
        <v>102.875</v>
      </c>
      <c r="FU46">
        <v>-8533984.5199999996</v>
      </c>
      <c r="FV46">
        <v>398241.94</v>
      </c>
      <c r="FW46">
        <v>2.9000000000000001E-2</v>
      </c>
      <c r="FY46">
        <v>-8530251.5270000007</v>
      </c>
      <c r="FZ46">
        <v>396499.674</v>
      </c>
      <c r="GA46">
        <v>0.06</v>
      </c>
      <c r="GC46">
        <v>-8531785.0170000009</v>
      </c>
      <c r="GD46">
        <v>397703.29800000001</v>
      </c>
      <c r="GE46">
        <v>26.413</v>
      </c>
      <c r="GG46">
        <v>-8530908.2870000005</v>
      </c>
      <c r="GH46">
        <v>397037.679</v>
      </c>
      <c r="GI46">
        <v>35.814999999999998</v>
      </c>
      <c r="GS46">
        <v>-8531534.1150000002</v>
      </c>
      <c r="GT46">
        <v>397505.81400000001</v>
      </c>
      <c r="GU46">
        <v>0.06</v>
      </c>
      <c r="HE46">
        <v>-8533432.7239999995</v>
      </c>
      <c r="HF46">
        <v>397944.06099999999</v>
      </c>
      <c r="HG46">
        <v>4.2999999999999997E-2</v>
      </c>
      <c r="HM46">
        <v>-8532680.4920000006</v>
      </c>
      <c r="HN46">
        <v>398052.03399999999</v>
      </c>
      <c r="HO46">
        <v>3.1E-2</v>
      </c>
      <c r="HY46">
        <v>-8534432.6309999991</v>
      </c>
      <c r="HZ46">
        <v>399687.48100000003</v>
      </c>
      <c r="IA46">
        <v>0.35799999999999998</v>
      </c>
      <c r="IK46">
        <v>-8532431.5749999993</v>
      </c>
      <c r="IL46">
        <v>397982.61099999998</v>
      </c>
      <c r="IM46">
        <v>9.7000000000000003E-2</v>
      </c>
      <c r="IO46">
        <v>-8534275.4030000009</v>
      </c>
      <c r="IP46">
        <v>399143.55200000003</v>
      </c>
      <c r="IQ46">
        <v>0.11</v>
      </c>
    </row>
    <row r="47" spans="31:251" x14ac:dyDescent="0.3">
      <c r="AK47" s="73">
        <v>-8530636.6689999998</v>
      </c>
      <c r="AL47">
        <v>396879.25199999998</v>
      </c>
      <c r="AM47" s="74">
        <v>7.2999999999999995E-2</v>
      </c>
      <c r="AO47" s="73">
        <v>-8530636.6689999998</v>
      </c>
      <c r="AP47">
        <v>396879.25199999998</v>
      </c>
      <c r="AQ47" s="74">
        <v>7.2999999999999995E-2</v>
      </c>
      <c r="AW47" s="73">
        <v>-8532277.841</v>
      </c>
      <c r="AX47">
        <v>397067.64500000002</v>
      </c>
      <c r="AY47" s="74">
        <v>7.8E-2</v>
      </c>
      <c r="BA47" s="73">
        <v>-8532888.4670000002</v>
      </c>
      <c r="BB47">
        <v>396951.68</v>
      </c>
      <c r="BC47" s="74">
        <v>6.9000000000000006E-2</v>
      </c>
      <c r="BE47" s="73">
        <v>-8532888.4670000002</v>
      </c>
      <c r="BF47">
        <v>396951.68</v>
      </c>
      <c r="BG47" s="74">
        <v>6.9000000000000006E-2</v>
      </c>
      <c r="BI47" s="73">
        <v>-8532888.4670000002</v>
      </c>
      <c r="BJ47">
        <v>396951.68</v>
      </c>
      <c r="BK47" s="74">
        <v>6.9000000000000006E-2</v>
      </c>
      <c r="BM47" s="73">
        <v>-8532888.4670000002</v>
      </c>
      <c r="BN47">
        <v>396951.68</v>
      </c>
      <c r="BO47" s="74">
        <v>6.9000000000000006E-2</v>
      </c>
      <c r="BQ47" s="73">
        <v>-8532888.4670000002</v>
      </c>
      <c r="BR47">
        <v>396951.68</v>
      </c>
      <c r="BS47" s="74">
        <v>6.9000000000000006E-2</v>
      </c>
      <c r="BU47" s="73">
        <v>-8532888.4670000002</v>
      </c>
      <c r="BV47">
        <v>396951.68</v>
      </c>
      <c r="BW47" s="74">
        <v>6.9000000000000006E-2</v>
      </c>
      <c r="BY47" s="73">
        <v>-8532888.4670000002</v>
      </c>
      <c r="BZ47">
        <v>396951.68</v>
      </c>
      <c r="CA47" s="74">
        <v>6.9000000000000006E-2</v>
      </c>
      <c r="CC47" s="73">
        <v>-8532888.4670000002</v>
      </c>
      <c r="CD47">
        <v>396951.68</v>
      </c>
      <c r="CE47" s="74">
        <v>6.9000000000000006E-2</v>
      </c>
      <c r="CK47" s="73">
        <v>-8532218.3489999995</v>
      </c>
      <c r="CL47">
        <v>398895.598</v>
      </c>
      <c r="CM47" s="74">
        <v>1.4E-2</v>
      </c>
      <c r="CO47" s="73">
        <v>-8534157.1899999995</v>
      </c>
      <c r="CP47">
        <v>398603.995</v>
      </c>
      <c r="CQ47" s="74">
        <v>128.91499999999999</v>
      </c>
      <c r="CS47" s="73">
        <v>-8534157.1899999995</v>
      </c>
      <c r="CT47">
        <v>398603.995</v>
      </c>
      <c r="CU47" s="74">
        <v>128.91499999999999</v>
      </c>
      <c r="CW47" s="73">
        <v>-8534157.1899999995</v>
      </c>
      <c r="CX47">
        <v>398603.995</v>
      </c>
      <c r="CY47" s="74">
        <v>128.91499999999999</v>
      </c>
      <c r="DC47">
        <f>SUM(DC$3:DC46)/1000</f>
        <v>2.6666500000000002</v>
      </c>
      <c r="DE47" s="73">
        <v>-8534210.7210000008</v>
      </c>
      <c r="DF47">
        <v>398640.99699999997</v>
      </c>
      <c r="DG47" s="74">
        <v>4.2000000000000003E-2</v>
      </c>
      <c r="DI47" s="73">
        <v>-8531660.5859999992</v>
      </c>
      <c r="DJ47">
        <v>397589.56</v>
      </c>
      <c r="DK47" s="74">
        <v>72.561000000000007</v>
      </c>
      <c r="DM47" s="73">
        <v>-8532888.4670000002</v>
      </c>
      <c r="DN47">
        <v>396951.68</v>
      </c>
      <c r="DO47" s="74">
        <v>6.9000000000000006E-2</v>
      </c>
      <c r="DQ47" s="73">
        <v>-8532888.4670000002</v>
      </c>
      <c r="DR47">
        <v>396951.68</v>
      </c>
      <c r="DS47" s="74">
        <v>6.9000000000000006E-2</v>
      </c>
      <c r="DU47" s="73">
        <v>-8534157.1899999995</v>
      </c>
      <c r="DV47">
        <v>398603.995</v>
      </c>
      <c r="DW47" s="74">
        <v>128.91499999999999</v>
      </c>
      <c r="DY47" s="73">
        <v>-8534124.6699999999</v>
      </c>
      <c r="DZ47">
        <v>398072.76299999998</v>
      </c>
      <c r="EA47" s="74">
        <v>2.3E-2</v>
      </c>
      <c r="EC47" s="73">
        <v>-8533989.3010000009</v>
      </c>
      <c r="ED47">
        <v>398241.011</v>
      </c>
      <c r="EE47" s="74">
        <v>2.9000000000000001E-2</v>
      </c>
      <c r="EG47" s="73">
        <v>-8540010.8540000003</v>
      </c>
      <c r="EH47">
        <v>394816.64399999997</v>
      </c>
      <c r="EI47" s="74">
        <v>4.1000000000000002E-2</v>
      </c>
      <c r="EK47">
        <v>-8533825.2280000001</v>
      </c>
      <c r="EL47">
        <v>398466.13299999997</v>
      </c>
      <c r="EM47">
        <v>7.3999999999999996E-2</v>
      </c>
      <c r="ES47">
        <v>-8532907.0160000008</v>
      </c>
      <c r="ET47">
        <v>398090.37099999998</v>
      </c>
      <c r="EU47">
        <v>3.7999999999999999E-2</v>
      </c>
      <c r="EW47">
        <v>-8532908.5040000007</v>
      </c>
      <c r="EX47">
        <v>398086.65100000001</v>
      </c>
      <c r="EY47">
        <v>9.0999999999999998E-2</v>
      </c>
      <c r="FA47">
        <v>-8529544.7400000002</v>
      </c>
      <c r="FB47">
        <v>396489.16700000002</v>
      </c>
      <c r="FC47">
        <v>9.9000000000000005E-2</v>
      </c>
      <c r="FE47">
        <v>-8532813.2149999999</v>
      </c>
      <c r="FF47">
        <v>396966.71899999998</v>
      </c>
      <c r="FG47">
        <v>0.14899999999999999</v>
      </c>
      <c r="FM47">
        <v>-8528787.9690000005</v>
      </c>
      <c r="FN47">
        <v>395574.35100000002</v>
      </c>
      <c r="FO47">
        <v>74.010000000000005</v>
      </c>
      <c r="FQ47">
        <v>-8532751.1999999993</v>
      </c>
      <c r="FR47">
        <v>397914.05300000001</v>
      </c>
      <c r="FS47">
        <v>91.379000000000005</v>
      </c>
      <c r="FU47">
        <v>-8533967.2180000003</v>
      </c>
      <c r="FV47">
        <v>398210.68599999999</v>
      </c>
      <c r="FW47">
        <v>3.5000000000000003E-2</v>
      </c>
      <c r="FY47">
        <v>-8530276.0140000004</v>
      </c>
      <c r="FZ47">
        <v>396499.20299999998</v>
      </c>
      <c r="GA47">
        <v>2.4E-2</v>
      </c>
      <c r="GC47">
        <v>-8531862.2449999992</v>
      </c>
      <c r="GD47">
        <v>397729.66899999999</v>
      </c>
      <c r="GE47">
        <v>81.391999999999996</v>
      </c>
      <c r="GG47">
        <v>-8530943.6050000004</v>
      </c>
      <c r="GH47">
        <v>397039.092</v>
      </c>
      <c r="GI47">
        <v>35.277999999999999</v>
      </c>
      <c r="GS47">
        <v>-8531583.3829999994</v>
      </c>
      <c r="GT47">
        <v>397542.36800000002</v>
      </c>
      <c r="GU47">
        <v>6.0999999999999999E-2</v>
      </c>
      <c r="HE47">
        <v>-8533359.6160000004</v>
      </c>
      <c r="HF47">
        <v>398002.86499999999</v>
      </c>
      <c r="HG47">
        <v>9.2999999999999999E-2</v>
      </c>
      <c r="HM47">
        <v>-8532834.2559999991</v>
      </c>
      <c r="HN47">
        <v>398098.74400000001</v>
      </c>
      <c r="HO47">
        <v>0.16</v>
      </c>
      <c r="HY47">
        <v>-8534228.8039999995</v>
      </c>
      <c r="HZ47">
        <v>399456.83500000002</v>
      </c>
      <c r="IA47">
        <v>0.30599999999999999</v>
      </c>
      <c r="IK47">
        <v>-8532538.182</v>
      </c>
      <c r="IL47">
        <v>397918.245</v>
      </c>
      <c r="IM47">
        <v>0.124</v>
      </c>
      <c r="IO47">
        <v>-8534235.1740000006</v>
      </c>
      <c r="IP47">
        <v>398985.31800000003</v>
      </c>
      <c r="IQ47">
        <v>0.16200000000000001</v>
      </c>
    </row>
    <row r="48" spans="31:251" ht="15" thickBot="1" x14ac:dyDescent="0.35">
      <c r="AK48" s="73">
        <v>-8530601.2349999994</v>
      </c>
      <c r="AL48">
        <v>396845.429</v>
      </c>
      <c r="AM48" s="74">
        <v>4.9000000000000002E-2</v>
      </c>
      <c r="AO48" s="73">
        <v>-8530601.2349999994</v>
      </c>
      <c r="AP48">
        <v>396845.429</v>
      </c>
      <c r="AQ48" s="74">
        <v>4.9000000000000002E-2</v>
      </c>
      <c r="AW48" s="75">
        <v>-8532268.7809999995</v>
      </c>
      <c r="AX48" s="76">
        <v>396996.97899999999</v>
      </c>
      <c r="AY48" s="77"/>
      <c r="BA48" s="73">
        <v>-8532968.193</v>
      </c>
      <c r="BB48">
        <v>396946.848</v>
      </c>
      <c r="BC48" s="74">
        <v>0.08</v>
      </c>
      <c r="BE48" s="73">
        <v>-8532968.193</v>
      </c>
      <c r="BF48">
        <v>396946.848</v>
      </c>
      <c r="BG48" s="74">
        <v>0.08</v>
      </c>
      <c r="BI48" s="73">
        <v>-8532968.193</v>
      </c>
      <c r="BJ48">
        <v>396946.848</v>
      </c>
      <c r="BK48" s="74">
        <v>0.08</v>
      </c>
      <c r="BM48" s="73">
        <v>-8532968.193</v>
      </c>
      <c r="BN48">
        <v>396946.848</v>
      </c>
      <c r="BO48" s="74">
        <v>0.08</v>
      </c>
      <c r="BQ48" s="73">
        <v>-8532968.193</v>
      </c>
      <c r="BR48">
        <v>396946.848</v>
      </c>
      <c r="BS48" s="74">
        <v>0.08</v>
      </c>
      <c r="BU48" s="73">
        <v>-8532968.193</v>
      </c>
      <c r="BV48">
        <v>396946.848</v>
      </c>
      <c r="BW48" s="74">
        <v>0.08</v>
      </c>
      <c r="BY48" s="73">
        <v>-8532968.193</v>
      </c>
      <c r="BZ48">
        <v>396946.848</v>
      </c>
      <c r="CA48" s="74">
        <v>0.08</v>
      </c>
      <c r="CC48" s="73">
        <v>-8532968.193</v>
      </c>
      <c r="CD48">
        <v>396946.848</v>
      </c>
      <c r="CE48" s="74">
        <v>0.08</v>
      </c>
      <c r="CK48" s="73">
        <v>-8532232.3910000008</v>
      </c>
      <c r="CL48">
        <v>398897.86300000001</v>
      </c>
      <c r="CM48" s="74">
        <v>1.4E-2</v>
      </c>
      <c r="CO48" s="73">
        <v>-8534188.1490000002</v>
      </c>
      <c r="CP48">
        <v>398615.46100000001</v>
      </c>
      <c r="CQ48" s="74">
        <v>33.014000000000003</v>
      </c>
      <c r="CS48" s="73">
        <v>-8534188.1490000002</v>
      </c>
      <c r="CT48">
        <v>398615.46100000001</v>
      </c>
      <c r="CU48" s="74">
        <v>33.014000000000003</v>
      </c>
      <c r="CW48" s="73">
        <v>-8534188.1490000002</v>
      </c>
      <c r="CX48">
        <v>398615.46100000001</v>
      </c>
      <c r="CY48" s="74">
        <v>33.014000000000003</v>
      </c>
      <c r="DE48" s="73">
        <v>-8534212.5350000001</v>
      </c>
      <c r="DF48">
        <v>398669.114</v>
      </c>
      <c r="DG48" s="74">
        <v>2.8000000000000001E-2</v>
      </c>
      <c r="DI48" s="73">
        <v>-8531652.4230000004</v>
      </c>
      <c r="DJ48">
        <v>397572.78100000002</v>
      </c>
      <c r="DK48" s="74">
        <v>18.66</v>
      </c>
      <c r="DM48" s="73">
        <v>-8532968.193</v>
      </c>
      <c r="DN48">
        <v>396946.848</v>
      </c>
      <c r="DO48" s="74">
        <v>0.08</v>
      </c>
      <c r="DQ48" s="73">
        <v>-8532968.193</v>
      </c>
      <c r="DR48">
        <v>396946.848</v>
      </c>
      <c r="DS48" s="74">
        <v>0.08</v>
      </c>
      <c r="DU48" s="73">
        <v>-8534188.1490000002</v>
      </c>
      <c r="DV48">
        <v>398615.46100000001</v>
      </c>
      <c r="DW48" s="74">
        <v>33.014000000000003</v>
      </c>
      <c r="DY48" s="73">
        <v>-8534121.9489999991</v>
      </c>
      <c r="DZ48">
        <v>398061.87900000002</v>
      </c>
      <c r="EA48" s="74">
        <v>1.0999999999999999E-2</v>
      </c>
      <c r="EC48" s="73">
        <v>-8534002.4519999996</v>
      </c>
      <c r="ED48">
        <v>398231.94099999999</v>
      </c>
      <c r="EE48" s="74">
        <v>1.6E-2</v>
      </c>
      <c r="EG48" s="73">
        <v>-8539994.5280000009</v>
      </c>
      <c r="EH48">
        <v>394855.64399999997</v>
      </c>
      <c r="EI48" s="74">
        <v>4.2000000000000003E-2</v>
      </c>
      <c r="EK48">
        <v>-8533793.4780000001</v>
      </c>
      <c r="EL48">
        <v>398417.62599999999</v>
      </c>
      <c r="EM48">
        <v>5.8000000000000003E-2</v>
      </c>
      <c r="ES48">
        <v>-8532899.0779999997</v>
      </c>
      <c r="ET48">
        <v>398207.45</v>
      </c>
      <c r="EU48">
        <v>0.11600000000000001</v>
      </c>
      <c r="EW48">
        <v>-8532908.5040000007</v>
      </c>
      <c r="EX48">
        <v>398115.424</v>
      </c>
      <c r="EY48">
        <v>2.9000000000000001E-2</v>
      </c>
      <c r="FA48">
        <v>-8529571.5289999992</v>
      </c>
      <c r="FB48">
        <v>396469.81900000002</v>
      </c>
      <c r="FC48">
        <v>3.3000000000000002E-2</v>
      </c>
      <c r="FE48">
        <v>-8532734.3359999992</v>
      </c>
      <c r="FF48">
        <v>396945.88299999997</v>
      </c>
      <c r="FG48">
        <v>8.1000000000000003E-2</v>
      </c>
      <c r="FM48">
        <v>-8528809.7970000003</v>
      </c>
      <c r="FN48">
        <v>395653.72600000002</v>
      </c>
      <c r="FO48">
        <v>81.655000000000001</v>
      </c>
      <c r="FQ48">
        <v>-8532742.2699999996</v>
      </c>
      <c r="FR48">
        <v>397939.35399999999</v>
      </c>
      <c r="FS48">
        <v>26.62</v>
      </c>
      <c r="FU48">
        <v>-8533935.4059999995</v>
      </c>
      <c r="FV48">
        <v>398199.52399999998</v>
      </c>
      <c r="FW48">
        <v>3.4000000000000002E-2</v>
      </c>
      <c r="FY48">
        <v>-8530294.3790000007</v>
      </c>
      <c r="FZ48">
        <v>396488.37199999997</v>
      </c>
      <c r="GA48">
        <v>2.1000000000000001E-2</v>
      </c>
      <c r="GC48">
        <v>-8531913.1030000001</v>
      </c>
      <c r="GD48">
        <v>397784.29300000001</v>
      </c>
      <c r="GE48">
        <v>74.224999999999994</v>
      </c>
      <c r="GG48">
        <v>-8531089.1129999999</v>
      </c>
      <c r="GH48">
        <v>397022.13900000002</v>
      </c>
      <c r="GI48">
        <v>146.19800000000001</v>
      </c>
      <c r="GS48">
        <v>-8531613.5800000001</v>
      </c>
      <c r="GT48">
        <v>397554.685</v>
      </c>
      <c r="GU48">
        <v>3.3000000000000002E-2</v>
      </c>
      <c r="HE48">
        <v>-8533240.4189999998</v>
      </c>
      <c r="HF48">
        <v>397994.91899999999</v>
      </c>
      <c r="HG48">
        <v>0.11899999999999999</v>
      </c>
      <c r="HM48">
        <v>-8532837.8320000004</v>
      </c>
      <c r="HN48">
        <v>398147.913</v>
      </c>
      <c r="HO48">
        <v>4.9000000000000002E-2</v>
      </c>
      <c r="HY48">
        <v>-8534271.7149999999</v>
      </c>
      <c r="HZ48">
        <v>399156.45899999997</v>
      </c>
      <c r="IA48">
        <v>0.30099999999999999</v>
      </c>
      <c r="IK48">
        <v>-8532683.0059999991</v>
      </c>
      <c r="IL48">
        <v>397912.88099999999</v>
      </c>
      <c r="IM48">
        <v>0.14499999999999999</v>
      </c>
      <c r="IO48">
        <v>-8534318.3139999993</v>
      </c>
      <c r="IP48">
        <v>398918.27</v>
      </c>
      <c r="IQ48">
        <v>0.106</v>
      </c>
    </row>
    <row r="49" spans="37:251" x14ac:dyDescent="0.3">
      <c r="AK49" s="73">
        <v>-8530614.1199999992</v>
      </c>
      <c r="AL49">
        <v>396805.16399999999</v>
      </c>
      <c r="AM49" s="74">
        <v>4.2000000000000003E-2</v>
      </c>
      <c r="AO49" s="73">
        <v>-8530614.1199999992</v>
      </c>
      <c r="AP49">
        <v>396805.16399999999</v>
      </c>
      <c r="AQ49" s="74">
        <v>4.2000000000000003E-2</v>
      </c>
      <c r="AY49">
        <f>SUM(AY$3:AY48)</f>
        <v>2.0919999999999992</v>
      </c>
      <c r="BA49" s="73">
        <v>-8532991.1449999996</v>
      </c>
      <c r="BB49">
        <v>396873.16200000001</v>
      </c>
      <c r="BC49" s="74">
        <v>7.6999999999999999E-2</v>
      </c>
      <c r="BE49" s="73">
        <v>-8532991.1449999996</v>
      </c>
      <c r="BF49">
        <v>396873.16200000001</v>
      </c>
      <c r="BG49" s="74">
        <v>7.6999999999999999E-2</v>
      </c>
      <c r="BI49" s="73">
        <v>-8532991.1449999996</v>
      </c>
      <c r="BJ49">
        <v>396873.16200000001</v>
      </c>
      <c r="BK49" s="74">
        <v>7.6999999999999999E-2</v>
      </c>
      <c r="BM49" s="73">
        <v>-8532991.1449999996</v>
      </c>
      <c r="BN49">
        <v>396873.16200000001</v>
      </c>
      <c r="BO49" s="74">
        <v>7.6999999999999999E-2</v>
      </c>
      <c r="BQ49" s="73">
        <v>-8532991.1449999996</v>
      </c>
      <c r="BR49">
        <v>396873.16200000001</v>
      </c>
      <c r="BS49" s="74">
        <v>7.6999999999999999E-2</v>
      </c>
      <c r="BU49" s="73">
        <v>-8532991.1449999996</v>
      </c>
      <c r="BV49">
        <v>396873.16200000001</v>
      </c>
      <c r="BW49" s="74">
        <v>7.6999999999999999E-2</v>
      </c>
      <c r="BY49" s="73">
        <v>-8532991.1449999996</v>
      </c>
      <c r="BZ49">
        <v>396873.16200000001</v>
      </c>
      <c r="CA49" s="74">
        <v>7.6999999999999999E-2</v>
      </c>
      <c r="CC49" s="73">
        <v>-8532991.1449999996</v>
      </c>
      <c r="CD49">
        <v>396873.16200000001</v>
      </c>
      <c r="CE49" s="74">
        <v>7.6999999999999999E-2</v>
      </c>
      <c r="CK49" s="73">
        <v>-8532246.8870000001</v>
      </c>
      <c r="CL49">
        <v>398912.359</v>
      </c>
      <c r="CM49" s="74">
        <v>0.02</v>
      </c>
      <c r="CO49" s="73">
        <v>-8534212.2280000001</v>
      </c>
      <c r="CP49">
        <v>398651.00699999998</v>
      </c>
      <c r="CQ49" s="74">
        <v>42.933</v>
      </c>
      <c r="CS49" s="73">
        <v>-8534212.2280000001</v>
      </c>
      <c r="CT49">
        <v>398651.00699999998</v>
      </c>
      <c r="CU49" s="74">
        <v>42.933</v>
      </c>
      <c r="CW49" s="73">
        <v>-8534212.2280000001</v>
      </c>
      <c r="CX49">
        <v>398651.00699999998</v>
      </c>
      <c r="CY49" s="74">
        <v>42.933</v>
      </c>
      <c r="DE49" s="73">
        <v>-8534201.6510000005</v>
      </c>
      <c r="DF49">
        <v>398854.141</v>
      </c>
      <c r="DG49" s="74">
        <v>0.185</v>
      </c>
      <c r="DI49" s="73">
        <v>-8531627.9340000004</v>
      </c>
      <c r="DJ49">
        <v>397557.815</v>
      </c>
      <c r="DK49" s="74">
        <v>28.7</v>
      </c>
      <c r="DM49" s="73">
        <v>-8532991.1449999996</v>
      </c>
      <c r="DN49">
        <v>396873.16200000001</v>
      </c>
      <c r="DO49" s="74">
        <v>7.6999999999999999E-2</v>
      </c>
      <c r="DQ49" s="73">
        <v>-8532991.1449999996</v>
      </c>
      <c r="DR49">
        <v>396873.16200000001</v>
      </c>
      <c r="DS49" s="74">
        <v>7.6999999999999999E-2</v>
      </c>
      <c r="DU49" s="73">
        <v>-8534212.2280000001</v>
      </c>
      <c r="DV49">
        <v>398651.00699999998</v>
      </c>
      <c r="DW49" s="74">
        <v>42.933</v>
      </c>
      <c r="DY49" s="73">
        <v>-8534114.693</v>
      </c>
      <c r="DZ49">
        <v>398052.80900000001</v>
      </c>
      <c r="EA49" s="74">
        <v>1.2E-2</v>
      </c>
      <c r="EC49" s="73">
        <v>-8534006.0800000001</v>
      </c>
      <c r="ED49">
        <v>398214.70799999998</v>
      </c>
      <c r="EE49" s="74">
        <v>1.7999999999999999E-2</v>
      </c>
      <c r="EG49" s="73">
        <v>-8539940.1079999991</v>
      </c>
      <c r="EH49">
        <v>394893.73800000001</v>
      </c>
      <c r="EI49" s="74">
        <v>6.6000000000000003E-2</v>
      </c>
      <c r="EK49">
        <v>-8533825.2280000001</v>
      </c>
      <c r="EL49">
        <v>398374.41100000002</v>
      </c>
      <c r="EM49">
        <v>5.2999999999999999E-2</v>
      </c>
      <c r="ES49">
        <v>-8532831.6089999992</v>
      </c>
      <c r="ET49">
        <v>398183.63699999999</v>
      </c>
      <c r="EU49">
        <v>7.0999999999999994E-2</v>
      </c>
      <c r="EW49">
        <v>-8532891.6370000001</v>
      </c>
      <c r="EX49">
        <v>398206.70500000002</v>
      </c>
      <c r="EY49">
        <v>9.1999999999999998E-2</v>
      </c>
      <c r="FA49">
        <v>-8529583.4360000007</v>
      </c>
      <c r="FB49">
        <v>396423.68300000002</v>
      </c>
      <c r="FC49">
        <v>4.7E-2</v>
      </c>
      <c r="FE49">
        <v>-8532572.1140000001</v>
      </c>
      <c r="FF49">
        <v>396953.32500000001</v>
      </c>
      <c r="FG49">
        <v>0.16200000000000001</v>
      </c>
      <c r="FM49">
        <v>-8528735.3829999994</v>
      </c>
      <c r="FN49">
        <v>395708.29599999997</v>
      </c>
      <c r="FO49">
        <v>91.888000000000005</v>
      </c>
      <c r="FQ49">
        <v>-8532731.1079999991</v>
      </c>
      <c r="FR49">
        <v>397970.60700000002</v>
      </c>
      <c r="FS49">
        <v>32.927</v>
      </c>
      <c r="FU49">
        <v>-8533904.7109999992</v>
      </c>
      <c r="FV49">
        <v>398221.29</v>
      </c>
      <c r="FW49">
        <v>3.6999999999999998E-2</v>
      </c>
      <c r="FY49">
        <v>-8530304.7379999999</v>
      </c>
      <c r="FZ49">
        <v>396448.34600000002</v>
      </c>
      <c r="GA49">
        <v>4.1000000000000002E-2</v>
      </c>
      <c r="GC49">
        <v>-8531958.3090000004</v>
      </c>
      <c r="GD49">
        <v>397860.10800000001</v>
      </c>
      <c r="GE49">
        <v>87.667000000000002</v>
      </c>
      <c r="GG49">
        <v>-8531172.4629999995</v>
      </c>
      <c r="GH49">
        <v>397106.90100000001</v>
      </c>
      <c r="GI49">
        <v>118.247</v>
      </c>
      <c r="GS49">
        <v>-8531656.4910000004</v>
      </c>
      <c r="GT49">
        <v>397577.72899999999</v>
      </c>
      <c r="GU49">
        <v>4.9000000000000002E-2</v>
      </c>
      <c r="HE49">
        <v>-8533145.0620000008</v>
      </c>
      <c r="HF49">
        <v>397979.02600000001</v>
      </c>
      <c r="HG49">
        <v>9.6000000000000002E-2</v>
      </c>
      <c r="HM49">
        <v>-8532726.9780000001</v>
      </c>
      <c r="HN49">
        <v>397307.57400000002</v>
      </c>
      <c r="HY49">
        <v>-8534228.8039999995</v>
      </c>
      <c r="HZ49">
        <v>399006.27100000001</v>
      </c>
      <c r="IA49">
        <v>0.155</v>
      </c>
      <c r="IK49">
        <v>-8532755.4179999996</v>
      </c>
      <c r="IL49">
        <v>397919.58600000001</v>
      </c>
      <c r="IM49">
        <v>7.2999999999999995E-2</v>
      </c>
      <c r="IO49">
        <v>-8534323.6769999992</v>
      </c>
      <c r="IP49">
        <v>398891.45</v>
      </c>
      <c r="IQ49">
        <v>2.7E-2</v>
      </c>
    </row>
    <row r="50" spans="37:251" ht="15" thickBot="1" x14ac:dyDescent="0.35">
      <c r="AK50" s="73">
        <v>-8530591.5710000005</v>
      </c>
      <c r="AL50">
        <v>396764.89799999999</v>
      </c>
      <c r="AM50" s="74">
        <v>4.5999999999999999E-2</v>
      </c>
      <c r="AO50" s="73">
        <v>-8530591.5710000005</v>
      </c>
      <c r="AP50">
        <v>396764.89799999999</v>
      </c>
      <c r="AQ50" s="74">
        <v>4.5999999999999999E-2</v>
      </c>
      <c r="BA50" s="73">
        <v>-8533018.9279999994</v>
      </c>
      <c r="BB50">
        <v>396822.42800000001</v>
      </c>
      <c r="BC50" s="74">
        <v>5.8000000000000003E-2</v>
      </c>
      <c r="BE50" s="73">
        <v>-8533018.9279999994</v>
      </c>
      <c r="BF50">
        <v>396822.42800000001</v>
      </c>
      <c r="BG50" s="74">
        <v>5.8000000000000003E-2</v>
      </c>
      <c r="BI50" s="73">
        <v>-8533018.9279999994</v>
      </c>
      <c r="BJ50">
        <v>396822.42800000001</v>
      </c>
      <c r="BK50" s="74">
        <v>5.8000000000000003E-2</v>
      </c>
      <c r="BM50" s="73">
        <v>-8533018.9279999994</v>
      </c>
      <c r="BN50">
        <v>396822.42800000001</v>
      </c>
      <c r="BO50" s="74">
        <v>5.8000000000000003E-2</v>
      </c>
      <c r="BQ50" s="73">
        <v>-8533018.9279999994</v>
      </c>
      <c r="BR50">
        <v>396822.42800000001</v>
      </c>
      <c r="BS50" s="74">
        <v>5.8000000000000003E-2</v>
      </c>
      <c r="BU50" s="73">
        <v>-8533018.9279999994</v>
      </c>
      <c r="BV50">
        <v>396822.42800000001</v>
      </c>
      <c r="BW50" s="74">
        <v>5.8000000000000003E-2</v>
      </c>
      <c r="BY50" s="73">
        <v>-8533018.9279999994</v>
      </c>
      <c r="BZ50">
        <v>396822.42800000001</v>
      </c>
      <c r="CA50" s="74">
        <v>5.8000000000000003E-2</v>
      </c>
      <c r="CC50" s="73">
        <v>-8533018.9279999994</v>
      </c>
      <c r="CD50">
        <v>396822.42800000001</v>
      </c>
      <c r="CE50" s="74">
        <v>5.8000000000000003E-2</v>
      </c>
      <c r="CK50" s="73">
        <v>-8532250.5109999999</v>
      </c>
      <c r="CL50">
        <v>398925.04200000002</v>
      </c>
      <c r="CM50" s="74">
        <v>1.2999999999999999E-2</v>
      </c>
      <c r="CO50" s="73">
        <v>-8534211.0810000002</v>
      </c>
      <c r="CP50">
        <v>398679.67200000002</v>
      </c>
      <c r="CQ50" s="74">
        <v>28.689</v>
      </c>
      <c r="CS50" s="73">
        <v>-8534211.0810000002</v>
      </c>
      <c r="CT50">
        <v>398679.67200000002</v>
      </c>
      <c r="CU50" s="74">
        <v>28.689</v>
      </c>
      <c r="CW50" s="73">
        <v>-8534211.0810000002</v>
      </c>
      <c r="CX50">
        <v>398679.67200000002</v>
      </c>
      <c r="CY50" s="74">
        <v>28.689</v>
      </c>
      <c r="DE50" s="73">
        <v>-8534217.977</v>
      </c>
      <c r="DF50">
        <v>398886.79300000001</v>
      </c>
      <c r="DG50" s="74">
        <v>3.6999999999999998E-2</v>
      </c>
      <c r="DI50" s="73">
        <v>-8531484.1750000007</v>
      </c>
      <c r="DJ50">
        <v>397482.08100000001</v>
      </c>
      <c r="DK50" s="74">
        <v>162.488</v>
      </c>
      <c r="DM50" s="73">
        <v>-8533018.9279999994</v>
      </c>
      <c r="DN50">
        <v>396822.42800000001</v>
      </c>
      <c r="DO50" s="74">
        <v>5.8000000000000003E-2</v>
      </c>
      <c r="DQ50" s="73">
        <v>-8533018.9279999994</v>
      </c>
      <c r="DR50">
        <v>396822.42800000001</v>
      </c>
      <c r="DS50" s="74">
        <v>5.8000000000000003E-2</v>
      </c>
      <c r="DU50" s="73">
        <v>-8534211.0810000002</v>
      </c>
      <c r="DV50">
        <v>398679.67200000002</v>
      </c>
      <c r="DW50" s="74">
        <v>28.689</v>
      </c>
      <c r="DY50" s="73">
        <v>-8534128.2980000004</v>
      </c>
      <c r="DZ50">
        <v>398030.13400000002</v>
      </c>
      <c r="EA50" s="74">
        <v>2.5999999999999999E-2</v>
      </c>
      <c r="EC50" s="73">
        <v>-8534009.2540000007</v>
      </c>
      <c r="ED50">
        <v>398190.67300000001</v>
      </c>
      <c r="EE50" s="74">
        <v>2.4E-2</v>
      </c>
      <c r="EG50" s="73">
        <v>-8539886.5950000007</v>
      </c>
      <c r="EH50">
        <v>394902.80800000002</v>
      </c>
      <c r="EI50" s="74">
        <v>5.3999999999999999E-2</v>
      </c>
      <c r="EK50">
        <v>-8533874.6170000006</v>
      </c>
      <c r="EL50">
        <v>398340.897</v>
      </c>
      <c r="EM50">
        <v>5.8999999999999997E-2</v>
      </c>
      <c r="ES50">
        <v>-8531901.9299999997</v>
      </c>
      <c r="ET50">
        <v>396711.23100000003</v>
      </c>
      <c r="EW50">
        <v>-8532839.0510000009</v>
      </c>
      <c r="EX50">
        <v>398187.85399999999</v>
      </c>
      <c r="EY50">
        <v>5.6000000000000001E-2</v>
      </c>
      <c r="FA50">
        <v>-8529613.2009999994</v>
      </c>
      <c r="FB50">
        <v>396434.1</v>
      </c>
      <c r="FC50">
        <v>3.1E-2</v>
      </c>
      <c r="FE50">
        <v>-8532557.2310000006</v>
      </c>
      <c r="FF50">
        <v>397006.90299999999</v>
      </c>
      <c r="FG50">
        <v>5.5E-2</v>
      </c>
      <c r="FM50">
        <v>-8528667.9140000008</v>
      </c>
      <c r="FN50">
        <v>395712.26500000001</v>
      </c>
      <c r="FO50">
        <v>67.454999999999998</v>
      </c>
      <c r="FQ50">
        <v>-8532737.8049999997</v>
      </c>
      <c r="FR50">
        <v>397995.16399999999</v>
      </c>
      <c r="FS50">
        <v>25.247</v>
      </c>
      <c r="FU50">
        <v>-8533871.7819999997</v>
      </c>
      <c r="FV50">
        <v>398250.86900000001</v>
      </c>
      <c r="FW50">
        <v>4.3999999999999997E-2</v>
      </c>
      <c r="FY50">
        <v>-8530321.6909999996</v>
      </c>
      <c r="FZ50">
        <v>396442.69500000001</v>
      </c>
      <c r="GA50">
        <v>1.7999999999999999E-2</v>
      </c>
      <c r="GC50">
        <v>-8532033.6530000009</v>
      </c>
      <c r="GD50">
        <v>397824.32</v>
      </c>
      <c r="GE50">
        <v>83.149000000000001</v>
      </c>
      <c r="GG50">
        <v>-8531245.9230000004</v>
      </c>
      <c r="GH50">
        <v>397121.73499999999</v>
      </c>
      <c r="GI50">
        <v>74.78</v>
      </c>
      <c r="GS50">
        <v>-8531657.2850000001</v>
      </c>
      <c r="GT50">
        <v>397626.99699999997</v>
      </c>
      <c r="GU50">
        <v>4.9000000000000002E-2</v>
      </c>
      <c r="HE50">
        <v>-8532817.6679999996</v>
      </c>
      <c r="HF50">
        <v>397926.57900000003</v>
      </c>
      <c r="HG50">
        <v>0.33100000000000002</v>
      </c>
      <c r="HO50" s="77">
        <f>SUM(HO$3:HO49)</f>
        <v>3.4490000000000003</v>
      </c>
      <c r="HY50">
        <v>-8534314.6260000002</v>
      </c>
      <c r="HZ50">
        <v>398931.17599999998</v>
      </c>
      <c r="IA50">
        <v>0.113</v>
      </c>
      <c r="IK50">
        <v>-8532715.1889999993</v>
      </c>
      <c r="IL50">
        <v>398029.54499999998</v>
      </c>
      <c r="IM50">
        <v>0.11600000000000001</v>
      </c>
      <c r="IO50">
        <v>-8534288.8120000008</v>
      </c>
      <c r="IP50">
        <v>398872.67700000003</v>
      </c>
      <c r="IQ50">
        <v>3.9E-2</v>
      </c>
    </row>
    <row r="51" spans="37:251" ht="15" thickBot="1" x14ac:dyDescent="0.35">
      <c r="AK51" s="73">
        <v>-8530620.5629999992</v>
      </c>
      <c r="AL51">
        <v>396718.19</v>
      </c>
      <c r="AM51" s="74">
        <v>5.5E-2</v>
      </c>
      <c r="AO51" s="73">
        <v>-8530620.5629999992</v>
      </c>
      <c r="AP51">
        <v>396718.19</v>
      </c>
      <c r="AQ51" s="74">
        <v>5.5E-2</v>
      </c>
      <c r="BA51" s="73">
        <v>-8532991.1449999996</v>
      </c>
      <c r="BB51">
        <v>396768.06900000002</v>
      </c>
      <c r="BC51" s="74">
        <v>6.0999999999999999E-2</v>
      </c>
      <c r="BE51" s="73">
        <v>-8532991.1449999996</v>
      </c>
      <c r="BF51">
        <v>396768.06900000002</v>
      </c>
      <c r="BG51" s="74">
        <v>6.0999999999999999E-2</v>
      </c>
      <c r="BI51" s="73">
        <v>-8532991.1449999996</v>
      </c>
      <c r="BJ51">
        <v>396768.06900000002</v>
      </c>
      <c r="BK51" s="74">
        <v>6.0999999999999999E-2</v>
      </c>
      <c r="BM51" s="73">
        <v>-8532991.1449999996</v>
      </c>
      <c r="BN51">
        <v>396768.06900000002</v>
      </c>
      <c r="BO51" s="74">
        <v>6.0999999999999999E-2</v>
      </c>
      <c r="BQ51" s="73">
        <v>-8532991.1449999996</v>
      </c>
      <c r="BR51">
        <v>396768.06900000002</v>
      </c>
      <c r="BS51" s="74">
        <v>6.0999999999999999E-2</v>
      </c>
      <c r="BU51" s="73">
        <v>-8532991.1449999996</v>
      </c>
      <c r="BV51">
        <v>396768.06900000002</v>
      </c>
      <c r="BW51" s="74">
        <v>6.0999999999999999E-2</v>
      </c>
      <c r="BY51" s="73">
        <v>-8532991.1449999996</v>
      </c>
      <c r="BZ51">
        <v>396768.06900000002</v>
      </c>
      <c r="CA51" s="74">
        <v>6.0999999999999999E-2</v>
      </c>
      <c r="CC51" s="73">
        <v>-8532991.1449999996</v>
      </c>
      <c r="CD51">
        <v>396768.06900000002</v>
      </c>
      <c r="CE51" s="74">
        <v>6.0999999999999999E-2</v>
      </c>
      <c r="CK51" s="73">
        <v>-8532235.1089999992</v>
      </c>
      <c r="CL51">
        <v>398964.90500000003</v>
      </c>
      <c r="CM51" s="74">
        <v>4.2999999999999997E-2</v>
      </c>
      <c r="CO51" s="73">
        <v>-8534204.2009999994</v>
      </c>
      <c r="CP51">
        <v>398864.27899999998</v>
      </c>
      <c r="CQ51" s="74">
        <v>184.73500000000001</v>
      </c>
      <c r="CS51" s="73">
        <v>-8534204.2009999994</v>
      </c>
      <c r="CT51">
        <v>398864.27899999998</v>
      </c>
      <c r="CU51" s="74">
        <v>184.73500000000001</v>
      </c>
      <c r="CW51" s="73">
        <v>-8534204.2009999994</v>
      </c>
      <c r="CX51">
        <v>398864.27899999998</v>
      </c>
      <c r="CY51" s="74">
        <v>184.73500000000001</v>
      </c>
      <c r="DE51" s="73">
        <v>-8534317.7469999995</v>
      </c>
      <c r="DF51">
        <v>398886.79300000001</v>
      </c>
      <c r="DG51" s="74">
        <v>0.1</v>
      </c>
      <c r="DI51" s="73">
        <v>-8531412.9749999996</v>
      </c>
      <c r="DJ51">
        <v>397304.76299999998</v>
      </c>
      <c r="DK51" s="74">
        <v>191.078</v>
      </c>
      <c r="DM51" s="73">
        <v>-8532991.1449999996</v>
      </c>
      <c r="DN51">
        <v>396768.06900000002</v>
      </c>
      <c r="DO51" s="74">
        <v>6.0999999999999999E-2</v>
      </c>
      <c r="DQ51" s="73">
        <v>-8532991.1449999996</v>
      </c>
      <c r="DR51">
        <v>396768.06900000002</v>
      </c>
      <c r="DS51" s="74">
        <v>6.0999999999999999E-2</v>
      </c>
      <c r="DU51" s="73">
        <v>-8534204.2009999994</v>
      </c>
      <c r="DV51">
        <v>398864.27899999998</v>
      </c>
      <c r="DW51" s="74">
        <v>184.73500000000001</v>
      </c>
      <c r="DY51" s="73">
        <v>-8534142.3560000006</v>
      </c>
      <c r="DZ51">
        <v>397993.40100000001</v>
      </c>
      <c r="EA51" s="74">
        <v>3.9E-2</v>
      </c>
      <c r="EC51" s="73">
        <v>-8534045.534</v>
      </c>
      <c r="ED51">
        <v>398161.19500000001</v>
      </c>
      <c r="EE51" s="74">
        <v>4.7E-2</v>
      </c>
      <c r="EG51" s="73">
        <v>-8539838.5250000004</v>
      </c>
      <c r="EH51">
        <v>394880.13299999997</v>
      </c>
      <c r="EI51" s="74">
        <v>5.2999999999999999E-2</v>
      </c>
      <c r="EK51">
        <v>-8533953.9920000006</v>
      </c>
      <c r="EL51">
        <v>398296.8</v>
      </c>
      <c r="EM51">
        <v>0.09</v>
      </c>
      <c r="EU51" s="77">
        <f>SUM(EU$3:EU50)</f>
        <v>3.5070000000000001</v>
      </c>
      <c r="EW51">
        <v>-8532660.4570000004</v>
      </c>
      <c r="EX51">
        <v>398001.32299999997</v>
      </c>
      <c r="FA51">
        <v>-8529637.0140000004</v>
      </c>
      <c r="FB51">
        <v>396471.30800000002</v>
      </c>
      <c r="FC51">
        <v>4.3999999999999997E-2</v>
      </c>
      <c r="FE51">
        <v>-8532582.5319999997</v>
      </c>
      <c r="FF51">
        <v>397091.73499999999</v>
      </c>
      <c r="FG51">
        <v>8.7999999999999995E-2</v>
      </c>
      <c r="FM51">
        <v>-8528658.9839999992</v>
      </c>
      <c r="FN51">
        <v>395739.054</v>
      </c>
      <c r="FO51">
        <v>28.015000000000001</v>
      </c>
      <c r="FQ51">
        <v>-8532751.1999999993</v>
      </c>
      <c r="FR51">
        <v>398005.58199999999</v>
      </c>
      <c r="FS51">
        <v>16.893999999999998</v>
      </c>
      <c r="FU51">
        <v>-8533812.6229999997</v>
      </c>
      <c r="FV51">
        <v>398283.24</v>
      </c>
      <c r="FW51">
        <v>6.7000000000000004E-2</v>
      </c>
      <c r="FY51">
        <v>-8530350.8870000001</v>
      </c>
      <c r="FZ51">
        <v>396472.83299999998</v>
      </c>
      <c r="GA51">
        <v>4.2000000000000003E-2</v>
      </c>
      <c r="GC51">
        <v>-8532061.9069999997</v>
      </c>
      <c r="GD51">
        <v>397823.37800000003</v>
      </c>
      <c r="GE51">
        <v>28.215</v>
      </c>
      <c r="GG51">
        <v>-8531341.9869999997</v>
      </c>
      <c r="GH51">
        <v>397231.92599999998</v>
      </c>
      <c r="GI51">
        <v>145.35300000000001</v>
      </c>
      <c r="GS51">
        <v>-8531660.4639999997</v>
      </c>
      <c r="GT51">
        <v>397668.31900000002</v>
      </c>
      <c r="GU51">
        <v>4.1000000000000002E-2</v>
      </c>
      <c r="HE51">
        <v>-8532746.1490000002</v>
      </c>
      <c r="HF51">
        <v>397913.86499999999</v>
      </c>
      <c r="HG51">
        <v>7.1999999999999995E-2</v>
      </c>
      <c r="HY51">
        <v>-8534218.0759999994</v>
      </c>
      <c r="HZ51">
        <v>398845.35499999998</v>
      </c>
      <c r="IA51">
        <v>0.129</v>
      </c>
      <c r="IK51">
        <v>-8532687.0289999992</v>
      </c>
      <c r="IL51">
        <v>398026.86300000001</v>
      </c>
      <c r="IM51">
        <v>2.8000000000000001E-2</v>
      </c>
      <c r="IO51">
        <v>-8534229.8100000005</v>
      </c>
      <c r="IP51">
        <v>398886.087</v>
      </c>
      <c r="IQ51">
        <v>0.06</v>
      </c>
    </row>
    <row r="52" spans="37:251" ht="15" thickBot="1" x14ac:dyDescent="0.35">
      <c r="AK52" s="73">
        <v>-8530610.8990000002</v>
      </c>
      <c r="AL52">
        <v>396692.42</v>
      </c>
      <c r="AM52" s="74">
        <v>2.8000000000000001E-2</v>
      </c>
      <c r="AO52" s="73">
        <v>-8530610.8990000002</v>
      </c>
      <c r="AP52">
        <v>396692.42</v>
      </c>
      <c r="AQ52" s="74">
        <v>2.8000000000000001E-2</v>
      </c>
      <c r="BA52" s="73">
        <v>-8532913.8350000009</v>
      </c>
      <c r="BB52">
        <v>396707.67099999997</v>
      </c>
      <c r="BC52" s="74">
        <v>9.8000000000000004E-2</v>
      </c>
      <c r="BE52" s="73">
        <v>-8532913.8350000009</v>
      </c>
      <c r="BF52">
        <v>396707.67099999997</v>
      </c>
      <c r="BG52" s="74">
        <v>9.8000000000000004E-2</v>
      </c>
      <c r="BI52" s="73">
        <v>-8532913.8350000009</v>
      </c>
      <c r="BJ52">
        <v>396707.67099999997</v>
      </c>
      <c r="BK52" s="74">
        <v>9.8000000000000004E-2</v>
      </c>
      <c r="BM52" s="73">
        <v>-8532913.8350000009</v>
      </c>
      <c r="BN52">
        <v>396707.67099999997</v>
      </c>
      <c r="BO52" s="74">
        <v>9.8000000000000004E-2</v>
      </c>
      <c r="BQ52" s="73">
        <v>-8532913.8350000009</v>
      </c>
      <c r="BR52">
        <v>396707.67099999997</v>
      </c>
      <c r="BS52" s="74">
        <v>9.8000000000000004E-2</v>
      </c>
      <c r="BU52" s="73">
        <v>-8532913.8350000009</v>
      </c>
      <c r="BV52">
        <v>396707.67099999997</v>
      </c>
      <c r="BW52" s="74">
        <v>9.8000000000000004E-2</v>
      </c>
      <c r="BY52" s="73">
        <v>-8532913.8350000009</v>
      </c>
      <c r="BZ52">
        <v>396707.67099999997</v>
      </c>
      <c r="CA52" s="74">
        <v>9.8000000000000004E-2</v>
      </c>
      <c r="CC52" s="73">
        <v>-8532913.8350000009</v>
      </c>
      <c r="CD52">
        <v>396707.67099999997</v>
      </c>
      <c r="CE52" s="74">
        <v>9.8000000000000004E-2</v>
      </c>
      <c r="CK52" s="73">
        <v>-8532235.1089999992</v>
      </c>
      <c r="CL52">
        <v>398992.99099999998</v>
      </c>
      <c r="CM52" s="74">
        <v>2.8000000000000001E-2</v>
      </c>
      <c r="CO52" s="73">
        <v>-8534227.1339999996</v>
      </c>
      <c r="CP52">
        <v>398883.77100000001</v>
      </c>
      <c r="CQ52" s="74">
        <v>30.097999999999999</v>
      </c>
      <c r="CS52" s="73">
        <v>-8534227.1339999996</v>
      </c>
      <c r="CT52">
        <v>398883.77100000001</v>
      </c>
      <c r="CU52" s="74">
        <v>30.097999999999999</v>
      </c>
      <c r="CW52" s="73">
        <v>-8534227.1339999996</v>
      </c>
      <c r="CX52">
        <v>398883.77100000001</v>
      </c>
      <c r="CY52" s="74">
        <v>30.097999999999999</v>
      </c>
      <c r="DE52" s="73">
        <v>-8534319.5610000007</v>
      </c>
      <c r="DF52">
        <v>398923.07299999997</v>
      </c>
      <c r="DG52" s="74">
        <v>3.5999999999999997E-2</v>
      </c>
      <c r="DI52" s="73">
        <v>-8531348.8049999997</v>
      </c>
      <c r="DJ52">
        <v>397252.38400000002</v>
      </c>
      <c r="DK52" s="74">
        <v>82.832999999999998</v>
      </c>
      <c r="DM52" s="73">
        <v>-8532913.8350000009</v>
      </c>
      <c r="DN52">
        <v>396707.67099999997</v>
      </c>
      <c r="DO52" s="74">
        <v>9.8000000000000004E-2</v>
      </c>
      <c r="DQ52" s="73">
        <v>-8532913.8350000009</v>
      </c>
      <c r="DR52">
        <v>396707.67099999997</v>
      </c>
      <c r="DS52" s="74">
        <v>9.8000000000000004E-2</v>
      </c>
      <c r="DU52" s="73">
        <v>-8534227.1339999996</v>
      </c>
      <c r="DV52">
        <v>398883.77100000001</v>
      </c>
      <c r="DW52" s="74">
        <v>30.097999999999999</v>
      </c>
      <c r="DY52" s="73">
        <v>-8534133.2860000003</v>
      </c>
      <c r="DZ52">
        <v>397952.13199999998</v>
      </c>
      <c r="EA52" s="74">
        <v>4.2000000000000003E-2</v>
      </c>
      <c r="EC52" s="73">
        <v>-8534080</v>
      </c>
      <c r="ED52">
        <v>398147.59</v>
      </c>
      <c r="EE52" s="74">
        <v>3.6999999999999998E-2</v>
      </c>
      <c r="EG52" s="73">
        <v>-8539738.7550000008</v>
      </c>
      <c r="EH52">
        <v>394612.56900000002</v>
      </c>
      <c r="EI52" s="74">
        <v>0.28599999999999998</v>
      </c>
      <c r="EK52">
        <v>-8533978.6860000007</v>
      </c>
      <c r="EL52">
        <v>398256.23</v>
      </c>
      <c r="EM52">
        <v>4.7E-2</v>
      </c>
      <c r="EY52" s="77">
        <f>SUM(EY$3:EY51)</f>
        <v>2.6410000000000009</v>
      </c>
      <c r="FA52">
        <v>-8529663.8029999994</v>
      </c>
      <c r="FB52">
        <v>396483.21399999998</v>
      </c>
      <c r="FC52">
        <v>2.9000000000000001E-2</v>
      </c>
      <c r="FE52">
        <v>-8532712.0120000001</v>
      </c>
      <c r="FF52">
        <v>397230.14500000002</v>
      </c>
      <c r="FG52">
        <v>0.188</v>
      </c>
      <c r="FM52">
        <v>-8528696.6870000008</v>
      </c>
      <c r="FN52">
        <v>395798.58500000002</v>
      </c>
      <c r="FO52">
        <v>69.997</v>
      </c>
      <c r="FQ52">
        <v>-8532748.2229999993</v>
      </c>
      <c r="FR52">
        <v>398018.23200000002</v>
      </c>
      <c r="FS52">
        <v>12.888999999999999</v>
      </c>
      <c r="FU52">
        <v>-8533785.2760000005</v>
      </c>
      <c r="FV52">
        <v>398283.24</v>
      </c>
      <c r="FW52">
        <v>2.7E-2</v>
      </c>
      <c r="FY52">
        <v>-8530387.6170000006</v>
      </c>
      <c r="FZ52">
        <v>396519.92300000001</v>
      </c>
      <c r="GA52">
        <v>5.8999999999999997E-2</v>
      </c>
      <c r="GC52">
        <v>-8532131.6009999998</v>
      </c>
      <c r="GD52">
        <v>397836.56300000002</v>
      </c>
      <c r="GE52">
        <v>70.777000000000001</v>
      </c>
      <c r="GG52">
        <v>-8531419.6860000007</v>
      </c>
      <c r="GH52">
        <v>397309.625</v>
      </c>
      <c r="GI52">
        <v>109.306</v>
      </c>
      <c r="GS52">
        <v>-8531689.0710000005</v>
      </c>
      <c r="GT52">
        <v>397678.64899999998</v>
      </c>
      <c r="GU52">
        <v>0.03</v>
      </c>
      <c r="HE52">
        <v>-8532707.6089999992</v>
      </c>
      <c r="HF52">
        <v>398026.70500000002</v>
      </c>
      <c r="HG52">
        <v>0.11799999999999999</v>
      </c>
      <c r="HY52">
        <v>-8534228.8039999995</v>
      </c>
      <c r="HZ52">
        <v>398641.52799999999</v>
      </c>
      <c r="IA52">
        <v>0.20200000000000001</v>
      </c>
      <c r="IK52">
        <v>-8532687.0289999992</v>
      </c>
      <c r="IL52">
        <v>398053.68199999997</v>
      </c>
      <c r="IM52">
        <v>2.7E-2</v>
      </c>
      <c r="IO52">
        <v>-8534202.9900000002</v>
      </c>
      <c r="IP52">
        <v>398872.67700000003</v>
      </c>
      <c r="IQ52">
        <v>0.03</v>
      </c>
    </row>
    <row r="53" spans="37:251" x14ac:dyDescent="0.3">
      <c r="AK53" s="73">
        <v>-8530551.3059999999</v>
      </c>
      <c r="AL53">
        <v>396700.473</v>
      </c>
      <c r="AM53" s="74">
        <v>0.06</v>
      </c>
      <c r="AO53" s="73">
        <v>-8530551.3059999999</v>
      </c>
      <c r="AP53">
        <v>396700.473</v>
      </c>
      <c r="AQ53" s="74">
        <v>0.06</v>
      </c>
      <c r="BA53" s="73">
        <v>-8532853.4360000007</v>
      </c>
      <c r="BB53">
        <v>396603.78600000002</v>
      </c>
      <c r="BC53" s="74">
        <v>0.12</v>
      </c>
      <c r="BE53" s="73">
        <v>-8532853.4360000007</v>
      </c>
      <c r="BF53">
        <v>396603.78600000002</v>
      </c>
      <c r="BG53" s="74">
        <v>0.12</v>
      </c>
      <c r="BI53" s="73">
        <v>-8532853.4360000007</v>
      </c>
      <c r="BJ53">
        <v>396603.78600000002</v>
      </c>
      <c r="BK53" s="74">
        <v>0.12</v>
      </c>
      <c r="BM53" s="73">
        <v>-8532853.4360000007</v>
      </c>
      <c r="BN53">
        <v>396603.78600000002</v>
      </c>
      <c r="BO53" s="74">
        <v>0.12</v>
      </c>
      <c r="BQ53" s="73">
        <v>-8532853.4360000007</v>
      </c>
      <c r="BR53">
        <v>396603.78600000002</v>
      </c>
      <c r="BS53" s="74">
        <v>0.12</v>
      </c>
      <c r="BU53" s="73">
        <v>-8532853.4360000007</v>
      </c>
      <c r="BV53">
        <v>396603.78600000002</v>
      </c>
      <c r="BW53" s="74">
        <v>0.12</v>
      </c>
      <c r="BY53" s="73">
        <v>-8532853.4360000007</v>
      </c>
      <c r="BZ53">
        <v>396603.78600000002</v>
      </c>
      <c r="CA53" s="74">
        <v>0.12</v>
      </c>
      <c r="CC53" s="73">
        <v>-8532853.4360000007</v>
      </c>
      <c r="CD53">
        <v>396603.78600000002</v>
      </c>
      <c r="CE53" s="74">
        <v>0.12</v>
      </c>
      <c r="CK53" s="73">
        <v>-8532253.2290000003</v>
      </c>
      <c r="CL53">
        <v>399023.79399999999</v>
      </c>
      <c r="CM53" s="74">
        <v>3.5999999999999997E-2</v>
      </c>
      <c r="CO53" s="73">
        <v>-8534307.3969999999</v>
      </c>
      <c r="CP53">
        <v>398886.06400000001</v>
      </c>
      <c r="CQ53" s="74">
        <v>80.296000000000006</v>
      </c>
      <c r="CS53" s="73">
        <v>-8534307.3969999999</v>
      </c>
      <c r="CT53">
        <v>398886.06400000001</v>
      </c>
      <c r="CU53" s="74">
        <v>80.296000000000006</v>
      </c>
      <c r="CW53" s="73">
        <v>-8534307.3969999999</v>
      </c>
      <c r="CX53">
        <v>398886.06400000001</v>
      </c>
      <c r="CY53" s="74">
        <v>80.296000000000006</v>
      </c>
      <c r="DE53" s="73">
        <v>-8534236.1170000006</v>
      </c>
      <c r="DF53">
        <v>398988.37699999998</v>
      </c>
      <c r="DG53" s="74">
        <v>0.106</v>
      </c>
      <c r="DI53" s="73">
        <v>-8531294.3849999998</v>
      </c>
      <c r="DJ53">
        <v>397180.73100000003</v>
      </c>
      <c r="DK53" s="74">
        <v>89.975999999999999</v>
      </c>
      <c r="DM53" s="73">
        <v>-8532853.4360000007</v>
      </c>
      <c r="DN53">
        <v>396603.78600000002</v>
      </c>
      <c r="DO53" s="74">
        <v>0.12</v>
      </c>
      <c r="DQ53" s="73">
        <v>-8532853.4360000007</v>
      </c>
      <c r="DR53">
        <v>396603.78600000002</v>
      </c>
      <c r="DS53" s="74">
        <v>0.12</v>
      </c>
      <c r="DU53" s="73">
        <v>-8534307.3969999999</v>
      </c>
      <c r="DV53">
        <v>398886.06400000001</v>
      </c>
      <c r="DW53" s="74">
        <v>80.296000000000006</v>
      </c>
      <c r="DY53" s="73">
        <v>-8534141.4489999991</v>
      </c>
      <c r="DZ53">
        <v>397931.27100000001</v>
      </c>
      <c r="EA53" s="74">
        <v>2.1999999999999999E-2</v>
      </c>
      <c r="EC53" s="73">
        <v>-8534096.7799999993</v>
      </c>
      <c r="ED53">
        <v>398133.07799999998</v>
      </c>
      <c r="EE53" s="74">
        <v>2.1999999999999999E-2</v>
      </c>
      <c r="EG53" s="73">
        <v>-8539751.4529999997</v>
      </c>
      <c r="EH53">
        <v>394569.033</v>
      </c>
      <c r="EI53" s="74">
        <v>4.4999999999999998E-2</v>
      </c>
      <c r="EK53">
        <v>-8533978.6860000007</v>
      </c>
      <c r="EL53">
        <v>398219.18900000001</v>
      </c>
      <c r="EM53">
        <v>3.6999999999999998E-2</v>
      </c>
      <c r="FA53">
        <v>-8529709.9399999995</v>
      </c>
      <c r="FB53">
        <v>396468.33100000001</v>
      </c>
      <c r="FC53">
        <v>4.8000000000000001E-2</v>
      </c>
      <c r="FE53">
        <v>-8532665.875</v>
      </c>
      <c r="FF53">
        <v>397374.50799999997</v>
      </c>
      <c r="FG53">
        <v>0.15</v>
      </c>
      <c r="FM53">
        <v>-8528725.4609999992</v>
      </c>
      <c r="FN53">
        <v>395823.39</v>
      </c>
      <c r="FO53">
        <v>37.808999999999997</v>
      </c>
      <c r="FQ53">
        <v>-8532731.1079999991</v>
      </c>
      <c r="FR53">
        <v>398028.65</v>
      </c>
      <c r="FS53">
        <v>19.962</v>
      </c>
      <c r="FU53">
        <v>-8533768.5329999998</v>
      </c>
      <c r="FV53">
        <v>398263.70600000001</v>
      </c>
      <c r="FW53">
        <v>2.5999999999999999E-2</v>
      </c>
      <c r="FY53">
        <v>-8530397.0350000001</v>
      </c>
      <c r="FZ53">
        <v>396592.44199999998</v>
      </c>
      <c r="GA53">
        <v>7.2999999999999995E-2</v>
      </c>
      <c r="GC53">
        <v>-8532265.3369999994</v>
      </c>
      <c r="GD53">
        <v>397945.81199999998</v>
      </c>
      <c r="GE53">
        <v>171.89400000000001</v>
      </c>
      <c r="GG53">
        <v>-8531476.1940000001</v>
      </c>
      <c r="GH53">
        <v>397460.78399999999</v>
      </c>
      <c r="GI53">
        <v>160.124</v>
      </c>
      <c r="GS53">
        <v>-8531733.5710000005</v>
      </c>
      <c r="GT53">
        <v>397653.22100000002</v>
      </c>
      <c r="GU53">
        <v>5.0999999999999997E-2</v>
      </c>
      <c r="HE53">
        <v>-8532730.2559999991</v>
      </c>
      <c r="HF53">
        <v>398080.34299999999</v>
      </c>
      <c r="HG53">
        <v>5.8000000000000003E-2</v>
      </c>
      <c r="HY53">
        <v>-8534014.25</v>
      </c>
      <c r="HZ53">
        <v>398544.978</v>
      </c>
      <c r="IA53">
        <v>0.23499999999999999</v>
      </c>
      <c r="IK53">
        <v>-8532727.2579999994</v>
      </c>
      <c r="IL53">
        <v>398051</v>
      </c>
      <c r="IM53">
        <v>0.04</v>
      </c>
      <c r="IO53">
        <v>-8534197.6270000003</v>
      </c>
      <c r="IP53">
        <v>398835.13</v>
      </c>
      <c r="IQ53">
        <v>3.7999999999999999E-2</v>
      </c>
    </row>
    <row r="54" spans="37:251" x14ac:dyDescent="0.3">
      <c r="AK54" s="73">
        <v>-8530512.6510000005</v>
      </c>
      <c r="AL54">
        <v>396653.76500000001</v>
      </c>
      <c r="AM54" s="74">
        <v>6.0999999999999999E-2</v>
      </c>
      <c r="AO54" s="73">
        <v>-8530512.6510000005</v>
      </c>
      <c r="AP54">
        <v>396653.76500000001</v>
      </c>
      <c r="AQ54" s="74">
        <v>6.0999999999999999E-2</v>
      </c>
      <c r="BA54" s="73">
        <v>-8532870.3479999993</v>
      </c>
      <c r="BB54">
        <v>396482.989</v>
      </c>
      <c r="BC54" s="74">
        <v>0.122</v>
      </c>
      <c r="BE54" s="73">
        <v>-8532870.3479999993</v>
      </c>
      <c r="BF54">
        <v>396482.989</v>
      </c>
      <c r="BG54" s="74">
        <v>0.122</v>
      </c>
      <c r="BI54" s="73">
        <v>-8532870.3479999993</v>
      </c>
      <c r="BJ54">
        <v>396482.989</v>
      </c>
      <c r="BK54" s="74">
        <v>0.122</v>
      </c>
      <c r="BM54" s="73">
        <v>-8532870.3479999993</v>
      </c>
      <c r="BN54">
        <v>396482.989</v>
      </c>
      <c r="BO54" s="74">
        <v>0.122</v>
      </c>
      <c r="BQ54" s="73">
        <v>-8532870.3479999993</v>
      </c>
      <c r="BR54">
        <v>396482.989</v>
      </c>
      <c r="BS54" s="74">
        <v>0.122</v>
      </c>
      <c r="BU54" s="73">
        <v>-8532870.3479999993</v>
      </c>
      <c r="BV54">
        <v>396482.989</v>
      </c>
      <c r="BW54" s="74">
        <v>0.122</v>
      </c>
      <c r="BY54" s="73">
        <v>-8532870.3479999993</v>
      </c>
      <c r="BZ54">
        <v>396482.989</v>
      </c>
      <c r="CA54" s="74">
        <v>0.122</v>
      </c>
      <c r="CC54" s="73">
        <v>-8532870.3479999993</v>
      </c>
      <c r="CD54">
        <v>396482.989</v>
      </c>
      <c r="CE54" s="74">
        <v>0.122</v>
      </c>
      <c r="CK54" s="73">
        <v>-8532253.2290000003</v>
      </c>
      <c r="CL54">
        <v>399094.46</v>
      </c>
      <c r="CM54" s="74">
        <v>7.0999999999999994E-2</v>
      </c>
      <c r="CO54" s="73">
        <v>-8534329.1830000002</v>
      </c>
      <c r="CP54">
        <v>398907.85</v>
      </c>
      <c r="CQ54" s="74">
        <v>30.81</v>
      </c>
      <c r="CS54" s="73">
        <v>-8534329.1830000002</v>
      </c>
      <c r="CT54">
        <v>398907.85</v>
      </c>
      <c r="CU54" s="74">
        <v>30.81</v>
      </c>
      <c r="CW54" s="73">
        <v>-8534329.1830000002</v>
      </c>
      <c r="CX54">
        <v>398907.85</v>
      </c>
      <c r="CY54" s="74">
        <v>30.81</v>
      </c>
      <c r="DE54" s="73">
        <v>-8534236.1170000006</v>
      </c>
      <c r="DF54">
        <v>399019.21399999998</v>
      </c>
      <c r="DG54" s="74">
        <v>3.1E-2</v>
      </c>
      <c r="DI54" s="73">
        <v>-8531258.1060000006</v>
      </c>
      <c r="DJ54">
        <v>397129.033</v>
      </c>
      <c r="DK54" s="74">
        <v>63.158999999999999</v>
      </c>
      <c r="DM54" s="73">
        <v>-8532870.3479999993</v>
      </c>
      <c r="DN54">
        <v>396482.989</v>
      </c>
      <c r="DO54" s="74">
        <v>0.122</v>
      </c>
      <c r="DQ54" s="73">
        <v>-8532870.3479999993</v>
      </c>
      <c r="DR54">
        <v>396482.989</v>
      </c>
      <c r="DS54" s="74">
        <v>0.122</v>
      </c>
      <c r="DU54" s="73">
        <v>-8534329.1830000002</v>
      </c>
      <c r="DV54">
        <v>398907.85</v>
      </c>
      <c r="DW54" s="74">
        <v>30.81</v>
      </c>
      <c r="DY54" s="73">
        <v>-8534154.6009999998</v>
      </c>
      <c r="DZ54">
        <v>397928.09700000001</v>
      </c>
      <c r="EA54" s="74">
        <v>1.4E-2</v>
      </c>
      <c r="EC54" s="73">
        <v>-8534108.1170000006</v>
      </c>
      <c r="ED54">
        <v>398101.33299999998</v>
      </c>
      <c r="EE54" s="74">
        <v>3.4000000000000002E-2</v>
      </c>
      <c r="EG54" s="73">
        <v>-8539798.6170000006</v>
      </c>
      <c r="EH54">
        <v>394510.98599999998</v>
      </c>
      <c r="EI54" s="74">
        <v>7.4999999999999997E-2</v>
      </c>
      <c r="EK54">
        <v>-8533961.0470000003</v>
      </c>
      <c r="EL54">
        <v>398199.78600000002</v>
      </c>
      <c r="EM54">
        <v>2.5999999999999999E-2</v>
      </c>
      <c r="FA54">
        <v>-8529727.7990000006</v>
      </c>
      <c r="FB54">
        <v>396411.77600000001</v>
      </c>
      <c r="FC54">
        <v>5.8999999999999997E-2</v>
      </c>
      <c r="FE54">
        <v>-8532595.9260000009</v>
      </c>
      <c r="FF54">
        <v>397402.78600000002</v>
      </c>
      <c r="FG54">
        <v>7.4999999999999997E-2</v>
      </c>
      <c r="FM54">
        <v>-8528734.3910000008</v>
      </c>
      <c r="FN54">
        <v>395891.85100000002</v>
      </c>
      <c r="FO54">
        <v>68.456999999999994</v>
      </c>
      <c r="FQ54">
        <v>-8532728.1309999991</v>
      </c>
      <c r="FR54">
        <v>398050.23100000003</v>
      </c>
      <c r="FS54">
        <v>21.6</v>
      </c>
      <c r="FU54">
        <v>-8533769.6490000002</v>
      </c>
      <c r="FV54">
        <v>398216.26699999999</v>
      </c>
      <c r="FW54">
        <v>4.7E-2</v>
      </c>
      <c r="FY54">
        <v>-8530441.3000000007</v>
      </c>
      <c r="FZ54">
        <v>396632.93900000001</v>
      </c>
      <c r="GA54">
        <v>0.06</v>
      </c>
      <c r="GC54">
        <v>-8532338.7970000003</v>
      </c>
      <c r="GD54">
        <v>397989.13500000001</v>
      </c>
      <c r="GE54">
        <v>84.972999999999999</v>
      </c>
      <c r="GG54">
        <v>-8531491.7339999992</v>
      </c>
      <c r="GH54">
        <v>397491.86300000001</v>
      </c>
      <c r="GI54">
        <v>34.496000000000002</v>
      </c>
      <c r="GS54">
        <v>-8531747.875</v>
      </c>
      <c r="GT54">
        <v>397645.27399999998</v>
      </c>
      <c r="GU54">
        <v>1.6E-2</v>
      </c>
      <c r="HE54">
        <v>-8532837.534</v>
      </c>
      <c r="HF54">
        <v>398102.99099999998</v>
      </c>
      <c r="HG54">
        <v>0.109</v>
      </c>
      <c r="HY54">
        <v>-8533928.4279999994</v>
      </c>
      <c r="HZ54">
        <v>398598.61700000003</v>
      </c>
      <c r="IA54">
        <v>0.10100000000000001</v>
      </c>
      <c r="IK54">
        <v>-8532731.2809999995</v>
      </c>
      <c r="IL54">
        <v>398087.20600000001</v>
      </c>
      <c r="IM54">
        <v>3.5999999999999997E-2</v>
      </c>
      <c r="IO54">
        <v>-8534208.3540000003</v>
      </c>
      <c r="IP54">
        <v>398642.03100000002</v>
      </c>
      <c r="IQ54">
        <v>0.192</v>
      </c>
    </row>
    <row r="55" spans="37:251" x14ac:dyDescent="0.3">
      <c r="AK55" s="73">
        <v>-8530411.182</v>
      </c>
      <c r="AL55">
        <v>396608.66800000001</v>
      </c>
      <c r="AM55" s="74">
        <v>0.111</v>
      </c>
      <c r="AO55" s="73">
        <v>-8530411.182</v>
      </c>
      <c r="AP55">
        <v>396608.66800000001</v>
      </c>
      <c r="AQ55" s="74">
        <v>0.111</v>
      </c>
      <c r="BA55" s="73">
        <v>-8532919.875</v>
      </c>
      <c r="BB55">
        <v>396410.511</v>
      </c>
      <c r="BC55" s="74">
        <v>8.7999999999999995E-2</v>
      </c>
      <c r="BE55" s="73">
        <v>-8532919.875</v>
      </c>
      <c r="BF55">
        <v>396410.511</v>
      </c>
      <c r="BG55" s="74">
        <v>8.7999999999999995E-2</v>
      </c>
      <c r="BI55" s="73">
        <v>-8532919.875</v>
      </c>
      <c r="BJ55">
        <v>396410.511</v>
      </c>
      <c r="BK55" s="74">
        <v>8.7999999999999995E-2</v>
      </c>
      <c r="BM55" s="73">
        <v>-8532919.875</v>
      </c>
      <c r="BN55">
        <v>396410.511</v>
      </c>
      <c r="BO55" s="74">
        <v>8.7999999999999995E-2</v>
      </c>
      <c r="BQ55" s="73">
        <v>-8532919.875</v>
      </c>
      <c r="BR55">
        <v>396410.511</v>
      </c>
      <c r="BS55" s="74">
        <v>8.7999999999999995E-2</v>
      </c>
      <c r="BU55" s="73">
        <v>-8532919.875</v>
      </c>
      <c r="BV55">
        <v>396410.511</v>
      </c>
      <c r="BW55" s="74">
        <v>8.7999999999999995E-2</v>
      </c>
      <c r="BY55" s="73">
        <v>-8532919.875</v>
      </c>
      <c r="BZ55">
        <v>396410.511</v>
      </c>
      <c r="CA55" s="74">
        <v>8.7999999999999995E-2</v>
      </c>
      <c r="CC55" s="73">
        <v>-8532919.875</v>
      </c>
      <c r="CD55">
        <v>396410.511</v>
      </c>
      <c r="CE55" s="74">
        <v>8.7999999999999995E-2</v>
      </c>
      <c r="CK55" s="73">
        <v>-8532264.0999999996</v>
      </c>
      <c r="CL55">
        <v>399151.53600000002</v>
      </c>
      <c r="CM55" s="74">
        <v>5.8000000000000003E-2</v>
      </c>
      <c r="CO55" s="73">
        <v>-8534322.3039999995</v>
      </c>
      <c r="CP55">
        <v>398937.66200000001</v>
      </c>
      <c r="CQ55" s="74">
        <v>30.596</v>
      </c>
      <c r="CS55" s="73">
        <v>-8534322.3039999995</v>
      </c>
      <c r="CT55">
        <v>398937.66200000001</v>
      </c>
      <c r="CU55" s="74">
        <v>30.596</v>
      </c>
      <c r="CW55" s="73">
        <v>-8534322.3039999995</v>
      </c>
      <c r="CX55">
        <v>398937.66200000001</v>
      </c>
      <c r="CY55" s="74">
        <v>30.596</v>
      </c>
      <c r="DE55" s="73">
        <v>-8534276.0250000004</v>
      </c>
      <c r="DF55">
        <v>399133.49599999998</v>
      </c>
      <c r="DG55" s="74">
        <v>0.121</v>
      </c>
      <c r="DI55" s="73">
        <v>-8531164.6850000005</v>
      </c>
      <c r="DJ55">
        <v>397095.47399999999</v>
      </c>
      <c r="DK55" s="74">
        <v>99.265000000000001</v>
      </c>
      <c r="DM55" s="73">
        <v>-8532919.875</v>
      </c>
      <c r="DN55">
        <v>396410.511</v>
      </c>
      <c r="DO55" s="74">
        <v>8.7999999999999995E-2</v>
      </c>
      <c r="DQ55" s="73">
        <v>-8532919.875</v>
      </c>
      <c r="DR55">
        <v>396410.511</v>
      </c>
      <c r="DS55" s="74">
        <v>8.7999999999999995E-2</v>
      </c>
      <c r="DU55" s="73">
        <v>-8534322.3039999995</v>
      </c>
      <c r="DV55">
        <v>398937.66200000001</v>
      </c>
      <c r="DW55" s="74">
        <v>30.596</v>
      </c>
      <c r="DY55" s="73">
        <v>-8534260.2660000008</v>
      </c>
      <c r="DZ55">
        <v>397940.79499999998</v>
      </c>
      <c r="EA55" s="74">
        <v>0.106</v>
      </c>
      <c r="EC55" s="73">
        <v>-8534116.7339999992</v>
      </c>
      <c r="ED55">
        <v>398080.01899999997</v>
      </c>
      <c r="EE55" s="74">
        <v>2.3E-2</v>
      </c>
      <c r="EG55" s="73">
        <v>-8539784.1050000004</v>
      </c>
      <c r="EH55">
        <v>394463.82199999999</v>
      </c>
      <c r="EI55" s="74">
        <v>4.9000000000000002E-2</v>
      </c>
      <c r="EK55">
        <v>-8533918.7139999997</v>
      </c>
      <c r="EL55">
        <v>398210.36900000001</v>
      </c>
      <c r="EM55">
        <v>4.3999999999999997E-2</v>
      </c>
      <c r="FA55">
        <v>-8529751.6109999996</v>
      </c>
      <c r="FB55">
        <v>396395.40500000003</v>
      </c>
      <c r="FC55">
        <v>2.9000000000000001E-2</v>
      </c>
      <c r="FE55">
        <v>-8532482.8169999998</v>
      </c>
      <c r="FF55">
        <v>397468.27</v>
      </c>
      <c r="FG55">
        <v>0.13</v>
      </c>
      <c r="FM55">
        <v>-8528700.6559999995</v>
      </c>
      <c r="FN55">
        <v>395913.679</v>
      </c>
      <c r="FO55">
        <v>40.024999999999999</v>
      </c>
      <c r="FQ55">
        <v>-8532777.9890000001</v>
      </c>
      <c r="FR55">
        <v>398053.20699999999</v>
      </c>
      <c r="FS55">
        <v>49.848999999999997</v>
      </c>
      <c r="FU55">
        <v>-8533762.3939999994</v>
      </c>
      <c r="FV55">
        <v>398182.78100000002</v>
      </c>
      <c r="FW55">
        <v>3.4000000000000002E-2</v>
      </c>
      <c r="FY55">
        <v>-8530517.1150000002</v>
      </c>
      <c r="FZ55">
        <v>396651.304</v>
      </c>
      <c r="GA55">
        <v>7.8E-2</v>
      </c>
      <c r="GC55">
        <v>-8532431.0940000005</v>
      </c>
      <c r="GD55">
        <v>397980.65899999999</v>
      </c>
      <c r="GE55">
        <v>92.501000000000005</v>
      </c>
      <c r="GG55">
        <v>-8531657.0199999996</v>
      </c>
      <c r="GH55">
        <v>397572.38799999998</v>
      </c>
      <c r="GI55">
        <v>183.27</v>
      </c>
      <c r="GS55">
        <v>-8531770.125</v>
      </c>
      <c r="GT55">
        <v>397657.989</v>
      </c>
      <c r="GU55">
        <v>2.5999999999999999E-2</v>
      </c>
      <c r="HE55">
        <v>-8532850.6449999996</v>
      </c>
      <c r="HF55">
        <v>398160.20500000002</v>
      </c>
      <c r="HG55">
        <v>5.8000000000000003E-2</v>
      </c>
      <c r="HY55">
        <v>-8533788.9670000002</v>
      </c>
      <c r="HZ55">
        <v>398373.33500000002</v>
      </c>
      <c r="IA55">
        <v>0.26300000000000001</v>
      </c>
      <c r="IK55">
        <v>-8532822.466</v>
      </c>
      <c r="IL55">
        <v>398097.93400000001</v>
      </c>
      <c r="IM55">
        <v>9.1999999999999998E-2</v>
      </c>
      <c r="IO55">
        <v>-8534170.807</v>
      </c>
      <c r="IP55">
        <v>398609.848</v>
      </c>
      <c r="IQ55">
        <v>4.9000000000000002E-2</v>
      </c>
    </row>
    <row r="56" spans="37:251" x14ac:dyDescent="0.3">
      <c r="AK56" s="73">
        <v>-8530378.9700000007</v>
      </c>
      <c r="AL56">
        <v>396508.81</v>
      </c>
      <c r="AM56" s="74">
        <v>0.105</v>
      </c>
      <c r="AO56" s="73">
        <v>-8530378.9700000007</v>
      </c>
      <c r="AP56">
        <v>396508.81</v>
      </c>
      <c r="AQ56" s="74">
        <v>0.105</v>
      </c>
      <c r="BA56" s="73">
        <v>-8532929.5380000006</v>
      </c>
      <c r="BB56">
        <v>396373.06400000001</v>
      </c>
      <c r="BC56" s="74">
        <v>3.9E-2</v>
      </c>
      <c r="BE56" s="73">
        <v>-8532929.5380000006</v>
      </c>
      <c r="BF56">
        <v>396373.06400000001</v>
      </c>
      <c r="BG56" s="74">
        <v>3.9E-2</v>
      </c>
      <c r="BI56" s="73">
        <v>-8532929.5380000006</v>
      </c>
      <c r="BJ56">
        <v>396373.06400000001</v>
      </c>
      <c r="BK56" s="74">
        <v>3.9E-2</v>
      </c>
      <c r="BM56" s="73">
        <v>-8532929.5380000006</v>
      </c>
      <c r="BN56">
        <v>396373.06400000001</v>
      </c>
      <c r="BO56" s="74">
        <v>3.9E-2</v>
      </c>
      <c r="BQ56" s="73">
        <v>-8532929.5380000006</v>
      </c>
      <c r="BR56">
        <v>396373.06400000001</v>
      </c>
      <c r="BS56" s="74">
        <v>3.9E-2</v>
      </c>
      <c r="BU56" s="73">
        <v>-8532929.5380000006</v>
      </c>
      <c r="BV56">
        <v>396373.06400000001</v>
      </c>
      <c r="BW56" s="74">
        <v>3.9E-2</v>
      </c>
      <c r="BY56" s="73">
        <v>-8532929.5380000006</v>
      </c>
      <c r="BZ56">
        <v>396373.06400000001</v>
      </c>
      <c r="CA56" s="74">
        <v>3.9E-2</v>
      </c>
      <c r="CC56" s="73">
        <v>-8532929.5380000006</v>
      </c>
      <c r="CD56">
        <v>396373.06400000001</v>
      </c>
      <c r="CE56" s="74">
        <v>3.9E-2</v>
      </c>
      <c r="CK56" s="73">
        <v>-8532284.0319999997</v>
      </c>
      <c r="CL56">
        <v>399204.08299999998</v>
      </c>
      <c r="CM56" s="74">
        <v>5.6000000000000001E-2</v>
      </c>
      <c r="CO56" s="73">
        <v>-8534243.7599999998</v>
      </c>
      <c r="CP56">
        <v>398981.234</v>
      </c>
      <c r="CQ56" s="74">
        <v>89.82</v>
      </c>
      <c r="CS56" s="73">
        <v>-8534243.7599999998</v>
      </c>
      <c r="CT56">
        <v>398981.234</v>
      </c>
      <c r="CU56" s="74">
        <v>89.82</v>
      </c>
      <c r="CW56" s="73">
        <v>-8534243.7599999998</v>
      </c>
      <c r="CX56">
        <v>398981.234</v>
      </c>
      <c r="CY56" s="74">
        <v>89.82</v>
      </c>
      <c r="DE56" s="73">
        <v>-8534250.6290000007</v>
      </c>
      <c r="DF56">
        <v>399198.8</v>
      </c>
      <c r="DG56" s="74">
        <v>7.0000000000000007E-2</v>
      </c>
      <c r="DI56" s="73">
        <v>-8531119.3350000009</v>
      </c>
      <c r="DJ56">
        <v>397060.10100000002</v>
      </c>
      <c r="DK56" s="74">
        <v>57.514000000000003</v>
      </c>
      <c r="DM56" s="73">
        <v>-8532929.5380000006</v>
      </c>
      <c r="DN56">
        <v>396373.06400000001</v>
      </c>
      <c r="DO56" s="74">
        <v>3.9E-2</v>
      </c>
      <c r="DQ56" s="73">
        <v>-8532929.5380000006</v>
      </c>
      <c r="DR56">
        <v>396373.06400000001</v>
      </c>
      <c r="DS56" s="74">
        <v>3.9E-2</v>
      </c>
      <c r="DU56" s="73">
        <v>-8534243.7599999998</v>
      </c>
      <c r="DV56">
        <v>398981.234</v>
      </c>
      <c r="DW56" s="74">
        <v>89.82</v>
      </c>
      <c r="DY56" s="73">
        <v>-8534282.9409999996</v>
      </c>
      <c r="DZ56">
        <v>397939.43400000001</v>
      </c>
      <c r="EA56" s="74">
        <v>2.3E-2</v>
      </c>
      <c r="EC56" s="73">
        <v>-8534123.9900000002</v>
      </c>
      <c r="ED56">
        <v>398069.58799999999</v>
      </c>
      <c r="EE56" s="74">
        <v>1.2999999999999999E-2</v>
      </c>
      <c r="EG56" s="73">
        <v>-8539726.057</v>
      </c>
      <c r="EH56">
        <v>394423.91399999999</v>
      </c>
      <c r="EI56" s="74">
        <v>7.0000000000000007E-2</v>
      </c>
      <c r="EK56">
        <v>-8533841.1030000001</v>
      </c>
      <c r="EL56">
        <v>398265.05</v>
      </c>
      <c r="EM56">
        <v>9.5000000000000001E-2</v>
      </c>
      <c r="FA56">
        <v>-8529809.6539999992</v>
      </c>
      <c r="FB56">
        <v>396422.19400000002</v>
      </c>
      <c r="FC56">
        <v>6.4000000000000001E-2</v>
      </c>
      <c r="FE56">
        <v>-8532363.7540000007</v>
      </c>
      <c r="FF56">
        <v>397547.14899999998</v>
      </c>
      <c r="FG56">
        <v>0.14199999999999999</v>
      </c>
      <c r="FM56">
        <v>-8528580.6009999998</v>
      </c>
      <c r="FN56">
        <v>395910.70199999999</v>
      </c>
      <c r="FO56">
        <v>119.86199999999999</v>
      </c>
      <c r="FQ56">
        <v>-8532909.7019999996</v>
      </c>
      <c r="FR56">
        <v>398085.94900000002</v>
      </c>
      <c r="FS56">
        <v>135.40700000000001</v>
      </c>
      <c r="FU56">
        <v>-8533708.8159999996</v>
      </c>
      <c r="FV56">
        <v>398130.31900000002</v>
      </c>
      <c r="FW56">
        <v>7.4999999999999997E-2</v>
      </c>
      <c r="FY56">
        <v>-8530543.9560000002</v>
      </c>
      <c r="FZ56">
        <v>396700.27799999999</v>
      </c>
      <c r="GA56">
        <v>5.5E-2</v>
      </c>
      <c r="GC56">
        <v>-8532568.5969999991</v>
      </c>
      <c r="GD56">
        <v>397914.73300000001</v>
      </c>
      <c r="GE56">
        <v>152.00700000000001</v>
      </c>
      <c r="GG56">
        <v>-8531668.3220000006</v>
      </c>
      <c r="GH56">
        <v>397669.864</v>
      </c>
      <c r="GI56">
        <v>97.296000000000006</v>
      </c>
      <c r="GS56">
        <v>-8531778.0720000006</v>
      </c>
      <c r="GT56">
        <v>397695.337</v>
      </c>
      <c r="GU56">
        <v>3.7999999999999999E-2</v>
      </c>
      <c r="HE56">
        <v>-8533408.4869999997</v>
      </c>
      <c r="HF56">
        <v>397822.87800000003</v>
      </c>
      <c r="HY56">
        <v>-8533971.3389999997</v>
      </c>
      <c r="HZ56">
        <v>398276.78499999997</v>
      </c>
      <c r="IA56">
        <v>0.20599999999999999</v>
      </c>
      <c r="IK56">
        <v>-8532842.5810000002</v>
      </c>
      <c r="IL56">
        <v>398148.891</v>
      </c>
      <c r="IM56">
        <v>5.3999999999999999E-2</v>
      </c>
      <c r="IO56">
        <v>-8533999.1640000008</v>
      </c>
      <c r="IP56">
        <v>398569.61900000001</v>
      </c>
      <c r="IQ56">
        <v>0.17599999999999999</v>
      </c>
    </row>
    <row r="57" spans="37:251" ht="15" thickBot="1" x14ac:dyDescent="0.35">
      <c r="AK57" s="75">
        <v>-8530224.3499999996</v>
      </c>
      <c r="AL57" s="76">
        <v>396906.63299999997</v>
      </c>
      <c r="AM57" s="77"/>
      <c r="AO57" s="73">
        <v>-8530326.6239999998</v>
      </c>
      <c r="AP57">
        <v>396442.77399999998</v>
      </c>
      <c r="AQ57" s="74">
        <v>8.4000000000000005E-2</v>
      </c>
      <c r="BA57" s="73">
        <v>-8532777.3350000009</v>
      </c>
      <c r="BB57">
        <v>396350.11300000001</v>
      </c>
      <c r="BC57" s="74"/>
      <c r="BE57" s="73">
        <v>-8532873.9719999991</v>
      </c>
      <c r="BF57">
        <v>396127.848</v>
      </c>
      <c r="BG57" s="74">
        <v>0.251</v>
      </c>
      <c r="BI57" s="73">
        <v>-8532873.9719999991</v>
      </c>
      <c r="BJ57">
        <v>396127.848</v>
      </c>
      <c r="BK57" s="74">
        <v>0.251</v>
      </c>
      <c r="BM57" s="73">
        <v>-8532873.9719999991</v>
      </c>
      <c r="BN57">
        <v>396127.848</v>
      </c>
      <c r="BO57" s="74">
        <v>0.251</v>
      </c>
      <c r="BQ57" s="73">
        <v>-8532873.9719999991</v>
      </c>
      <c r="BR57">
        <v>396127.848</v>
      </c>
      <c r="BS57" s="74">
        <v>0.251</v>
      </c>
      <c r="BU57" s="73">
        <v>-8532873.9719999991</v>
      </c>
      <c r="BV57">
        <v>396127.848</v>
      </c>
      <c r="BW57" s="74">
        <v>0.251</v>
      </c>
      <c r="BY57" s="73">
        <v>-8532873.9719999991</v>
      </c>
      <c r="BZ57">
        <v>396127.848</v>
      </c>
      <c r="CA57" s="74">
        <v>0.251</v>
      </c>
      <c r="CC57" s="73">
        <v>-8532873.9719999991</v>
      </c>
      <c r="CD57">
        <v>396127.848</v>
      </c>
      <c r="CE57" s="74">
        <v>0.251</v>
      </c>
      <c r="CK57" s="73">
        <v>-8532281.3139999993</v>
      </c>
      <c r="CL57">
        <v>399232.16800000001</v>
      </c>
      <c r="CM57" s="74">
        <v>2.8000000000000001E-2</v>
      </c>
      <c r="CO57" s="73">
        <v>-8534236.307</v>
      </c>
      <c r="CP57">
        <v>399001.87300000002</v>
      </c>
      <c r="CQ57" s="74">
        <v>21.943999999999999</v>
      </c>
      <c r="CS57" s="73">
        <v>-8534236.307</v>
      </c>
      <c r="CT57">
        <v>399001.87300000002</v>
      </c>
      <c r="CU57" s="74">
        <v>21.943999999999999</v>
      </c>
      <c r="CW57" s="73">
        <v>-8534236.307</v>
      </c>
      <c r="CX57">
        <v>399001.87300000002</v>
      </c>
      <c r="CY57" s="74">
        <v>21.943999999999999</v>
      </c>
      <c r="DE57" s="73">
        <v>-8534208.9069999997</v>
      </c>
      <c r="DF57">
        <v>399434.61900000001</v>
      </c>
      <c r="DG57" s="74">
        <v>0.23899999999999999</v>
      </c>
      <c r="DI57" s="73">
        <v>-8531073.9849999994</v>
      </c>
      <c r="DJ57">
        <v>397020.19300000003</v>
      </c>
      <c r="DK57" s="74">
        <v>60.408999999999999</v>
      </c>
      <c r="DM57" s="73">
        <v>-8532873.9719999991</v>
      </c>
      <c r="DN57">
        <v>396127.848</v>
      </c>
      <c r="DO57" s="74">
        <v>0.251</v>
      </c>
      <c r="DQ57" s="73">
        <v>-8532873.9719999991</v>
      </c>
      <c r="DR57">
        <v>396127.848</v>
      </c>
      <c r="DS57" s="74">
        <v>0.251</v>
      </c>
      <c r="DU57" s="73">
        <v>-8534236.307</v>
      </c>
      <c r="DV57">
        <v>399001.87300000002</v>
      </c>
      <c r="DW57" s="74">
        <v>21.943999999999999</v>
      </c>
      <c r="DY57" s="73">
        <v>-8534314.2320000008</v>
      </c>
      <c r="DZ57">
        <v>397926.73599999998</v>
      </c>
      <c r="EA57" s="74">
        <v>3.4000000000000002E-2</v>
      </c>
      <c r="EC57" s="73">
        <v>-8534119.9079999998</v>
      </c>
      <c r="ED57">
        <v>398056.43699999998</v>
      </c>
      <c r="EE57" s="74">
        <v>1.4E-2</v>
      </c>
      <c r="EG57" s="73">
        <v>-8539608.1469999999</v>
      </c>
      <c r="EH57">
        <v>394238.886</v>
      </c>
      <c r="EI57" s="74">
        <v>0.219</v>
      </c>
      <c r="EK57">
        <v>-8533797.0059999991</v>
      </c>
      <c r="EL57">
        <v>398277.397</v>
      </c>
      <c r="EM57">
        <v>4.5999999999999999E-2</v>
      </c>
      <c r="FA57">
        <v>-8529852.8149999995</v>
      </c>
      <c r="FB57">
        <v>396416.24099999998</v>
      </c>
      <c r="FC57">
        <v>4.2999999999999997E-2</v>
      </c>
      <c r="FE57">
        <v>-8532289.3399999999</v>
      </c>
      <c r="FF57">
        <v>397573.93800000002</v>
      </c>
      <c r="FG57">
        <v>7.9000000000000001E-2</v>
      </c>
      <c r="FM57">
        <v>-8528535.9529999997</v>
      </c>
      <c r="FN57">
        <v>395937.49099999998</v>
      </c>
      <c r="FO57">
        <v>51.878</v>
      </c>
      <c r="FQ57">
        <v>-8532898.5390000008</v>
      </c>
      <c r="FR57">
        <v>398212.45299999998</v>
      </c>
      <c r="FS57">
        <v>125.911</v>
      </c>
      <c r="FU57">
        <v>-8533654.1209999993</v>
      </c>
      <c r="FV57">
        <v>398082.32199999999</v>
      </c>
      <c r="FW57">
        <v>7.1999999999999995E-2</v>
      </c>
      <c r="FY57">
        <v>-8530566.5600000005</v>
      </c>
      <c r="FZ57">
        <v>396706.87099999998</v>
      </c>
      <c r="GA57">
        <v>2.3E-2</v>
      </c>
      <c r="GC57">
        <v>-8532749.4240000006</v>
      </c>
      <c r="GD57">
        <v>397916.61700000003</v>
      </c>
      <c r="GE57">
        <v>180.48699999999999</v>
      </c>
      <c r="GG57">
        <v>-8531746.0209999997</v>
      </c>
      <c r="GH57">
        <v>397648.674</v>
      </c>
      <c r="GI57">
        <v>80.343999999999994</v>
      </c>
      <c r="GS57">
        <v>-8531799.5270000007</v>
      </c>
      <c r="GT57">
        <v>397710.435</v>
      </c>
      <c r="GU57">
        <v>2.5999999999999999E-2</v>
      </c>
      <c r="HG57" s="77">
        <f>SUM(HG$3:HG56)</f>
        <v>4.6260000000000003</v>
      </c>
      <c r="HY57">
        <v>-8533982.0659999996</v>
      </c>
      <c r="HZ57">
        <v>398212.41899999999</v>
      </c>
      <c r="IA57">
        <v>6.5000000000000002E-2</v>
      </c>
      <c r="IK57">
        <v>-8532838.5580000002</v>
      </c>
      <c r="IL57">
        <v>398091.22899999999</v>
      </c>
      <c r="IO57">
        <v>-8533937.4790000003</v>
      </c>
      <c r="IP57">
        <v>398599.12</v>
      </c>
      <c r="IQ57">
        <v>6.8000000000000005E-2</v>
      </c>
    </row>
    <row r="58" spans="37:251" ht="15" thickBot="1" x14ac:dyDescent="0.35">
      <c r="AM58">
        <f>SUM(AM$3:AM57)</f>
        <v>3.4670000000000001</v>
      </c>
      <c r="AO58" s="73">
        <v>-8530305.6860000007</v>
      </c>
      <c r="AP58">
        <v>396441.16399999999</v>
      </c>
      <c r="AQ58" s="74">
        <v>2.1000000000000001E-2</v>
      </c>
      <c r="BA58" s="73">
        <v>-8532928.3300000001</v>
      </c>
      <c r="BB58">
        <v>396377.89600000001</v>
      </c>
      <c r="BC58" s="74"/>
      <c r="BE58" s="73">
        <v>-8532961.5490000006</v>
      </c>
      <c r="BF58">
        <v>396087.98499999999</v>
      </c>
      <c r="BG58" s="74">
        <v>9.6000000000000002E-2</v>
      </c>
      <c r="BI58" s="73">
        <v>-8532961.5490000006</v>
      </c>
      <c r="BJ58">
        <v>396087.98499999999</v>
      </c>
      <c r="BK58" s="74">
        <v>9.6000000000000002E-2</v>
      </c>
      <c r="BM58" s="73">
        <v>-8532961.5490000006</v>
      </c>
      <c r="BN58">
        <v>396087.98499999999</v>
      </c>
      <c r="BO58" s="74">
        <v>9.6000000000000002E-2</v>
      </c>
      <c r="BQ58" s="73">
        <v>-8532961.5490000006</v>
      </c>
      <c r="BR58">
        <v>396087.98499999999</v>
      </c>
      <c r="BS58" s="74">
        <v>9.6000000000000002E-2</v>
      </c>
      <c r="BU58" s="73">
        <v>-8532961.5490000006</v>
      </c>
      <c r="BV58">
        <v>396087.98499999999</v>
      </c>
      <c r="BW58" s="74">
        <v>9.6000000000000002E-2</v>
      </c>
      <c r="BY58" s="73">
        <v>-8532961.5490000006</v>
      </c>
      <c r="BZ58">
        <v>396087.98499999999</v>
      </c>
      <c r="CA58" s="74">
        <v>9.6000000000000002E-2</v>
      </c>
      <c r="CC58" s="73">
        <v>-8532961.5490000006</v>
      </c>
      <c r="CD58">
        <v>396087.98499999999</v>
      </c>
      <c r="CE58" s="74">
        <v>9.6000000000000002E-2</v>
      </c>
      <c r="CK58" s="73">
        <v>-8532261.3819999993</v>
      </c>
      <c r="CL58">
        <v>399255.723</v>
      </c>
      <c r="CM58" s="74">
        <v>3.1E-2</v>
      </c>
      <c r="CO58" s="73">
        <v>-8534237.4529999997</v>
      </c>
      <c r="CP58">
        <v>399019.64600000001</v>
      </c>
      <c r="CQ58" s="74">
        <v>17.809999999999999</v>
      </c>
      <c r="CS58" s="73">
        <v>-8534237.4529999997</v>
      </c>
      <c r="CT58">
        <v>399019.64600000001</v>
      </c>
      <c r="CU58" s="74">
        <v>17.809999999999999</v>
      </c>
      <c r="CW58" s="73">
        <v>-8534237.4529999997</v>
      </c>
      <c r="CX58">
        <v>399019.64600000001</v>
      </c>
      <c r="CY58" s="74">
        <v>17.809999999999999</v>
      </c>
      <c r="DE58" s="73">
        <v>-8534247.0010000002</v>
      </c>
      <c r="DF58">
        <v>399490.853</v>
      </c>
      <c r="DG58" s="74">
        <v>6.8000000000000005E-2</v>
      </c>
      <c r="DI58" s="73">
        <v>-8531013.216</v>
      </c>
      <c r="DJ58">
        <v>397036.51899999997</v>
      </c>
      <c r="DK58" s="74">
        <v>62.923999999999999</v>
      </c>
      <c r="DM58" s="73">
        <v>-8532961.5490000006</v>
      </c>
      <c r="DN58">
        <v>396087.98499999999</v>
      </c>
      <c r="DO58" s="74">
        <v>9.6000000000000002E-2</v>
      </c>
      <c r="DQ58" s="73">
        <v>-8532961.5490000006</v>
      </c>
      <c r="DR58">
        <v>396087.98499999999</v>
      </c>
      <c r="DS58" s="74">
        <v>9.6000000000000002E-2</v>
      </c>
      <c r="DU58" s="73">
        <v>-8534237.4529999997</v>
      </c>
      <c r="DV58">
        <v>399019.64600000001</v>
      </c>
      <c r="DW58" s="74">
        <v>17.809999999999999</v>
      </c>
      <c r="DY58" s="73">
        <v>-8534326.9299999997</v>
      </c>
      <c r="DZ58">
        <v>397915.85200000001</v>
      </c>
      <c r="EA58" s="74">
        <v>1.7000000000000001E-2</v>
      </c>
      <c r="EC58" s="73">
        <v>-8534112.6520000007</v>
      </c>
      <c r="ED58">
        <v>398052.35600000003</v>
      </c>
      <c r="EE58" s="74">
        <v>8.0000000000000002E-3</v>
      </c>
      <c r="EG58" s="73">
        <v>-8539626.2870000005</v>
      </c>
      <c r="EH58">
        <v>394099.20899999997</v>
      </c>
      <c r="EI58" s="74">
        <v>0.14099999999999999</v>
      </c>
      <c r="EK58">
        <v>-8533768.784</v>
      </c>
      <c r="EL58">
        <v>398263.28600000002</v>
      </c>
      <c r="EM58">
        <v>3.1E-2</v>
      </c>
      <c r="FA58">
        <v>-8529904.9039999992</v>
      </c>
      <c r="FB58">
        <v>396443.03</v>
      </c>
      <c r="FC58">
        <v>5.8000000000000003E-2</v>
      </c>
      <c r="FE58">
        <v>-8532261.0629999992</v>
      </c>
      <c r="FF58">
        <v>397737.64899999998</v>
      </c>
      <c r="FG58">
        <v>0.16500000000000001</v>
      </c>
      <c r="FM58">
        <v>-8528488.3279999997</v>
      </c>
      <c r="FN58">
        <v>395936.49900000001</v>
      </c>
      <c r="FO58">
        <v>47.543999999999997</v>
      </c>
      <c r="FQ58">
        <v>-8532836.0319999997</v>
      </c>
      <c r="FR58">
        <v>398182.68800000002</v>
      </c>
      <c r="FS58">
        <v>69.013999999999996</v>
      </c>
      <c r="FU58">
        <v>-8533638.4940000009</v>
      </c>
      <c r="FV58">
        <v>398033.20799999998</v>
      </c>
      <c r="FW58">
        <v>5.0999999999999997E-2</v>
      </c>
      <c r="FY58">
        <v>-8530599.523</v>
      </c>
      <c r="FZ58">
        <v>396694.15600000002</v>
      </c>
      <c r="GA58">
        <v>3.5000000000000003E-2</v>
      </c>
      <c r="GC58">
        <v>-8532726.8200000003</v>
      </c>
      <c r="GD58">
        <v>398001.37900000002</v>
      </c>
      <c r="GE58">
        <v>87.01</v>
      </c>
      <c r="GG58">
        <v>-8531781.3379999995</v>
      </c>
      <c r="GH58">
        <v>397659.97499999998</v>
      </c>
      <c r="GI58">
        <v>36.987000000000002</v>
      </c>
      <c r="GS58">
        <v>-8531828.9289999995</v>
      </c>
      <c r="GT58">
        <v>397712.81900000002</v>
      </c>
      <c r="GU58">
        <v>2.9000000000000001E-2</v>
      </c>
      <c r="HY58">
        <v>-8533917.6999999993</v>
      </c>
      <c r="HZ58">
        <v>398199.00900000002</v>
      </c>
      <c r="IA58">
        <v>6.6000000000000003E-2</v>
      </c>
      <c r="IM58" s="77">
        <f>SUM(IM$3:IM57)</f>
        <v>4.7339999999999982</v>
      </c>
      <c r="IO58">
        <v>-8533875.7949999999</v>
      </c>
      <c r="IP58">
        <v>398505.25199999998</v>
      </c>
      <c r="IQ58">
        <v>0.112</v>
      </c>
    </row>
    <row r="59" spans="37:251" x14ac:dyDescent="0.3">
      <c r="AO59" s="73">
        <v>-8530283.943</v>
      </c>
      <c r="AP59">
        <v>396495.92499999999</v>
      </c>
      <c r="AQ59" s="74">
        <v>5.8999999999999997E-2</v>
      </c>
      <c r="BA59" s="73">
        <v>-8533002.0160000008</v>
      </c>
      <c r="BB59">
        <v>396353.73700000002</v>
      </c>
      <c r="BC59" s="74">
        <v>7.8E-2</v>
      </c>
      <c r="BE59" s="73">
        <v>-8532905.9829999991</v>
      </c>
      <c r="BF59">
        <v>395871.75900000002</v>
      </c>
      <c r="BG59" s="74">
        <v>0.223</v>
      </c>
      <c r="BI59" s="73">
        <v>-8532905.9829999991</v>
      </c>
      <c r="BJ59">
        <v>395871.75900000002</v>
      </c>
      <c r="BK59" s="74">
        <v>0.223</v>
      </c>
      <c r="BM59" s="73">
        <v>-8532905.9829999991</v>
      </c>
      <c r="BN59">
        <v>395871.75900000002</v>
      </c>
      <c r="BO59" s="74">
        <v>0.223</v>
      </c>
      <c r="BQ59" s="73">
        <v>-8532905.9829999991</v>
      </c>
      <c r="BR59">
        <v>395871.75900000002</v>
      </c>
      <c r="BS59" s="74">
        <v>0.223</v>
      </c>
      <c r="BU59" s="73">
        <v>-8532905.9829999991</v>
      </c>
      <c r="BV59">
        <v>395871.75900000002</v>
      </c>
      <c r="BW59" s="74">
        <v>0.223</v>
      </c>
      <c r="BY59" s="73">
        <v>-8532905.9829999991</v>
      </c>
      <c r="BZ59">
        <v>395871.75900000002</v>
      </c>
      <c r="CA59" s="74">
        <v>0.223</v>
      </c>
      <c r="CC59" s="73">
        <v>-8532905.9829999991</v>
      </c>
      <c r="CD59">
        <v>395871.75900000002</v>
      </c>
      <c r="CE59" s="74">
        <v>0.223</v>
      </c>
      <c r="CK59" s="73">
        <v>-8532245.0749999993</v>
      </c>
      <c r="CL59">
        <v>399258.44099999999</v>
      </c>
      <c r="CM59" s="74">
        <v>1.7000000000000001E-2</v>
      </c>
      <c r="CO59" s="73">
        <v>-8534277.5850000009</v>
      </c>
      <c r="CP59">
        <v>399132.58799999999</v>
      </c>
      <c r="CQ59" s="74">
        <v>119.861</v>
      </c>
      <c r="CS59" s="73">
        <v>-8534277.5850000009</v>
      </c>
      <c r="CT59">
        <v>399132.58799999999</v>
      </c>
      <c r="CU59" s="74">
        <v>119.861</v>
      </c>
      <c r="CW59" s="73">
        <v>-8534277.5850000009</v>
      </c>
      <c r="CX59">
        <v>399132.58799999999</v>
      </c>
      <c r="CY59" s="74">
        <v>119.861</v>
      </c>
      <c r="DE59" s="73">
        <v>-8534295.9790000003</v>
      </c>
      <c r="DF59">
        <v>399507.179</v>
      </c>
      <c r="DG59" s="74">
        <v>5.1999999999999998E-2</v>
      </c>
      <c r="DI59" s="73">
        <v>-8530926.1449999996</v>
      </c>
      <c r="DJ59">
        <v>397036.51899999997</v>
      </c>
      <c r="DK59" s="74">
        <v>87.072000000000003</v>
      </c>
      <c r="DM59" s="73">
        <v>-8532905.9829999991</v>
      </c>
      <c r="DN59">
        <v>395871.75900000002</v>
      </c>
      <c r="DO59" s="74">
        <v>0.223</v>
      </c>
      <c r="DQ59" s="73">
        <v>-8532905.9829999991</v>
      </c>
      <c r="DR59">
        <v>395871.75900000002</v>
      </c>
      <c r="DS59" s="74">
        <v>0.223</v>
      </c>
      <c r="DU59" s="73">
        <v>-8534277.5850000009</v>
      </c>
      <c r="DV59">
        <v>399132.58799999999</v>
      </c>
      <c r="DW59" s="74">
        <v>119.861</v>
      </c>
      <c r="DY59" s="73">
        <v>-8534330.5580000002</v>
      </c>
      <c r="DZ59">
        <v>397885.01500000001</v>
      </c>
      <c r="EA59" s="74">
        <v>3.1E-2</v>
      </c>
      <c r="EC59" s="73">
        <v>-8534088.1630000006</v>
      </c>
      <c r="ED59">
        <v>398047.36700000003</v>
      </c>
      <c r="EE59" s="74">
        <v>2.5000000000000001E-2</v>
      </c>
      <c r="EG59" s="73">
        <v>-8539597.2630000003</v>
      </c>
      <c r="EH59">
        <v>394057.48700000002</v>
      </c>
      <c r="EI59" s="74">
        <v>5.0999999999999997E-2</v>
      </c>
      <c r="EK59">
        <v>-8533765.2559999991</v>
      </c>
      <c r="EL59">
        <v>398199.78600000002</v>
      </c>
      <c r="EM59">
        <v>6.3E-2</v>
      </c>
      <c r="FA59">
        <v>-8529952.5289999992</v>
      </c>
      <c r="FB59">
        <v>396451.96</v>
      </c>
      <c r="FC59">
        <v>4.8000000000000001E-2</v>
      </c>
      <c r="FE59">
        <v>-8532271.8530000001</v>
      </c>
      <c r="FF59">
        <v>397777.46</v>
      </c>
      <c r="FG59">
        <v>4.1000000000000002E-2</v>
      </c>
      <c r="FM59">
        <v>-8528476.4220000003</v>
      </c>
      <c r="FN59">
        <v>395967.25699999998</v>
      </c>
      <c r="FO59">
        <v>32.728000000000002</v>
      </c>
      <c r="FQ59">
        <v>-8533470.0390000008</v>
      </c>
      <c r="FR59">
        <v>396506.88299999997</v>
      </c>
      <c r="FU59">
        <v>-8533619.5189999994</v>
      </c>
      <c r="FV59">
        <v>397985.21100000001</v>
      </c>
      <c r="FW59">
        <v>5.0999999999999997E-2</v>
      </c>
      <c r="FY59">
        <v>-8530614.5920000002</v>
      </c>
      <c r="FZ59">
        <v>396696.98200000002</v>
      </c>
      <c r="GA59">
        <v>1.4999999999999999E-2</v>
      </c>
      <c r="GC59">
        <v>-8532687.2650000006</v>
      </c>
      <c r="GD59">
        <v>398042.81800000003</v>
      </c>
      <c r="GE59">
        <v>56.978000000000002</v>
      </c>
      <c r="GG59">
        <v>-8531784.1640000008</v>
      </c>
      <c r="GH59">
        <v>397703.76899999997</v>
      </c>
      <c r="GI59">
        <v>43.509</v>
      </c>
      <c r="GS59">
        <v>-8531904.4199999999</v>
      </c>
      <c r="GT59">
        <v>397774.80200000003</v>
      </c>
      <c r="GU59">
        <v>9.7000000000000003E-2</v>
      </c>
      <c r="HY59">
        <v>-8533788.9670000002</v>
      </c>
      <c r="HZ59">
        <v>398276.78499999997</v>
      </c>
      <c r="IA59">
        <v>0.15</v>
      </c>
      <c r="IO59">
        <v>-8533798.0189999994</v>
      </c>
      <c r="IP59">
        <v>398397.97499999998</v>
      </c>
      <c r="IQ59">
        <v>0.13200000000000001</v>
      </c>
    </row>
    <row r="60" spans="37:251" ht="15" thickBot="1" x14ac:dyDescent="0.35">
      <c r="AO60" s="73">
        <v>-8530223.5449999999</v>
      </c>
      <c r="AP60">
        <v>396509.61499999999</v>
      </c>
      <c r="AQ60" s="74">
        <v>6.2E-2</v>
      </c>
      <c r="BA60" s="73">
        <v>-8533049.7310000006</v>
      </c>
      <c r="BB60">
        <v>396355.549</v>
      </c>
      <c r="BC60" s="74">
        <v>4.8000000000000001E-2</v>
      </c>
      <c r="BE60" s="73">
        <v>-8532879.4079999998</v>
      </c>
      <c r="BF60">
        <v>395775.12199999997</v>
      </c>
      <c r="BG60" s="74">
        <v>0.1</v>
      </c>
      <c r="BI60" s="73">
        <v>-8532879.4079999998</v>
      </c>
      <c r="BJ60">
        <v>395775.12199999997</v>
      </c>
      <c r="BK60" s="74">
        <v>0.1</v>
      </c>
      <c r="BM60" s="73">
        <v>-8532879.4079999998</v>
      </c>
      <c r="BN60">
        <v>395775.12199999997</v>
      </c>
      <c r="BO60" s="74">
        <v>0.1</v>
      </c>
      <c r="BQ60" s="73">
        <v>-8532879.4079999998</v>
      </c>
      <c r="BR60">
        <v>395775.12199999997</v>
      </c>
      <c r="BS60" s="74">
        <v>0.1</v>
      </c>
      <c r="BU60" s="73">
        <v>-8532879.4079999998</v>
      </c>
      <c r="BV60">
        <v>395775.12199999997</v>
      </c>
      <c r="BW60" s="74">
        <v>0.1</v>
      </c>
      <c r="BY60" s="73">
        <v>-8532879.4079999998</v>
      </c>
      <c r="BZ60">
        <v>395775.12199999997</v>
      </c>
      <c r="CA60" s="74">
        <v>0.1</v>
      </c>
      <c r="CC60" s="73">
        <v>-8532879.4079999998</v>
      </c>
      <c r="CD60">
        <v>395775.12199999997</v>
      </c>
      <c r="CE60" s="74">
        <v>0.1</v>
      </c>
      <c r="CK60" s="73">
        <v>-8532221.5199999996</v>
      </c>
      <c r="CL60">
        <v>399256.62900000002</v>
      </c>
      <c r="CM60" s="74">
        <v>2.4E-2</v>
      </c>
      <c r="CO60" s="73">
        <v>-8534248.9199999999</v>
      </c>
      <c r="CP60">
        <v>399200.239</v>
      </c>
      <c r="CQ60" s="74">
        <v>73.472999999999999</v>
      </c>
      <c r="CS60" s="73">
        <v>-8534248.9199999999</v>
      </c>
      <c r="CT60">
        <v>399200.239</v>
      </c>
      <c r="CU60" s="74">
        <v>73.472999999999999</v>
      </c>
      <c r="CW60" s="73">
        <v>-8534248.9199999999</v>
      </c>
      <c r="CX60">
        <v>399200.239</v>
      </c>
      <c r="CY60" s="74">
        <v>73.472999999999999</v>
      </c>
      <c r="DE60" s="73">
        <v>-8534413.8890000004</v>
      </c>
      <c r="DF60">
        <v>399703.09</v>
      </c>
      <c r="DG60" s="74">
        <v>0.22900000000000001</v>
      </c>
      <c r="DI60" s="73">
        <v>-8530906.1909999996</v>
      </c>
      <c r="DJ60">
        <v>397027.44900000002</v>
      </c>
      <c r="DK60" s="74">
        <v>21.919</v>
      </c>
      <c r="DM60" s="73">
        <v>-8532879.4079999998</v>
      </c>
      <c r="DN60">
        <v>395775.12199999997</v>
      </c>
      <c r="DO60" s="74">
        <v>0.1</v>
      </c>
      <c r="DQ60" s="73">
        <v>-8532879.4079999998</v>
      </c>
      <c r="DR60">
        <v>395775.12199999997</v>
      </c>
      <c r="DS60" s="74">
        <v>0.1</v>
      </c>
      <c r="DU60" s="73">
        <v>-8534248.9199999999</v>
      </c>
      <c r="DV60">
        <v>399200.239</v>
      </c>
      <c r="DW60" s="74">
        <v>73.472999999999999</v>
      </c>
      <c r="DY60" s="75">
        <v>-8534091.1109999996</v>
      </c>
      <c r="DZ60" s="76">
        <v>397872.77</v>
      </c>
      <c r="EA60" s="77"/>
      <c r="EC60" s="73">
        <v>-8534065.0350000001</v>
      </c>
      <c r="ED60">
        <v>398069.58799999999</v>
      </c>
      <c r="EE60" s="74">
        <v>3.2000000000000001E-2</v>
      </c>
      <c r="EG60" s="73">
        <v>-8539524.7039999999</v>
      </c>
      <c r="EH60">
        <v>394026.64899999998</v>
      </c>
      <c r="EI60" s="74">
        <v>7.9000000000000001E-2</v>
      </c>
      <c r="EK60">
        <v>-8533735.2699999996</v>
      </c>
      <c r="EL60">
        <v>398152.16100000002</v>
      </c>
      <c r="EM60">
        <v>5.6000000000000001E-2</v>
      </c>
      <c r="FA60">
        <v>-8529973.3650000002</v>
      </c>
      <c r="FB60">
        <v>396496.60800000001</v>
      </c>
      <c r="FC60">
        <v>4.9000000000000002E-2</v>
      </c>
      <c r="FE60">
        <v>-8532267.3880000003</v>
      </c>
      <c r="FF60">
        <v>397816.15600000002</v>
      </c>
      <c r="FG60">
        <v>3.9E-2</v>
      </c>
      <c r="FM60">
        <v>-8528501.2259999998</v>
      </c>
      <c r="FN60">
        <v>395991.06900000002</v>
      </c>
      <c r="FO60">
        <v>34.209000000000003</v>
      </c>
      <c r="FS60" s="77">
        <f>SUM(FS$3:FS59)/1000</f>
        <v>4.8000390000000017</v>
      </c>
      <c r="FU60">
        <v>-8533593.8460000008</v>
      </c>
      <c r="FV60">
        <v>397966.23599999998</v>
      </c>
      <c r="FW60">
        <v>3.2000000000000001E-2</v>
      </c>
      <c r="FY60">
        <v>-8530616.4749999996</v>
      </c>
      <c r="FZ60">
        <v>396718.64299999998</v>
      </c>
      <c r="GA60">
        <v>2.1999999999999999E-2</v>
      </c>
      <c r="GC60">
        <v>-8532706.1009999998</v>
      </c>
      <c r="GD60">
        <v>398080.49</v>
      </c>
      <c r="GE60">
        <v>41.813000000000002</v>
      </c>
      <c r="GG60">
        <v>-8531833.6079999991</v>
      </c>
      <c r="GH60">
        <v>397715.071</v>
      </c>
      <c r="GI60">
        <v>50.604999999999997</v>
      </c>
      <c r="GS60">
        <v>-8531937.7949999999</v>
      </c>
      <c r="GT60">
        <v>397821.68599999999</v>
      </c>
      <c r="GU60">
        <v>5.7000000000000002E-2</v>
      </c>
      <c r="HY60">
        <v>-8533748.7379999999</v>
      </c>
      <c r="HZ60">
        <v>398164.14399999997</v>
      </c>
      <c r="IA60">
        <v>0.11899999999999999</v>
      </c>
      <c r="IO60">
        <v>-8533889.2050000001</v>
      </c>
      <c r="IP60">
        <v>398330.92700000003</v>
      </c>
      <c r="IQ60">
        <v>0.113</v>
      </c>
    </row>
    <row r="61" spans="37:251" x14ac:dyDescent="0.3">
      <c r="AO61" s="73">
        <v>-8530192.943</v>
      </c>
      <c r="AP61">
        <v>396523.30499999999</v>
      </c>
      <c r="AQ61" s="74">
        <v>3.4000000000000002E-2</v>
      </c>
      <c r="BA61" s="73">
        <v>-8533072.682</v>
      </c>
      <c r="BB61">
        <v>396361.58899999998</v>
      </c>
      <c r="BC61" s="74">
        <v>2.4E-2</v>
      </c>
      <c r="BE61" s="73">
        <v>-8532591.9120000005</v>
      </c>
      <c r="BF61">
        <v>395758.21</v>
      </c>
      <c r="BG61" s="74"/>
      <c r="BI61" s="73">
        <v>-8532591.9120000005</v>
      </c>
      <c r="BJ61">
        <v>395758.21</v>
      </c>
      <c r="BK61" s="74"/>
      <c r="BM61" s="73">
        <v>-8532881.8239999991</v>
      </c>
      <c r="BN61">
        <v>395718.34700000001</v>
      </c>
      <c r="BO61" s="74">
        <v>5.7000000000000002E-2</v>
      </c>
      <c r="BQ61" s="73">
        <v>-8532881.8239999991</v>
      </c>
      <c r="BR61">
        <v>395718.34700000001</v>
      </c>
      <c r="BS61" s="74">
        <v>5.7000000000000002E-2</v>
      </c>
      <c r="BU61" s="73">
        <v>-8532881.8239999991</v>
      </c>
      <c r="BV61">
        <v>395718.34700000001</v>
      </c>
      <c r="BW61" s="74">
        <v>5.7000000000000002E-2</v>
      </c>
      <c r="BY61" s="73">
        <v>-8532881.8239999991</v>
      </c>
      <c r="BZ61">
        <v>395718.34700000001</v>
      </c>
      <c r="CA61" s="74">
        <v>5.7000000000000002E-2</v>
      </c>
      <c r="CC61" s="73">
        <v>-8532881.8239999991</v>
      </c>
      <c r="CD61">
        <v>395718.34700000001</v>
      </c>
      <c r="CE61" s="74">
        <v>5.7000000000000002E-2</v>
      </c>
      <c r="CK61" s="73">
        <v>-8532204.3059999999</v>
      </c>
      <c r="CL61">
        <v>399263.87699999998</v>
      </c>
      <c r="CM61" s="74">
        <v>1.9E-2</v>
      </c>
      <c r="CO61" s="73">
        <v>-8534207.6410000008</v>
      </c>
      <c r="CP61">
        <v>399427.27100000001</v>
      </c>
      <c r="CQ61" s="74">
        <v>230.75399999999999</v>
      </c>
      <c r="CS61" s="73">
        <v>-8534207.6410000008</v>
      </c>
      <c r="CT61">
        <v>399427.27100000001</v>
      </c>
      <c r="CU61" s="74">
        <v>230.75399999999999</v>
      </c>
      <c r="CW61" s="73">
        <v>-8534207.6410000008</v>
      </c>
      <c r="CX61">
        <v>399427.27100000001</v>
      </c>
      <c r="CY61" s="74">
        <v>230.75399999999999</v>
      </c>
      <c r="DE61" s="73">
        <v>-8534413.8890000004</v>
      </c>
      <c r="DF61">
        <v>399899.00199999998</v>
      </c>
      <c r="DG61" s="74">
        <v>0.19600000000000001</v>
      </c>
      <c r="DI61" s="73">
        <v>-8530873.5390000008</v>
      </c>
      <c r="DJ61">
        <v>396992.076</v>
      </c>
      <c r="DK61" s="74">
        <v>48.139000000000003</v>
      </c>
      <c r="DM61" s="73">
        <v>-8532591.9120000005</v>
      </c>
      <c r="DN61">
        <v>395758.21</v>
      </c>
      <c r="DO61" s="74"/>
      <c r="DQ61" s="73">
        <v>-8532591.9120000005</v>
      </c>
      <c r="DR61">
        <v>395758.21</v>
      </c>
      <c r="DS61" s="74"/>
      <c r="DU61" s="73">
        <v>-8534207.6410000008</v>
      </c>
      <c r="DV61">
        <v>399427.27100000001</v>
      </c>
      <c r="DW61" s="74">
        <v>230.75399999999999</v>
      </c>
      <c r="EA61">
        <f>SUM(EA$3:EA60)</f>
        <v>2.649999999999999</v>
      </c>
      <c r="EC61" s="73">
        <v>-8534050.9759999998</v>
      </c>
      <c r="ED61">
        <v>398070.495</v>
      </c>
      <c r="EE61" s="74">
        <v>1.4E-2</v>
      </c>
      <c r="EG61" s="73">
        <v>-8539513.8200000003</v>
      </c>
      <c r="EH61">
        <v>393950.46100000001</v>
      </c>
      <c r="EI61" s="74">
        <v>7.6999999999999999E-2</v>
      </c>
      <c r="EK61">
        <v>-8533675.2970000003</v>
      </c>
      <c r="EL61">
        <v>398097.48</v>
      </c>
      <c r="EM61">
        <v>8.1000000000000003E-2</v>
      </c>
      <c r="FA61">
        <v>-8530187.6779999994</v>
      </c>
      <c r="FB61">
        <v>396524.886</v>
      </c>
      <c r="FC61">
        <v>0.216</v>
      </c>
      <c r="FE61">
        <v>-8532239.4829999991</v>
      </c>
      <c r="FF61">
        <v>397835.875</v>
      </c>
      <c r="FG61">
        <v>3.4000000000000002E-2</v>
      </c>
      <c r="FM61">
        <v>-8528555.7970000003</v>
      </c>
      <c r="FN61">
        <v>396024.804</v>
      </c>
      <c r="FO61">
        <v>63.914999999999999</v>
      </c>
      <c r="FU61">
        <v>-8533527.9890000001</v>
      </c>
      <c r="FV61">
        <v>397965.11900000001</v>
      </c>
      <c r="FW61">
        <v>6.6000000000000003E-2</v>
      </c>
      <c r="FY61">
        <v>-8530587.75</v>
      </c>
      <c r="FZ61">
        <v>396763.85</v>
      </c>
      <c r="GA61">
        <v>5.2999999999999999E-2</v>
      </c>
      <c r="GC61">
        <v>-8532826.6510000005</v>
      </c>
      <c r="GD61">
        <v>398101.21</v>
      </c>
      <c r="GE61">
        <v>122.059</v>
      </c>
      <c r="GG61">
        <v>-8531928.2599999998</v>
      </c>
      <c r="GH61">
        <v>397808.30900000001</v>
      </c>
      <c r="GI61">
        <v>132.17099999999999</v>
      </c>
      <c r="GS61">
        <v>-8531961.6349999998</v>
      </c>
      <c r="GT61">
        <v>397864.59700000001</v>
      </c>
      <c r="GU61">
        <v>4.9000000000000002E-2</v>
      </c>
      <c r="HY61">
        <v>-8533657.5529999994</v>
      </c>
      <c r="HZ61">
        <v>398081.00400000002</v>
      </c>
      <c r="IA61">
        <v>0.123</v>
      </c>
      <c r="IO61">
        <v>-8533996.4820000008</v>
      </c>
      <c r="IP61">
        <v>398212.92200000002</v>
      </c>
      <c r="IQ61">
        <v>0.159</v>
      </c>
    </row>
    <row r="62" spans="37:251" ht="15" thickBot="1" x14ac:dyDescent="0.35">
      <c r="AO62" s="73">
        <v>-8530072.1459999997</v>
      </c>
      <c r="AP62">
        <v>396515.25199999998</v>
      </c>
      <c r="AQ62" s="74">
        <v>0.121</v>
      </c>
      <c r="BA62" s="73">
        <v>-8533082.9499999993</v>
      </c>
      <c r="BB62">
        <v>396385.14399999997</v>
      </c>
      <c r="BC62" s="74">
        <v>2.5999999999999999E-2</v>
      </c>
      <c r="BE62" s="73">
        <v>-8532880.0120000001</v>
      </c>
      <c r="BF62">
        <v>395779.95299999998</v>
      </c>
      <c r="BG62" s="74"/>
      <c r="BI62" s="73">
        <v>-8532880.6160000004</v>
      </c>
      <c r="BJ62">
        <v>395778.745</v>
      </c>
      <c r="BK62" s="74"/>
      <c r="BM62" s="73">
        <v>-8532881.8239999991</v>
      </c>
      <c r="BN62">
        <v>395572.18300000002</v>
      </c>
      <c r="BO62" s="74">
        <v>0.14599999999999999</v>
      </c>
      <c r="BQ62" s="73">
        <v>-8532881.8239999991</v>
      </c>
      <c r="BR62">
        <v>395572.18300000002</v>
      </c>
      <c r="BS62" s="74">
        <v>0.14599999999999999</v>
      </c>
      <c r="BU62" s="73">
        <v>-8532881.8239999991</v>
      </c>
      <c r="BV62">
        <v>395572.18300000002</v>
      </c>
      <c r="BW62" s="74">
        <v>0.14599999999999999</v>
      </c>
      <c r="BY62" s="73">
        <v>-8532881.8239999991</v>
      </c>
      <c r="BZ62">
        <v>395572.18300000002</v>
      </c>
      <c r="CA62" s="74">
        <v>0.14599999999999999</v>
      </c>
      <c r="CC62" s="73">
        <v>-8532881.8239999991</v>
      </c>
      <c r="CD62">
        <v>395572.18300000002</v>
      </c>
      <c r="CE62" s="74">
        <v>0.14599999999999999</v>
      </c>
      <c r="CK62" s="73">
        <v>-8532184.375</v>
      </c>
      <c r="CL62">
        <v>399283.80800000002</v>
      </c>
      <c r="CM62" s="74">
        <v>2.8000000000000001E-2</v>
      </c>
      <c r="CO62" s="73">
        <v>-8534225.9869999997</v>
      </c>
      <c r="CP62">
        <v>399465.109</v>
      </c>
      <c r="CQ62" s="74">
        <v>42.052</v>
      </c>
      <c r="CS62" s="73">
        <v>-8534225.9869999997</v>
      </c>
      <c r="CT62">
        <v>399465.109</v>
      </c>
      <c r="CU62" s="74">
        <v>42.052</v>
      </c>
      <c r="CW62" s="73">
        <v>-8534225.9869999997</v>
      </c>
      <c r="CX62">
        <v>399465.109</v>
      </c>
      <c r="CY62" s="74">
        <v>42.052</v>
      </c>
      <c r="DE62" s="75">
        <v>-8533954.9480000008</v>
      </c>
      <c r="DF62" s="76">
        <v>399799.23200000002</v>
      </c>
      <c r="DG62" s="77"/>
      <c r="DI62" s="73">
        <v>-8530803.2469999995</v>
      </c>
      <c r="DJ62">
        <v>396956.25</v>
      </c>
      <c r="DK62" s="74">
        <v>78.896000000000001</v>
      </c>
      <c r="DM62" s="73">
        <v>-8532880.6160000004</v>
      </c>
      <c r="DN62">
        <v>395778.745</v>
      </c>
      <c r="DO62" s="74"/>
      <c r="DQ62" s="73">
        <v>-8532880.6160000004</v>
      </c>
      <c r="DR62">
        <v>395778.745</v>
      </c>
      <c r="DS62" s="74"/>
      <c r="DU62" s="73">
        <v>-8534225.9869999997</v>
      </c>
      <c r="DV62">
        <v>399465.109</v>
      </c>
      <c r="DW62" s="74">
        <v>42.052</v>
      </c>
      <c r="EC62" s="73">
        <v>-8534041.9059999995</v>
      </c>
      <c r="ED62">
        <v>398064.6</v>
      </c>
      <c r="EE62" s="74">
        <v>1.0999999999999999E-2</v>
      </c>
      <c r="EG62" s="73">
        <v>-8539499.3080000002</v>
      </c>
      <c r="EH62">
        <v>393790.83</v>
      </c>
      <c r="EI62" s="74">
        <v>0.16</v>
      </c>
      <c r="EK62">
        <v>-8533647.0749999993</v>
      </c>
      <c r="EL62">
        <v>398069.25799999997</v>
      </c>
      <c r="EM62">
        <v>0.04</v>
      </c>
      <c r="FA62">
        <v>-8530282.9279999994</v>
      </c>
      <c r="FB62">
        <v>396492.14299999998</v>
      </c>
      <c r="FC62">
        <v>0.1</v>
      </c>
      <c r="FE62">
        <v>-8532207.4849999994</v>
      </c>
      <c r="FF62">
        <v>397887.96500000003</v>
      </c>
      <c r="FG62">
        <v>6.0999999999999999E-2</v>
      </c>
      <c r="FM62">
        <v>-8528625.25</v>
      </c>
      <c r="FN62">
        <v>396052.58500000002</v>
      </c>
      <c r="FO62">
        <v>74.591999999999999</v>
      </c>
      <c r="FU62">
        <v>-8533468.2719999999</v>
      </c>
      <c r="FV62">
        <v>397949.49200000003</v>
      </c>
      <c r="FW62">
        <v>6.2E-2</v>
      </c>
      <c r="FY62">
        <v>-8530608.9409999996</v>
      </c>
      <c r="FZ62">
        <v>396803.40500000003</v>
      </c>
      <c r="GA62">
        <v>4.4999999999999998E-2</v>
      </c>
      <c r="GC62">
        <v>-8532839.8369999994</v>
      </c>
      <c r="GD62">
        <v>398155.83500000002</v>
      </c>
      <c r="GE62">
        <v>55.731000000000002</v>
      </c>
      <c r="GG62">
        <v>-8531962.1649999991</v>
      </c>
      <c r="GH62">
        <v>397861.99200000003</v>
      </c>
      <c r="GI62">
        <v>63.069000000000003</v>
      </c>
      <c r="GS62">
        <v>-8531990.2420000006</v>
      </c>
      <c r="GT62">
        <v>397856.65</v>
      </c>
      <c r="GU62">
        <v>0.03</v>
      </c>
      <c r="HY62">
        <v>-8533614.6420000009</v>
      </c>
      <c r="HZ62">
        <v>397987.13699999999</v>
      </c>
      <c r="IA62">
        <v>0.10199999999999999</v>
      </c>
      <c r="IO62">
        <v>-8533929.4330000002</v>
      </c>
      <c r="IP62">
        <v>398192.80699999997</v>
      </c>
      <c r="IQ62">
        <v>7.0000000000000007E-2</v>
      </c>
    </row>
    <row r="63" spans="37:251" x14ac:dyDescent="0.3">
      <c r="AO63" s="73">
        <v>-8530014.1640000008</v>
      </c>
      <c r="AP63">
        <v>396495.11900000001</v>
      </c>
      <c r="AQ63" s="74">
        <v>6.0999999999999999E-2</v>
      </c>
      <c r="BA63" s="73">
        <v>-8533103.4849999994</v>
      </c>
      <c r="BB63">
        <v>396385.74800000002</v>
      </c>
      <c r="BC63" s="74">
        <v>2.1000000000000001E-2</v>
      </c>
      <c r="BE63" s="73">
        <v>-8532825.6530000009</v>
      </c>
      <c r="BF63">
        <v>395770.29</v>
      </c>
      <c r="BG63" s="74">
        <v>5.5E-2</v>
      </c>
      <c r="BI63" s="73">
        <v>-8532901.7550000008</v>
      </c>
      <c r="BJ63">
        <v>395868.739</v>
      </c>
      <c r="BK63" s="74">
        <v>-9.1999999999999998E-2</v>
      </c>
      <c r="BM63" s="73">
        <v>-8532867.3279999997</v>
      </c>
      <c r="BN63">
        <v>395488.83399999997</v>
      </c>
      <c r="BO63" s="74">
        <v>8.5000000000000006E-2</v>
      </c>
      <c r="BQ63" s="73">
        <v>-8532867.3279999997</v>
      </c>
      <c r="BR63">
        <v>395488.83399999997</v>
      </c>
      <c r="BS63" s="74">
        <v>8.5000000000000006E-2</v>
      </c>
      <c r="BU63" s="73">
        <v>-8532867.3279999997</v>
      </c>
      <c r="BV63">
        <v>395488.83399999997</v>
      </c>
      <c r="BW63" s="74">
        <v>8.5000000000000006E-2</v>
      </c>
      <c r="BY63" s="73">
        <v>-8532867.3279999997</v>
      </c>
      <c r="BZ63">
        <v>395488.83399999997</v>
      </c>
      <c r="CA63" s="74">
        <v>8.5000000000000006E-2</v>
      </c>
      <c r="CC63" s="73">
        <v>-8532867.3279999997</v>
      </c>
      <c r="CD63">
        <v>395488.83399999997</v>
      </c>
      <c r="CE63" s="74">
        <v>8.5000000000000006E-2</v>
      </c>
      <c r="CK63" s="73">
        <v>-8532137.2640000004</v>
      </c>
      <c r="CL63">
        <v>399368.51699999999</v>
      </c>
      <c r="CM63" s="74">
        <v>9.7000000000000003E-2</v>
      </c>
      <c r="CO63" s="73">
        <v>-8534289.0510000009</v>
      </c>
      <c r="CP63">
        <v>399497.21500000003</v>
      </c>
      <c r="CQ63" s="74">
        <v>70.766000000000005</v>
      </c>
      <c r="CS63" s="73">
        <v>-8534289.0510000009</v>
      </c>
      <c r="CT63">
        <v>399497.21500000003</v>
      </c>
      <c r="CU63" s="74">
        <v>70.766000000000005</v>
      </c>
      <c r="CW63" s="73">
        <v>-8534289.0510000009</v>
      </c>
      <c r="CX63">
        <v>399497.21500000003</v>
      </c>
      <c r="CY63" s="74">
        <v>70.766000000000005</v>
      </c>
      <c r="DG63">
        <f>SUM(DG$3:DG62)</f>
        <v>4.3159999999999989</v>
      </c>
      <c r="DI63" s="73">
        <v>-8530747.9199999999</v>
      </c>
      <c r="DJ63">
        <v>396941.28399999999</v>
      </c>
      <c r="DK63" s="74">
        <v>57.314999999999998</v>
      </c>
      <c r="DM63" s="73">
        <v>-8532901.7550000008</v>
      </c>
      <c r="DN63">
        <v>395868.739</v>
      </c>
      <c r="DO63" s="74">
        <v>-9.1999999999999998E-2</v>
      </c>
      <c r="DQ63" s="73">
        <v>-8532901.7550000008</v>
      </c>
      <c r="DR63">
        <v>395868.739</v>
      </c>
      <c r="DS63" s="74">
        <v>-9.1999999999999998E-2</v>
      </c>
      <c r="DU63" s="73">
        <v>-8534289.0510000009</v>
      </c>
      <c r="DV63">
        <v>399497.21500000003</v>
      </c>
      <c r="DW63" s="74">
        <v>70.766000000000005</v>
      </c>
      <c r="EC63" s="73">
        <v>-8534032.8359999992</v>
      </c>
      <c r="ED63">
        <v>398052.80900000001</v>
      </c>
      <c r="EE63" s="74">
        <v>1.4999999999999999E-2</v>
      </c>
      <c r="EG63" s="73">
        <v>-8539500.5170000009</v>
      </c>
      <c r="EH63">
        <v>393703.15299999999</v>
      </c>
      <c r="EI63" s="74">
        <v>8.7999999999999995E-2</v>
      </c>
      <c r="EK63">
        <v>-8533632.0820000004</v>
      </c>
      <c r="EL63">
        <v>398004.87599999999</v>
      </c>
      <c r="EM63">
        <v>6.6000000000000003E-2</v>
      </c>
      <c r="FA63">
        <v>-8530317.1579999998</v>
      </c>
      <c r="FB63">
        <v>396441.54200000002</v>
      </c>
      <c r="FC63">
        <v>6.0999999999999999E-2</v>
      </c>
      <c r="FE63">
        <v>-8532290.8289999999</v>
      </c>
      <c r="FF63">
        <v>397958.28700000001</v>
      </c>
      <c r="FG63">
        <v>0.109</v>
      </c>
      <c r="FM63">
        <v>-8528635.1720000003</v>
      </c>
      <c r="FN63">
        <v>396064.49099999998</v>
      </c>
      <c r="FO63">
        <v>15.407999999999999</v>
      </c>
      <c r="FU63">
        <v>-8533426.9719999991</v>
      </c>
      <c r="FV63">
        <v>397958.42200000002</v>
      </c>
      <c r="FW63">
        <v>4.2000000000000003E-2</v>
      </c>
      <c r="FY63">
        <v>-8530608.9409999996</v>
      </c>
      <c r="FZ63">
        <v>396852.85</v>
      </c>
      <c r="GA63">
        <v>4.9000000000000002E-2</v>
      </c>
      <c r="GC63">
        <v>-8532161.7390000001</v>
      </c>
      <c r="GD63">
        <v>398110.62800000003</v>
      </c>
      <c r="GG63">
        <v>-8532021.4979999997</v>
      </c>
      <c r="GH63">
        <v>397832.32500000001</v>
      </c>
      <c r="GI63">
        <v>66.120999999999995</v>
      </c>
      <c r="GS63">
        <v>-8532029.9739999995</v>
      </c>
      <c r="GT63">
        <v>397824.864</v>
      </c>
      <c r="GU63">
        <v>5.0999999999999997E-2</v>
      </c>
      <c r="HY63">
        <v>-8533434.9519999996</v>
      </c>
      <c r="HZ63">
        <v>397952.272</v>
      </c>
      <c r="IA63">
        <v>0.183</v>
      </c>
      <c r="IO63">
        <v>-8533835.5659999996</v>
      </c>
      <c r="IP63">
        <v>398274.60600000003</v>
      </c>
      <c r="IQ63">
        <v>0.124</v>
      </c>
    </row>
    <row r="64" spans="37:251" x14ac:dyDescent="0.3">
      <c r="AO64" s="73">
        <v>-8529977.9250000007</v>
      </c>
      <c r="AP64">
        <v>396500.75699999998</v>
      </c>
      <c r="AQ64" s="74">
        <v>3.6999999999999998E-2</v>
      </c>
      <c r="BA64" s="73">
        <v>-8533136.0999999996</v>
      </c>
      <c r="BB64">
        <v>396351.92499999999</v>
      </c>
      <c r="BC64" s="74">
        <v>4.7E-2</v>
      </c>
      <c r="BE64" s="73">
        <v>-8532764.0470000003</v>
      </c>
      <c r="BF64">
        <v>395747.94199999998</v>
      </c>
      <c r="BG64" s="74">
        <v>6.6000000000000003E-2</v>
      </c>
      <c r="BI64" s="73">
        <v>-8532916.8550000004</v>
      </c>
      <c r="BJ64">
        <v>395864.511</v>
      </c>
      <c r="BK64" s="74">
        <v>1.6E-2</v>
      </c>
      <c r="BM64" s="73">
        <v>-8532794.8499999996</v>
      </c>
      <c r="BN64">
        <v>395346.29399999999</v>
      </c>
      <c r="BO64" s="74">
        <v>0.16</v>
      </c>
      <c r="BQ64" s="73">
        <v>-8532794.8499999996</v>
      </c>
      <c r="BR64">
        <v>395346.29399999999</v>
      </c>
      <c r="BS64" s="74">
        <v>0.16</v>
      </c>
      <c r="BU64" s="73">
        <v>-8532794.8499999996</v>
      </c>
      <c r="BV64">
        <v>395346.29399999999</v>
      </c>
      <c r="BW64" s="74">
        <v>0.16</v>
      </c>
      <c r="BY64" s="73">
        <v>-8532794.8499999996</v>
      </c>
      <c r="BZ64">
        <v>395346.29399999999</v>
      </c>
      <c r="CA64" s="74">
        <v>0.16</v>
      </c>
      <c r="CC64" s="73">
        <v>-8532794.8499999996</v>
      </c>
      <c r="CD64">
        <v>395346.29399999999</v>
      </c>
      <c r="CE64" s="74">
        <v>0.16</v>
      </c>
      <c r="CK64" s="73">
        <v>-8532122.7679999992</v>
      </c>
      <c r="CL64">
        <v>399386.636</v>
      </c>
      <c r="CM64" s="74">
        <v>2.3E-2</v>
      </c>
      <c r="CO64" s="73">
        <v>-8534416.3269999996</v>
      </c>
      <c r="CP64">
        <v>399703.60700000002</v>
      </c>
      <c r="CQ64" s="74">
        <v>242.48</v>
      </c>
      <c r="CS64" s="73">
        <v>-8534416.3269999996</v>
      </c>
      <c r="CT64">
        <v>399703.60700000002</v>
      </c>
      <c r="CU64" s="74">
        <v>242.48</v>
      </c>
      <c r="CW64" s="73">
        <v>-8534416.3269999996</v>
      </c>
      <c r="CX64">
        <v>399703.60700000002</v>
      </c>
      <c r="CY64" s="74">
        <v>242.48</v>
      </c>
      <c r="DI64" s="73">
        <v>-8530737.943</v>
      </c>
      <c r="DJ64">
        <v>396931.761</v>
      </c>
      <c r="DK64" s="74">
        <v>13.792999999999999</v>
      </c>
      <c r="DM64" s="73">
        <v>-8532916.8550000004</v>
      </c>
      <c r="DN64">
        <v>395864.511</v>
      </c>
      <c r="DO64" s="74">
        <v>1.6E-2</v>
      </c>
      <c r="DQ64" s="73">
        <v>-8532916.8550000004</v>
      </c>
      <c r="DR64">
        <v>395864.511</v>
      </c>
      <c r="DS64" s="74">
        <v>1.6E-2</v>
      </c>
      <c r="DU64" s="73">
        <v>-8534416.3269999996</v>
      </c>
      <c r="DV64">
        <v>399703.60700000002</v>
      </c>
      <c r="DW64" s="74">
        <v>242.48</v>
      </c>
      <c r="EC64" s="73">
        <v>-8534031.0219999999</v>
      </c>
      <c r="ED64">
        <v>398032.402</v>
      </c>
      <c r="EE64" s="74">
        <v>0.02</v>
      </c>
      <c r="EG64" s="73">
        <v>-8539616.6129999999</v>
      </c>
      <c r="EH64">
        <v>393504.82299999997</v>
      </c>
      <c r="EI64" s="74">
        <v>0.23</v>
      </c>
      <c r="EK64">
        <v>-8533603.8599999994</v>
      </c>
      <c r="EL64">
        <v>397973.12599999999</v>
      </c>
      <c r="EM64">
        <v>4.2000000000000003E-2</v>
      </c>
      <c r="FA64">
        <v>-8530382.6429999992</v>
      </c>
      <c r="FB64">
        <v>396518.93300000002</v>
      </c>
      <c r="FC64">
        <v>0.10100000000000001</v>
      </c>
      <c r="FE64">
        <v>-8532329.8959999997</v>
      </c>
      <c r="FF64">
        <v>397986.93599999999</v>
      </c>
      <c r="FG64">
        <v>4.8000000000000001E-2</v>
      </c>
      <c r="FM64">
        <v>-8528626.2420000006</v>
      </c>
      <c r="FN64">
        <v>396112.11599999998</v>
      </c>
      <c r="FO64">
        <v>48.051000000000002</v>
      </c>
      <c r="FU64">
        <v>-8533357.7670000009</v>
      </c>
      <c r="FV64">
        <v>398000.83799999999</v>
      </c>
      <c r="FW64">
        <v>8.1000000000000003E-2</v>
      </c>
      <c r="FY64">
        <v>-8530624.716</v>
      </c>
      <c r="FZ64">
        <v>396869.33199999999</v>
      </c>
      <c r="GA64">
        <v>2.3E-2</v>
      </c>
      <c r="GE64">
        <f>SUM(GE3:GE62)/1000</f>
        <v>3.9430140000000011</v>
      </c>
      <c r="GG64">
        <v>-8532057.5219999999</v>
      </c>
      <c r="GH64">
        <v>397826.674</v>
      </c>
      <c r="GI64">
        <v>36.387999999999998</v>
      </c>
      <c r="GS64">
        <v>-8532113.4120000005</v>
      </c>
      <c r="GT64">
        <v>397832.81099999999</v>
      </c>
      <c r="GU64">
        <v>8.4000000000000005E-2</v>
      </c>
      <c r="HY64">
        <v>-8533335.7210000008</v>
      </c>
      <c r="HZ64">
        <v>397995.18300000002</v>
      </c>
      <c r="IA64">
        <v>0.108</v>
      </c>
      <c r="IO64">
        <v>-8533781.9269999992</v>
      </c>
      <c r="IP64">
        <v>398282.652</v>
      </c>
      <c r="IQ64">
        <v>5.3999999999999999E-2</v>
      </c>
    </row>
    <row r="65" spans="41:251" x14ac:dyDescent="0.3">
      <c r="AO65" s="73">
        <v>-8529965.8450000007</v>
      </c>
      <c r="AP65">
        <v>396483.04</v>
      </c>
      <c r="AQ65" s="74">
        <v>2.1000000000000001E-2</v>
      </c>
      <c r="BA65" s="73">
        <v>-8533152.4079999998</v>
      </c>
      <c r="BB65">
        <v>396344.67700000003</v>
      </c>
      <c r="BC65" s="74">
        <v>1.7999999999999999E-2</v>
      </c>
      <c r="BE65" s="73">
        <v>-8532735.0559999999</v>
      </c>
      <c r="BF65">
        <v>395719.55499999999</v>
      </c>
      <c r="BG65" s="74">
        <v>4.1000000000000002E-2</v>
      </c>
      <c r="BI65" s="73">
        <v>-8532944.034</v>
      </c>
      <c r="BJ65">
        <v>395805.321</v>
      </c>
      <c r="BK65" s="74">
        <v>6.5000000000000002E-2</v>
      </c>
      <c r="BM65" s="73">
        <v>-8532690.9649999999</v>
      </c>
      <c r="BN65">
        <v>395092.62099999998</v>
      </c>
      <c r="BO65" s="74">
        <v>0.27400000000000002</v>
      </c>
      <c r="BQ65" s="73">
        <v>-8532690.9649999999</v>
      </c>
      <c r="BR65">
        <v>395092.62099999998</v>
      </c>
      <c r="BS65" s="74">
        <v>0.27400000000000002</v>
      </c>
      <c r="BU65" s="73">
        <v>-8532690.9649999999</v>
      </c>
      <c r="BV65">
        <v>395092.62099999998</v>
      </c>
      <c r="BW65" s="74">
        <v>0.27400000000000002</v>
      </c>
      <c r="BY65" s="73">
        <v>-8532690.9649999999</v>
      </c>
      <c r="BZ65">
        <v>395092.62099999998</v>
      </c>
      <c r="CA65" s="74">
        <v>0.27400000000000002</v>
      </c>
      <c r="CC65" s="73">
        <v>-8532690.9649999999</v>
      </c>
      <c r="CD65">
        <v>395092.62099999998</v>
      </c>
      <c r="CE65" s="74">
        <v>0.27400000000000002</v>
      </c>
      <c r="CK65" s="73">
        <v>-8532091.5120000001</v>
      </c>
      <c r="CL65">
        <v>399408.38</v>
      </c>
      <c r="CM65" s="74">
        <v>3.7999999999999999E-2</v>
      </c>
      <c r="CO65" s="73">
        <v>-8534501.1769999992</v>
      </c>
      <c r="CP65">
        <v>399847.50799999997</v>
      </c>
      <c r="CQ65" s="74">
        <v>167.054</v>
      </c>
      <c r="CS65" s="73">
        <v>-8534501.1769999992</v>
      </c>
      <c r="CT65">
        <v>399847.50799999997</v>
      </c>
      <c r="CU65" s="74">
        <v>167.054</v>
      </c>
      <c r="CW65" s="73">
        <v>-8534501.1769999992</v>
      </c>
      <c r="CX65">
        <v>399847.50799999997</v>
      </c>
      <c r="CY65" s="74">
        <v>167.054</v>
      </c>
      <c r="DI65" s="73">
        <v>-8530705.7440000009</v>
      </c>
      <c r="DJ65">
        <v>396887.77100000001</v>
      </c>
      <c r="DK65" s="74">
        <v>54.514000000000003</v>
      </c>
      <c r="DM65" s="73">
        <v>-8532944.034</v>
      </c>
      <c r="DN65">
        <v>395805.321</v>
      </c>
      <c r="DO65" s="74">
        <v>6.5000000000000002E-2</v>
      </c>
      <c r="DQ65" s="73">
        <v>-8532944.034</v>
      </c>
      <c r="DR65">
        <v>395805.321</v>
      </c>
      <c r="DS65" s="74">
        <v>6.5000000000000002E-2</v>
      </c>
      <c r="DU65" s="73">
        <v>-8534501.1769999992</v>
      </c>
      <c r="DV65">
        <v>399847.50799999997</v>
      </c>
      <c r="DW65" s="74">
        <v>167.054</v>
      </c>
      <c r="EC65" s="73">
        <v>-8534025.807</v>
      </c>
      <c r="ED65">
        <v>398014.48800000001</v>
      </c>
      <c r="EE65" s="74">
        <v>1.9E-2</v>
      </c>
      <c r="EG65" s="73">
        <v>-8539713.3589999992</v>
      </c>
      <c r="EH65">
        <v>393267.79499999998</v>
      </c>
      <c r="EI65" s="74">
        <v>0.25600000000000001</v>
      </c>
      <c r="EK65">
        <v>-8533558.8809999991</v>
      </c>
      <c r="EL65">
        <v>397968.71600000001</v>
      </c>
      <c r="EM65">
        <v>4.4999999999999998E-2</v>
      </c>
      <c r="FA65">
        <v>-8530406.4550000001</v>
      </c>
      <c r="FB65">
        <v>396594.83500000002</v>
      </c>
      <c r="FC65">
        <v>7.9000000000000001E-2</v>
      </c>
      <c r="FE65">
        <v>-8532360.4059999995</v>
      </c>
      <c r="FF65">
        <v>397993.63299999997</v>
      </c>
      <c r="FG65">
        <v>3.1E-2</v>
      </c>
      <c r="FM65">
        <v>-8528656.0079999994</v>
      </c>
      <c r="FN65">
        <v>396131.46399999998</v>
      </c>
      <c r="FO65">
        <v>35.363</v>
      </c>
      <c r="FU65">
        <v>-8533277.4000000004</v>
      </c>
      <c r="FV65">
        <v>397994.141</v>
      </c>
      <c r="FW65">
        <v>0.08</v>
      </c>
      <c r="FY65">
        <v>-8530649.4379999992</v>
      </c>
      <c r="FZ65">
        <v>396874.51199999999</v>
      </c>
      <c r="GA65">
        <v>2.5000000000000001E-2</v>
      </c>
      <c r="GG65">
        <v>-8532129.5700000003</v>
      </c>
      <c r="GH65">
        <v>397830.913</v>
      </c>
      <c r="GI65">
        <v>72.031999999999996</v>
      </c>
      <c r="GS65">
        <v>-8532166.6539999992</v>
      </c>
      <c r="GT65">
        <v>397851.08799999999</v>
      </c>
      <c r="GU65">
        <v>5.6000000000000001E-2</v>
      </c>
      <c r="HY65">
        <v>-8532757.7650000006</v>
      </c>
      <c r="HZ65">
        <v>397909.36099999998</v>
      </c>
      <c r="IA65">
        <v>0.58299999999999996</v>
      </c>
      <c r="IO65">
        <v>-8533763.1539999992</v>
      </c>
      <c r="IP65">
        <v>398253.15100000001</v>
      </c>
      <c r="IQ65">
        <v>3.5000000000000003E-2</v>
      </c>
    </row>
    <row r="66" spans="41:251" x14ac:dyDescent="0.3">
      <c r="AO66" s="73">
        <v>-8529957.7919999994</v>
      </c>
      <c r="AP66">
        <v>396452.43800000002</v>
      </c>
      <c r="AQ66" s="74">
        <v>3.2000000000000001E-2</v>
      </c>
      <c r="BA66" s="73">
        <v>-8533174.1510000005</v>
      </c>
      <c r="BB66">
        <v>396346.489</v>
      </c>
      <c r="BC66" s="74">
        <v>2.1999999999999999E-2</v>
      </c>
      <c r="BE66" s="73">
        <v>-8532712.7080000006</v>
      </c>
      <c r="BF66">
        <v>395672.44500000001</v>
      </c>
      <c r="BG66" s="74">
        <v>5.1999999999999998E-2</v>
      </c>
      <c r="BI66" s="73">
        <v>-8532976.0449999999</v>
      </c>
      <c r="BJ66">
        <v>395739.48700000002</v>
      </c>
      <c r="BK66" s="74">
        <v>7.2999999999999995E-2</v>
      </c>
      <c r="BM66" s="73">
        <v>-8532620.9030000009</v>
      </c>
      <c r="BN66">
        <v>395022.55900000001</v>
      </c>
      <c r="BO66" s="74">
        <v>9.9000000000000005E-2</v>
      </c>
      <c r="BQ66" s="73">
        <v>-8532620.9030000009</v>
      </c>
      <c r="BR66">
        <v>395022.55900000001</v>
      </c>
      <c r="BS66" s="74">
        <v>9.9000000000000005E-2</v>
      </c>
      <c r="BU66" s="73">
        <v>-8532620.9030000009</v>
      </c>
      <c r="BV66">
        <v>395022.55900000001</v>
      </c>
      <c r="BW66" s="74">
        <v>9.9000000000000005E-2</v>
      </c>
      <c r="BY66" s="73">
        <v>-8532620.9030000009</v>
      </c>
      <c r="BZ66">
        <v>395022.55900000001</v>
      </c>
      <c r="CA66" s="74">
        <v>9.9000000000000005E-2</v>
      </c>
      <c r="CC66" s="73">
        <v>-8532620.9030000009</v>
      </c>
      <c r="CD66">
        <v>395022.55900000001</v>
      </c>
      <c r="CE66" s="74">
        <v>9.9000000000000005E-2</v>
      </c>
      <c r="CK66" s="73">
        <v>-8532057.0850000009</v>
      </c>
      <c r="CL66">
        <v>399478.59299999999</v>
      </c>
      <c r="CM66" s="74">
        <v>7.8E-2</v>
      </c>
      <c r="CO66" s="73">
        <v>-8534534.4289999995</v>
      </c>
      <c r="CP66">
        <v>399863.56099999999</v>
      </c>
      <c r="CQ66" s="74">
        <v>36.923999999999999</v>
      </c>
      <c r="CS66" s="73">
        <v>-8534534.4289999995</v>
      </c>
      <c r="CT66">
        <v>399863.56099999999</v>
      </c>
      <c r="CU66" s="74">
        <v>36.923999999999999</v>
      </c>
      <c r="CW66" s="73">
        <v>-8534534.4289999995</v>
      </c>
      <c r="CX66">
        <v>399863.56099999999</v>
      </c>
      <c r="CY66" s="74">
        <v>36.923999999999999</v>
      </c>
      <c r="DI66" s="73">
        <v>-8530643.6150000002</v>
      </c>
      <c r="DJ66">
        <v>396878.24800000002</v>
      </c>
      <c r="DK66" s="74">
        <v>62.854999999999997</v>
      </c>
      <c r="DM66" s="73">
        <v>-8532976.0449999999</v>
      </c>
      <c r="DN66">
        <v>395739.48700000002</v>
      </c>
      <c r="DO66" s="74">
        <v>7.2999999999999995E-2</v>
      </c>
      <c r="DQ66" s="73">
        <v>-8532976.0449999999</v>
      </c>
      <c r="DR66">
        <v>395739.48700000002</v>
      </c>
      <c r="DS66" s="74">
        <v>7.2999999999999995E-2</v>
      </c>
      <c r="DU66" s="73">
        <v>-8534534.4289999995</v>
      </c>
      <c r="DV66">
        <v>399863.56099999999</v>
      </c>
      <c r="DW66" s="74">
        <v>36.923999999999999</v>
      </c>
      <c r="EC66" s="73">
        <v>-8534009.7080000006</v>
      </c>
      <c r="ED66">
        <v>397989.54599999997</v>
      </c>
      <c r="EE66" s="74">
        <v>0.03</v>
      </c>
      <c r="EG66" s="73">
        <v>-8539761.1549999993</v>
      </c>
      <c r="EH66">
        <v>393175.78899999999</v>
      </c>
      <c r="EI66" s="74">
        <v>0.104</v>
      </c>
      <c r="EK66">
        <v>-8533509.4920000006</v>
      </c>
      <c r="EL66">
        <v>397965.18900000001</v>
      </c>
      <c r="EM66">
        <v>4.9000000000000002E-2</v>
      </c>
      <c r="FA66">
        <v>-8530504.682</v>
      </c>
      <c r="FB66">
        <v>396654.36599999998</v>
      </c>
      <c r="FC66">
        <v>0.114</v>
      </c>
      <c r="FE66">
        <v>-8532418.0769999996</v>
      </c>
      <c r="FF66">
        <v>397989.54</v>
      </c>
      <c r="FG66">
        <v>5.8000000000000003E-2</v>
      </c>
      <c r="FM66">
        <v>-8528705.8650000002</v>
      </c>
      <c r="FN66">
        <v>396148.57900000003</v>
      </c>
      <c r="FO66">
        <v>52.576000000000001</v>
      </c>
      <c r="FU66">
        <v>-8532991.6500000004</v>
      </c>
      <c r="FV66">
        <v>397951.72499999998</v>
      </c>
      <c r="FW66">
        <v>0.28799999999999998</v>
      </c>
      <c r="FY66">
        <v>-8530696.5289999992</v>
      </c>
      <c r="FZ66">
        <v>396878.75</v>
      </c>
      <c r="GA66">
        <v>4.7E-2</v>
      </c>
      <c r="GG66">
        <v>-8532262.3640000001</v>
      </c>
      <c r="GH66">
        <v>397937.57199999999</v>
      </c>
      <c r="GI66">
        <v>169.55199999999999</v>
      </c>
      <c r="GS66">
        <v>-8532239.7609999999</v>
      </c>
      <c r="GT66">
        <v>397918.63299999997</v>
      </c>
      <c r="GU66">
        <v>9.9000000000000005E-2</v>
      </c>
      <c r="HY66">
        <v>-8532736.3090000004</v>
      </c>
      <c r="HZ66">
        <v>398038.09299999999</v>
      </c>
      <c r="IA66">
        <v>0.129</v>
      </c>
      <c r="IO66">
        <v>-8533765.8359999992</v>
      </c>
      <c r="IP66">
        <v>398190.125</v>
      </c>
      <c r="IQ66">
        <v>6.3E-2</v>
      </c>
    </row>
    <row r="67" spans="41:251" x14ac:dyDescent="0.3">
      <c r="AO67" s="73">
        <v>-8529911.8900000006</v>
      </c>
      <c r="AP67">
        <v>396442.77399999998</v>
      </c>
      <c r="AQ67" s="74">
        <v>4.7E-2</v>
      </c>
      <c r="BA67" s="73">
        <v>-8533235.7579999994</v>
      </c>
      <c r="BB67">
        <v>396379.10399999999</v>
      </c>
      <c r="BC67" s="74">
        <v>7.0000000000000007E-2</v>
      </c>
      <c r="BE67" s="73">
        <v>-8532695.7970000003</v>
      </c>
      <c r="BF67">
        <v>395632.58199999999</v>
      </c>
      <c r="BG67" s="74">
        <v>4.2999999999999997E-2</v>
      </c>
      <c r="BI67" s="73">
        <v>-8532992.9560000002</v>
      </c>
      <c r="BJ67">
        <v>395727.40700000001</v>
      </c>
      <c r="BK67" s="74">
        <v>2.1000000000000001E-2</v>
      </c>
      <c r="BM67" s="73">
        <v>-8532533.9299999997</v>
      </c>
      <c r="BN67">
        <v>394954.913</v>
      </c>
      <c r="BO67" s="74">
        <v>0.11</v>
      </c>
      <c r="BQ67" s="73">
        <v>-8532533.9299999997</v>
      </c>
      <c r="BR67">
        <v>394954.913</v>
      </c>
      <c r="BS67" s="74">
        <v>0.11</v>
      </c>
      <c r="BU67" s="73">
        <v>-8532533.9299999997</v>
      </c>
      <c r="BV67">
        <v>394954.913</v>
      </c>
      <c r="BW67" s="74">
        <v>0.11</v>
      </c>
      <c r="BY67" s="73">
        <v>-8532533.9299999997</v>
      </c>
      <c r="BZ67">
        <v>394954.913</v>
      </c>
      <c r="CA67" s="74">
        <v>0.11</v>
      </c>
      <c r="CC67" s="73">
        <v>-8532533.9299999997</v>
      </c>
      <c r="CD67">
        <v>394954.913</v>
      </c>
      <c r="CE67" s="74">
        <v>0.11</v>
      </c>
      <c r="CK67" s="73">
        <v>-8532013.5979999993</v>
      </c>
      <c r="CL67">
        <v>399479.95199999999</v>
      </c>
      <c r="CM67" s="74">
        <v>4.3999999999999997E-2</v>
      </c>
      <c r="CO67" s="73">
        <v>-8534605.5199999996</v>
      </c>
      <c r="CP67">
        <v>399871.587</v>
      </c>
      <c r="CQ67" s="74">
        <v>71.542000000000002</v>
      </c>
      <c r="CS67" s="73">
        <v>-8534605.5199999996</v>
      </c>
      <c r="CT67">
        <v>399871.587</v>
      </c>
      <c r="CU67" s="74">
        <v>71.542000000000002</v>
      </c>
      <c r="CW67" s="73">
        <v>-8534605.5199999996</v>
      </c>
      <c r="CX67">
        <v>399871.587</v>
      </c>
      <c r="CY67" s="74">
        <v>71.542000000000002</v>
      </c>
      <c r="DI67" s="73">
        <v>-8530611.8699999992</v>
      </c>
      <c r="DJ67">
        <v>396849.22399999999</v>
      </c>
      <c r="DK67" s="74">
        <v>43.012999999999998</v>
      </c>
      <c r="DM67" s="73">
        <v>-8532992.9560000002</v>
      </c>
      <c r="DN67">
        <v>395727.40700000001</v>
      </c>
      <c r="DO67" s="74">
        <v>2.1000000000000001E-2</v>
      </c>
      <c r="DQ67" s="73">
        <v>-8532992.9560000002</v>
      </c>
      <c r="DR67">
        <v>395727.40700000001</v>
      </c>
      <c r="DS67" s="74">
        <v>2.1000000000000001E-2</v>
      </c>
      <c r="DU67" s="73">
        <v>-8534605.5199999996</v>
      </c>
      <c r="DV67">
        <v>399871.587</v>
      </c>
      <c r="DW67" s="74">
        <v>71.542000000000002</v>
      </c>
      <c r="EC67" s="73">
        <v>-8533991.7949999999</v>
      </c>
      <c r="ED67">
        <v>397949.41100000002</v>
      </c>
      <c r="EE67" s="74">
        <v>4.3999999999999997E-2</v>
      </c>
      <c r="EG67" s="73">
        <v>-8539821.1270000003</v>
      </c>
      <c r="EH67">
        <v>393071.72</v>
      </c>
      <c r="EI67" s="74">
        <v>0.12</v>
      </c>
      <c r="EK67">
        <v>-8533434.5270000007</v>
      </c>
      <c r="EL67">
        <v>397951.07799999998</v>
      </c>
      <c r="EM67">
        <v>7.5999999999999998E-2</v>
      </c>
      <c r="FA67">
        <v>-8530552.307</v>
      </c>
      <c r="FB67">
        <v>396706.45600000001</v>
      </c>
      <c r="FC67">
        <v>7.0000000000000007E-2</v>
      </c>
      <c r="FE67">
        <v>-8532508.5519999992</v>
      </c>
      <c r="FF67">
        <v>397936.02399999998</v>
      </c>
      <c r="FG67">
        <v>0.105</v>
      </c>
      <c r="FM67">
        <v>-8528723.7249999996</v>
      </c>
      <c r="FN67">
        <v>396166.43900000001</v>
      </c>
      <c r="FO67">
        <v>25.125</v>
      </c>
      <c r="FU67">
        <v>-8532692.5059999991</v>
      </c>
      <c r="FV67">
        <v>397916.00599999999</v>
      </c>
      <c r="FW67">
        <v>0.30099999999999999</v>
      </c>
      <c r="FY67">
        <v>-8530724.3120000008</v>
      </c>
      <c r="FZ67">
        <v>396916.42200000002</v>
      </c>
      <c r="GA67">
        <v>4.7E-2</v>
      </c>
      <c r="GG67">
        <v>-8532280.7290000003</v>
      </c>
      <c r="GH67">
        <v>397951.69900000002</v>
      </c>
      <c r="GI67">
        <v>23.068000000000001</v>
      </c>
      <c r="GS67">
        <v>-8532298.5649999995</v>
      </c>
      <c r="GT67">
        <v>397969.49</v>
      </c>
      <c r="GU67">
        <v>7.6999999999999999E-2</v>
      </c>
      <c r="HY67">
        <v>-8532907.9529999997</v>
      </c>
      <c r="HZ67">
        <v>398086.36800000002</v>
      </c>
      <c r="IA67">
        <v>0.17799999999999999</v>
      </c>
      <c r="IO67">
        <v>-8533651.8540000003</v>
      </c>
      <c r="IP67">
        <v>398085.53</v>
      </c>
      <c r="IQ67">
        <v>0.154</v>
      </c>
    </row>
    <row r="68" spans="41:251" x14ac:dyDescent="0.3">
      <c r="AO68" s="73">
        <v>-8529857.9340000004</v>
      </c>
      <c r="AP68">
        <v>396412.17200000002</v>
      </c>
      <c r="AQ68" s="74">
        <v>6.2E-2</v>
      </c>
      <c r="BA68" s="73">
        <v>-8533271.3920000009</v>
      </c>
      <c r="BB68">
        <v>396388.16399999999</v>
      </c>
      <c r="BC68" s="74">
        <v>3.6999999999999998E-2</v>
      </c>
      <c r="BE68" s="73">
        <v>-8532632.3790000007</v>
      </c>
      <c r="BF68">
        <v>395503.93300000002</v>
      </c>
      <c r="BG68" s="74">
        <v>0.14299999999999999</v>
      </c>
      <c r="BI68" s="73">
        <v>-8533054.5629999992</v>
      </c>
      <c r="BJ68">
        <v>395743.71399999998</v>
      </c>
      <c r="BK68" s="74">
        <v>6.4000000000000001E-2</v>
      </c>
      <c r="BM68" s="73">
        <v>-8532455.4120000005</v>
      </c>
      <c r="BN68">
        <v>394857.06800000003</v>
      </c>
      <c r="BO68" s="74">
        <v>0.125</v>
      </c>
      <c r="BQ68" s="73">
        <v>-8532455.4120000005</v>
      </c>
      <c r="BR68">
        <v>394857.06800000003</v>
      </c>
      <c r="BS68" s="74">
        <v>0.125</v>
      </c>
      <c r="BU68" s="73">
        <v>-8532455.4120000005</v>
      </c>
      <c r="BV68">
        <v>394857.06800000003</v>
      </c>
      <c r="BW68" s="74">
        <v>0.125</v>
      </c>
      <c r="BY68" s="73">
        <v>-8532455.4120000005</v>
      </c>
      <c r="BZ68">
        <v>394857.06800000003</v>
      </c>
      <c r="CA68" s="74">
        <v>0.125</v>
      </c>
      <c r="CC68" s="73">
        <v>-8532455.4120000005</v>
      </c>
      <c r="CD68">
        <v>394857.06800000003</v>
      </c>
      <c r="CE68" s="74">
        <v>0.125</v>
      </c>
      <c r="CK68" s="73">
        <v>-8532002.0470000003</v>
      </c>
      <c r="CL68">
        <v>399489.46399999998</v>
      </c>
      <c r="CM68" s="74">
        <v>1.4999999999999999E-2</v>
      </c>
      <c r="CO68" s="73">
        <v>-8534635.9049999993</v>
      </c>
      <c r="CP68">
        <v>399885.34700000001</v>
      </c>
      <c r="CQ68" s="74">
        <v>33.356000000000002</v>
      </c>
      <c r="CS68" s="73">
        <v>-8534635.9049999993</v>
      </c>
      <c r="CT68">
        <v>399885.34700000001</v>
      </c>
      <c r="CU68" s="74">
        <v>33.356000000000002</v>
      </c>
      <c r="CW68" s="73">
        <v>-8534635.9049999993</v>
      </c>
      <c r="CX68">
        <v>399885.34700000001</v>
      </c>
      <c r="CY68" s="74">
        <v>33.356000000000002</v>
      </c>
      <c r="DI68" s="73">
        <v>-8530612.7770000007</v>
      </c>
      <c r="DJ68">
        <v>396803.87400000001</v>
      </c>
      <c r="DK68" s="74">
        <v>45.359000000000002</v>
      </c>
      <c r="DM68" s="73">
        <v>-8533054.5629999992</v>
      </c>
      <c r="DN68">
        <v>395743.71399999998</v>
      </c>
      <c r="DO68" s="74">
        <v>6.4000000000000001E-2</v>
      </c>
      <c r="DQ68" s="73">
        <v>-8533054.5629999992</v>
      </c>
      <c r="DR68">
        <v>395743.71399999998</v>
      </c>
      <c r="DS68" s="74">
        <v>6.4000000000000001E-2</v>
      </c>
      <c r="DU68" s="73">
        <v>-8534635.9049999993</v>
      </c>
      <c r="DV68">
        <v>399885.34700000001</v>
      </c>
      <c r="DW68" s="74">
        <v>33.356000000000002</v>
      </c>
      <c r="EC68" s="73">
        <v>-8533966.1720000003</v>
      </c>
      <c r="ED68">
        <v>397925.37599999999</v>
      </c>
      <c r="EE68" s="74">
        <v>3.5000000000000003E-2</v>
      </c>
      <c r="EG68" s="73">
        <v>-8539913.7310000006</v>
      </c>
      <c r="EH68">
        <v>393003.81</v>
      </c>
      <c r="EI68" s="74">
        <v>0.115</v>
      </c>
      <c r="EK68">
        <v>-8533372.7899999991</v>
      </c>
      <c r="EL68">
        <v>397993.41100000002</v>
      </c>
      <c r="EM68">
        <v>7.4999999999999997E-2</v>
      </c>
      <c r="FA68">
        <v>-8530611.8379999995</v>
      </c>
      <c r="FB68">
        <v>396694.55</v>
      </c>
      <c r="FC68">
        <v>6.0999999999999999E-2</v>
      </c>
      <c r="FE68">
        <v>-8532529.8839999996</v>
      </c>
      <c r="FF68">
        <v>397925.11</v>
      </c>
      <c r="FG68">
        <v>2.4E-2</v>
      </c>
      <c r="FM68">
        <v>-8528765.3959999997</v>
      </c>
      <c r="FN68">
        <v>396178.34499999997</v>
      </c>
      <c r="FO68">
        <v>43.234999999999999</v>
      </c>
      <c r="FU68">
        <v>-8532827.0089999996</v>
      </c>
      <c r="FV68">
        <v>398071.15899999999</v>
      </c>
      <c r="FW68">
        <v>0.20399999999999999</v>
      </c>
      <c r="FY68">
        <v>-8530745.0309999995</v>
      </c>
      <c r="FZ68">
        <v>396944.67599999998</v>
      </c>
      <c r="GA68">
        <v>3.5000000000000003E-2</v>
      </c>
      <c r="GG68">
        <v>-8532335.1190000009</v>
      </c>
      <c r="GH68">
        <v>397991.25400000002</v>
      </c>
      <c r="GI68">
        <v>66.968000000000004</v>
      </c>
      <c r="GS68">
        <v>-8532333.9269999992</v>
      </c>
      <c r="GT68">
        <v>397989.75300000003</v>
      </c>
      <c r="GU68">
        <v>4.1000000000000002E-2</v>
      </c>
      <c r="HY68">
        <v>-8532891.8609999996</v>
      </c>
      <c r="HZ68">
        <v>398204.37300000002</v>
      </c>
      <c r="IA68">
        <v>0.11799999999999999</v>
      </c>
      <c r="IO68">
        <v>-8533641.1260000002</v>
      </c>
      <c r="IP68">
        <v>398034.57299999997</v>
      </c>
      <c r="IQ68">
        <v>5.1999999999999998E-2</v>
      </c>
    </row>
    <row r="69" spans="41:251" ht="15" thickBot="1" x14ac:dyDescent="0.35">
      <c r="AO69" s="73">
        <v>-8529803.1730000004</v>
      </c>
      <c r="AP69">
        <v>396415.39399999997</v>
      </c>
      <c r="AQ69" s="74">
        <v>5.5E-2</v>
      </c>
      <c r="BA69" s="73">
        <v>-8533349.3059999999</v>
      </c>
      <c r="BB69">
        <v>396379.70799999998</v>
      </c>
      <c r="BC69" s="74">
        <v>7.8E-2</v>
      </c>
      <c r="BE69" s="73">
        <v>-8532572.5840000007</v>
      </c>
      <c r="BF69">
        <v>395409.712</v>
      </c>
      <c r="BG69" s="74">
        <v>0.112</v>
      </c>
      <c r="BI69" s="73">
        <v>-8533084.1579999998</v>
      </c>
      <c r="BJ69">
        <v>395737.67499999999</v>
      </c>
      <c r="BK69" s="74">
        <v>0.03</v>
      </c>
      <c r="BM69" s="73">
        <v>-8532395.0140000004</v>
      </c>
      <c r="BN69">
        <v>394771.30200000003</v>
      </c>
      <c r="BO69" s="74">
        <v>0.105</v>
      </c>
      <c r="BQ69" s="73">
        <v>-8532395.0140000004</v>
      </c>
      <c r="BR69">
        <v>394771.30200000003</v>
      </c>
      <c r="BS69" s="74">
        <v>0.105</v>
      </c>
      <c r="BU69" s="73">
        <v>-8532395.0140000004</v>
      </c>
      <c r="BV69">
        <v>394771.30200000003</v>
      </c>
      <c r="BW69" s="74">
        <v>0.105</v>
      </c>
      <c r="BY69" s="73">
        <v>-8532395.0140000004</v>
      </c>
      <c r="BZ69">
        <v>394771.30200000003</v>
      </c>
      <c r="CA69" s="74">
        <v>0.105</v>
      </c>
      <c r="CC69" s="73">
        <v>-8532395.0140000004</v>
      </c>
      <c r="CD69">
        <v>394771.30200000003</v>
      </c>
      <c r="CE69" s="74">
        <v>0.105</v>
      </c>
      <c r="CK69" s="73">
        <v>-8531970.1119999997</v>
      </c>
      <c r="CL69">
        <v>399462.96500000003</v>
      </c>
      <c r="CM69" s="74">
        <v>4.1000000000000002E-2</v>
      </c>
      <c r="CO69" s="73">
        <v>-8534673.7440000009</v>
      </c>
      <c r="CP69">
        <v>399964.46399999998</v>
      </c>
      <c r="CQ69" s="74">
        <v>87.7</v>
      </c>
      <c r="CS69" s="73">
        <v>-8534673.7440000009</v>
      </c>
      <c r="CT69">
        <v>399964.46399999998</v>
      </c>
      <c r="CU69" s="74">
        <v>87.7</v>
      </c>
      <c r="CW69" s="73">
        <v>-8534673.7440000009</v>
      </c>
      <c r="CX69">
        <v>399964.46399999998</v>
      </c>
      <c r="CY69" s="74">
        <v>87.7</v>
      </c>
      <c r="DI69" s="73">
        <v>-8530592.8230000008</v>
      </c>
      <c r="DJ69">
        <v>396753.08199999999</v>
      </c>
      <c r="DK69" s="74">
        <v>54.570999999999998</v>
      </c>
      <c r="DM69" s="73">
        <v>-8533084.1579999998</v>
      </c>
      <c r="DN69">
        <v>395737.67499999999</v>
      </c>
      <c r="DO69" s="74">
        <v>0.03</v>
      </c>
      <c r="DQ69" s="73">
        <v>-8533084.1579999998</v>
      </c>
      <c r="DR69">
        <v>395737.67499999999</v>
      </c>
      <c r="DS69" s="74">
        <v>0.03</v>
      </c>
      <c r="DU69" s="73">
        <v>-8534673.7440000009</v>
      </c>
      <c r="DV69">
        <v>399964.46399999998</v>
      </c>
      <c r="DW69" s="74">
        <v>87.7</v>
      </c>
      <c r="EC69" s="73">
        <v>-8533960.2770000007</v>
      </c>
      <c r="ED69">
        <v>397913.58500000002</v>
      </c>
      <c r="EE69" s="74">
        <v>1.2999999999999999E-2</v>
      </c>
      <c r="EG69" s="75">
        <v>-8540260.3359999992</v>
      </c>
      <c r="EH69" s="76">
        <v>393192.54599999997</v>
      </c>
      <c r="EI69" s="77"/>
      <c r="EK69">
        <v>-8533346.5529999994</v>
      </c>
      <c r="EL69">
        <v>398003.55300000001</v>
      </c>
      <c r="EM69">
        <v>2.8000000000000001E-2</v>
      </c>
      <c r="FA69">
        <v>-8530625.2320000008</v>
      </c>
      <c r="FB69">
        <v>396725.804</v>
      </c>
      <c r="FC69">
        <v>3.4000000000000002E-2</v>
      </c>
      <c r="FE69">
        <v>-8532669.7819999997</v>
      </c>
      <c r="FF69">
        <v>397913.20400000003</v>
      </c>
      <c r="FG69">
        <v>0.14000000000000001</v>
      </c>
      <c r="FM69">
        <v>-8528777.3029999994</v>
      </c>
      <c r="FN69">
        <v>396196.94799999997</v>
      </c>
      <c r="FO69">
        <v>21.940999999999999</v>
      </c>
      <c r="FU69">
        <v>-8532839.8450000007</v>
      </c>
      <c r="FV69">
        <v>398138.13199999998</v>
      </c>
      <c r="FW69">
        <v>6.8000000000000005E-2</v>
      </c>
      <c r="FY69">
        <v>-8530788.3540000003</v>
      </c>
      <c r="FZ69">
        <v>396950.32699999999</v>
      </c>
      <c r="GA69">
        <v>4.3999999999999997E-2</v>
      </c>
      <c r="GG69">
        <v>-8532434.0079999994</v>
      </c>
      <c r="GH69">
        <v>397979.95299999998</v>
      </c>
      <c r="GI69">
        <v>99.331999999999994</v>
      </c>
      <c r="GS69">
        <v>-8532389.5519999992</v>
      </c>
      <c r="GT69">
        <v>397989.75300000003</v>
      </c>
      <c r="GU69">
        <v>5.6000000000000001E-2</v>
      </c>
      <c r="HY69">
        <v>-8532838.2229999993</v>
      </c>
      <c r="HZ69">
        <v>398177.554</v>
      </c>
      <c r="IA69">
        <v>0.06</v>
      </c>
      <c r="IO69">
        <v>-8533611.625</v>
      </c>
      <c r="IP69">
        <v>397986.299</v>
      </c>
      <c r="IQ69">
        <v>5.6000000000000001E-2</v>
      </c>
    </row>
    <row r="70" spans="41:251" ht="15" thickBot="1" x14ac:dyDescent="0.35">
      <c r="AO70" s="73">
        <v>-8529750.0219999999</v>
      </c>
      <c r="AP70">
        <v>396395.261</v>
      </c>
      <c r="AQ70" s="74">
        <v>5.7000000000000002E-2</v>
      </c>
      <c r="BA70" s="73">
        <v>-8533569.1559999995</v>
      </c>
      <c r="BB70">
        <v>396373.66800000001</v>
      </c>
      <c r="BC70" s="74">
        <v>0.22</v>
      </c>
      <c r="BE70" s="73">
        <v>-8532523.0580000002</v>
      </c>
      <c r="BF70">
        <v>395427.83199999999</v>
      </c>
      <c r="BG70" s="74">
        <v>5.2999999999999999E-2</v>
      </c>
      <c r="BI70" s="73">
        <v>-8533159.0519999992</v>
      </c>
      <c r="BJ70">
        <v>395666.40500000003</v>
      </c>
      <c r="BK70" s="74">
        <v>0.10299999999999999</v>
      </c>
      <c r="BM70" s="73">
        <v>-8532452.9959999993</v>
      </c>
      <c r="BN70">
        <v>394652.92200000002</v>
      </c>
      <c r="BO70" s="74">
        <v>0.13200000000000001</v>
      </c>
      <c r="BQ70" s="73">
        <v>-8532452.9959999993</v>
      </c>
      <c r="BR70">
        <v>394652.92200000002</v>
      </c>
      <c r="BS70" s="74">
        <v>0.13200000000000001</v>
      </c>
      <c r="BU70" s="73">
        <v>-8532452.9959999993</v>
      </c>
      <c r="BV70">
        <v>394652.92200000002</v>
      </c>
      <c r="BW70" s="74">
        <v>0.13200000000000001</v>
      </c>
      <c r="BY70" s="73">
        <v>-8532452.9959999993</v>
      </c>
      <c r="BZ70">
        <v>394652.92200000002</v>
      </c>
      <c r="CA70" s="74">
        <v>0.13200000000000001</v>
      </c>
      <c r="CC70" s="73">
        <v>-8532452.9959999993</v>
      </c>
      <c r="CD70">
        <v>394652.92200000002</v>
      </c>
      <c r="CE70" s="74">
        <v>0.13200000000000001</v>
      </c>
      <c r="CK70" s="73">
        <v>-8531960.5989999995</v>
      </c>
      <c r="CL70">
        <v>399462.96500000003</v>
      </c>
      <c r="CM70" s="74">
        <v>0.01</v>
      </c>
      <c r="CO70" s="73">
        <v>-8534710.4360000007</v>
      </c>
      <c r="CP70">
        <v>399979.37</v>
      </c>
      <c r="CQ70" s="74">
        <v>39.603999999999999</v>
      </c>
      <c r="CS70" s="73">
        <v>-8534710.4360000007</v>
      </c>
      <c r="CT70">
        <v>399979.37</v>
      </c>
      <c r="CU70" s="74">
        <v>39.603999999999999</v>
      </c>
      <c r="CW70" s="73">
        <v>-8534710.4360000007</v>
      </c>
      <c r="CX70">
        <v>399979.37</v>
      </c>
      <c r="CY70" s="74">
        <v>39.603999999999999</v>
      </c>
      <c r="DI70" s="73">
        <v>-8530620.0329999998</v>
      </c>
      <c r="DJ70">
        <v>396723.15100000001</v>
      </c>
      <c r="DK70" s="74">
        <v>40.450000000000003</v>
      </c>
      <c r="DM70" s="73">
        <v>-8533159.0519999992</v>
      </c>
      <c r="DN70">
        <v>395666.40500000003</v>
      </c>
      <c r="DO70" s="74">
        <v>0.10299999999999999</v>
      </c>
      <c r="DQ70" s="73">
        <v>-8533159.0519999992</v>
      </c>
      <c r="DR70">
        <v>395666.40500000003</v>
      </c>
      <c r="DS70" s="74">
        <v>0.10299999999999999</v>
      </c>
      <c r="DU70" s="73">
        <v>-8534710.4360000007</v>
      </c>
      <c r="DV70">
        <v>399979.37</v>
      </c>
      <c r="DW70" s="74">
        <v>39.603999999999999</v>
      </c>
      <c r="EC70" s="73">
        <v>-8533958.6889999993</v>
      </c>
      <c r="ED70">
        <v>397908.14299999998</v>
      </c>
      <c r="EE70" s="74">
        <v>6.0000000000000001E-3</v>
      </c>
      <c r="EI70" s="77">
        <f>SUM(EI3:EI69)</f>
        <v>5.4719999999999995</v>
      </c>
      <c r="EK70">
        <v>-8533266.7369999997</v>
      </c>
      <c r="EL70">
        <v>397992.08799999999</v>
      </c>
      <c r="EM70">
        <v>0.08</v>
      </c>
      <c r="FA70">
        <v>-8530592.4900000002</v>
      </c>
      <c r="FB70">
        <v>396773.429</v>
      </c>
      <c r="FC70">
        <v>5.7000000000000002E-2</v>
      </c>
      <c r="FE70">
        <v>-8532791.8210000005</v>
      </c>
      <c r="FF70">
        <v>397920.14899999998</v>
      </c>
      <c r="FG70">
        <v>0.122</v>
      </c>
      <c r="FM70">
        <v>-8528780.2789999992</v>
      </c>
      <c r="FN70">
        <v>396259.45600000001</v>
      </c>
      <c r="FO70">
        <v>62.042999999999999</v>
      </c>
      <c r="FU70">
        <v>-8532374.3849999998</v>
      </c>
      <c r="FV70">
        <v>397693.88</v>
      </c>
      <c r="FY70">
        <v>-8530835.4440000001</v>
      </c>
      <c r="FZ70">
        <v>396979.52299999999</v>
      </c>
      <c r="GA70">
        <v>5.5E-2</v>
      </c>
      <c r="GG70">
        <v>-8532545.6119999997</v>
      </c>
      <c r="GH70">
        <v>397919.20699999999</v>
      </c>
      <c r="GI70">
        <v>126.627</v>
      </c>
      <c r="GS70">
        <v>-8532440.807</v>
      </c>
      <c r="GT70">
        <v>397979.02600000001</v>
      </c>
      <c r="GU70">
        <v>5.1999999999999998E-2</v>
      </c>
      <c r="HY70">
        <v>-8532714.8540000003</v>
      </c>
      <c r="HZ70">
        <v>398032.73</v>
      </c>
      <c r="IO70">
        <v>-8533536.5309999995</v>
      </c>
      <c r="IP70">
        <v>397964.84299999999</v>
      </c>
      <c r="IQ70">
        <v>7.8E-2</v>
      </c>
    </row>
    <row r="71" spans="41:251" ht="15" thickBot="1" x14ac:dyDescent="0.35">
      <c r="AO71" s="73">
        <v>-8529725.8629999999</v>
      </c>
      <c r="AP71">
        <v>396409.75599999999</v>
      </c>
      <c r="AQ71" s="74">
        <v>2.8000000000000001E-2</v>
      </c>
      <c r="BA71" s="73">
        <v>-8533589.0869999994</v>
      </c>
      <c r="BB71">
        <v>396366.42099999997</v>
      </c>
      <c r="BC71" s="74">
        <v>2.1000000000000001E-2</v>
      </c>
      <c r="BE71" s="73">
        <v>-8532486.2149999999</v>
      </c>
      <c r="BF71">
        <v>395412.12800000003</v>
      </c>
      <c r="BG71" s="74">
        <v>0.04</v>
      </c>
      <c r="BI71" s="73">
        <v>-8533179.5869999994</v>
      </c>
      <c r="BJ71">
        <v>395624.12599999999</v>
      </c>
      <c r="BK71" s="74">
        <v>4.7E-2</v>
      </c>
      <c r="BM71" s="73">
        <v>-8532370.8540000003</v>
      </c>
      <c r="BN71">
        <v>394644.46600000001</v>
      </c>
      <c r="BO71" s="74"/>
      <c r="BQ71" s="73">
        <v>-8532370.8540000003</v>
      </c>
      <c r="BR71">
        <v>394644.46600000001</v>
      </c>
      <c r="BS71" s="74"/>
      <c r="BU71" s="73">
        <v>-8532459.0360000003</v>
      </c>
      <c r="BV71">
        <v>394586.484</v>
      </c>
      <c r="BW71" s="74">
        <v>6.7000000000000004E-2</v>
      </c>
      <c r="BY71" s="73">
        <v>-8532459.0360000003</v>
      </c>
      <c r="BZ71">
        <v>394586.484</v>
      </c>
      <c r="CA71" s="74">
        <v>6.7000000000000004E-2</v>
      </c>
      <c r="CC71" s="73">
        <v>-8532459.0360000003</v>
      </c>
      <c r="CD71">
        <v>394586.484</v>
      </c>
      <c r="CE71" s="74">
        <v>6.7000000000000004E-2</v>
      </c>
      <c r="CK71" s="73">
        <v>-8531952.4450000003</v>
      </c>
      <c r="CL71">
        <v>399481.31099999999</v>
      </c>
      <c r="CM71" s="74">
        <v>0.02</v>
      </c>
      <c r="CO71" s="73">
        <v>-8534799.8719999995</v>
      </c>
      <c r="CP71">
        <v>399988.54300000001</v>
      </c>
      <c r="CQ71" s="74">
        <v>89.906000000000006</v>
      </c>
      <c r="CS71" s="73">
        <v>-8534799.8719999995</v>
      </c>
      <c r="CT71">
        <v>399988.54300000001</v>
      </c>
      <c r="CU71" s="74">
        <v>89.906000000000006</v>
      </c>
      <c r="CW71" s="73">
        <v>-8534799.8719999995</v>
      </c>
      <c r="CX71">
        <v>399988.54300000001</v>
      </c>
      <c r="CY71" s="74">
        <v>89.906000000000006</v>
      </c>
      <c r="DI71" s="73">
        <v>-8530617.3120000008</v>
      </c>
      <c r="DJ71">
        <v>396699.56900000002</v>
      </c>
      <c r="DK71" s="74">
        <v>23.738</v>
      </c>
      <c r="DM71" s="73">
        <v>-8533179.5869999994</v>
      </c>
      <c r="DN71">
        <v>395624.12599999999</v>
      </c>
      <c r="DO71" s="74">
        <v>4.7E-2</v>
      </c>
      <c r="DQ71" s="73">
        <v>-8533179.5869999994</v>
      </c>
      <c r="DR71">
        <v>395624.12599999999</v>
      </c>
      <c r="DS71" s="74">
        <v>4.7E-2</v>
      </c>
      <c r="DU71" s="73">
        <v>-8534799.8719999995</v>
      </c>
      <c r="DV71">
        <v>399988.54300000001</v>
      </c>
      <c r="DW71" s="74">
        <v>89.906000000000006</v>
      </c>
      <c r="EC71" s="73">
        <v>-8533963.4509999994</v>
      </c>
      <c r="ED71">
        <v>397892.951</v>
      </c>
      <c r="EE71" s="74">
        <v>1.6E-2</v>
      </c>
      <c r="EI71">
        <f>EI70+13.07</f>
        <v>18.542000000000002</v>
      </c>
      <c r="EK71">
        <v>-8532918.5889999997</v>
      </c>
      <c r="EL71">
        <v>397938.951</v>
      </c>
      <c r="EM71">
        <v>0.35099999999999998</v>
      </c>
      <c r="FA71">
        <v>-8530607.3729999997</v>
      </c>
      <c r="FB71">
        <v>396825.51799999998</v>
      </c>
      <c r="FC71">
        <v>5.3999999999999999E-2</v>
      </c>
      <c r="FE71">
        <v>-8532726.8330000006</v>
      </c>
      <c r="FF71">
        <v>398048.63799999998</v>
      </c>
      <c r="FG71">
        <v>0.14299999999999999</v>
      </c>
      <c r="FM71">
        <v>-8528788.8369999994</v>
      </c>
      <c r="FN71">
        <v>396296.29100000003</v>
      </c>
      <c r="FO71">
        <v>37.505000000000003</v>
      </c>
      <c r="FW71">
        <f>SUM(FW3:FW69)</f>
        <v>4.7129999999999992</v>
      </c>
      <c r="FY71">
        <v>-8530866.9949999992</v>
      </c>
      <c r="FZ71">
        <v>396990.82400000002</v>
      </c>
      <c r="GA71">
        <v>3.3000000000000002E-2</v>
      </c>
      <c r="GG71">
        <v>-8532749.0409999993</v>
      </c>
      <c r="GH71">
        <v>397922.03200000001</v>
      </c>
      <c r="GI71">
        <v>203.05600000000001</v>
      </c>
      <c r="GS71">
        <v>-8532475.3739999998</v>
      </c>
      <c r="GT71">
        <v>397955.98100000003</v>
      </c>
      <c r="GU71">
        <v>4.1000000000000002E-2</v>
      </c>
      <c r="IA71" s="77">
        <f>SUM(IA$3:IA70)</f>
        <v>14.314000000000002</v>
      </c>
      <c r="IO71">
        <v>-8533437.2990000006</v>
      </c>
      <c r="IP71">
        <v>397946.07</v>
      </c>
      <c r="IQ71">
        <v>0.10100000000000001</v>
      </c>
    </row>
    <row r="72" spans="41:251" x14ac:dyDescent="0.3">
      <c r="AO72" s="73">
        <v>-8529712.9780000001</v>
      </c>
      <c r="AP72">
        <v>396458.88</v>
      </c>
      <c r="AQ72" s="74">
        <v>5.0999999999999997E-2</v>
      </c>
      <c r="BA72" s="73">
        <v>-8533616.8709999993</v>
      </c>
      <c r="BB72">
        <v>396335.61800000002</v>
      </c>
      <c r="BC72" s="74">
        <v>4.1000000000000002E-2</v>
      </c>
      <c r="BE72" s="73">
        <v>-8532435.4800000004</v>
      </c>
      <c r="BF72">
        <v>395403.67200000002</v>
      </c>
      <c r="BG72" s="74">
        <v>5.0999999999999997E-2</v>
      </c>
      <c r="BI72" s="73">
        <v>-8533208.5779999997</v>
      </c>
      <c r="BJ72">
        <v>395596.34299999999</v>
      </c>
      <c r="BK72" s="74">
        <v>0.04</v>
      </c>
      <c r="BM72" s="73">
        <v>-8532451.7880000006</v>
      </c>
      <c r="BN72">
        <v>394653.52600000001</v>
      </c>
      <c r="BO72" s="74"/>
      <c r="BQ72" s="73">
        <v>-8532451.7880000006</v>
      </c>
      <c r="BR72">
        <v>394653.52600000001</v>
      </c>
      <c r="BS72" s="74"/>
      <c r="BU72" s="73">
        <v>-8532454.2039999999</v>
      </c>
      <c r="BV72">
        <v>394489.84600000002</v>
      </c>
      <c r="BW72" s="74">
        <v>9.7000000000000003E-2</v>
      </c>
      <c r="BY72" s="73">
        <v>-8532454.2039999999</v>
      </c>
      <c r="BZ72">
        <v>394489.84600000002</v>
      </c>
      <c r="CA72" s="74">
        <v>9.7000000000000003E-2</v>
      </c>
      <c r="CC72" s="73">
        <v>-8532454.2039999999</v>
      </c>
      <c r="CD72">
        <v>394489.84600000002</v>
      </c>
      <c r="CE72" s="74">
        <v>9.7000000000000003E-2</v>
      </c>
      <c r="CK72" s="73">
        <v>-8531952.4450000003</v>
      </c>
      <c r="CL72">
        <v>399528.87400000001</v>
      </c>
      <c r="CM72" s="74">
        <v>4.8000000000000001E-2</v>
      </c>
      <c r="CO72" s="73">
        <v>-8534882.4289999995</v>
      </c>
      <c r="CP72">
        <v>399915.15899999999</v>
      </c>
      <c r="CQ72" s="74">
        <v>110.45699999999999</v>
      </c>
      <c r="CS72" s="73">
        <v>-8534882.4289999995</v>
      </c>
      <c r="CT72">
        <v>399915.15899999999</v>
      </c>
      <c r="CU72" s="74">
        <v>110.45699999999999</v>
      </c>
      <c r="CW72" s="73">
        <v>-8534882.4289999995</v>
      </c>
      <c r="CX72">
        <v>399915.15899999999</v>
      </c>
      <c r="CY72" s="74">
        <v>110.45699999999999</v>
      </c>
      <c r="DI72" s="73">
        <v>-8530597.3579999991</v>
      </c>
      <c r="DJ72">
        <v>396692.31300000002</v>
      </c>
      <c r="DK72" s="74">
        <v>21.231999999999999</v>
      </c>
      <c r="DM72" s="73">
        <v>-8533208.5779999997</v>
      </c>
      <c r="DN72">
        <v>395596.34299999999</v>
      </c>
      <c r="DO72" s="74">
        <v>0.04</v>
      </c>
      <c r="DQ72" s="73">
        <v>-8533208.5779999997</v>
      </c>
      <c r="DR72">
        <v>395596.34299999999</v>
      </c>
      <c r="DS72" s="74">
        <v>0.04</v>
      </c>
      <c r="DU72" s="73">
        <v>-8534882.4289999995</v>
      </c>
      <c r="DV72">
        <v>399915.15899999999</v>
      </c>
      <c r="DW72" s="74">
        <v>110.45699999999999</v>
      </c>
      <c r="EC72" s="73">
        <v>-8533971.1610000003</v>
      </c>
      <c r="ED72">
        <v>397877.07799999998</v>
      </c>
      <c r="EE72" s="74">
        <v>1.7999999999999999E-2</v>
      </c>
      <c r="EK72">
        <v>-8532745.7280000001</v>
      </c>
      <c r="EL72">
        <v>397914.25599999999</v>
      </c>
      <c r="EM72">
        <v>0.17399999999999999</v>
      </c>
      <c r="FA72">
        <v>-8530622.2559999991</v>
      </c>
      <c r="FB72">
        <v>396865.70199999999</v>
      </c>
      <c r="FC72">
        <v>4.2999999999999997E-2</v>
      </c>
      <c r="FE72">
        <v>-8532821.5869999994</v>
      </c>
      <c r="FF72">
        <v>398064.51299999998</v>
      </c>
      <c r="FG72">
        <v>9.6000000000000002E-2</v>
      </c>
      <c r="FM72">
        <v>-8528841.2990000006</v>
      </c>
      <c r="FN72">
        <v>396323.08</v>
      </c>
      <c r="FO72">
        <v>58.712000000000003</v>
      </c>
      <c r="FY72">
        <v>-8530884.4179999996</v>
      </c>
      <c r="FZ72">
        <v>397010.60200000001</v>
      </c>
      <c r="GA72">
        <v>2.5999999999999999E-2</v>
      </c>
      <c r="GG72">
        <v>-8532709.4849999994</v>
      </c>
      <c r="GH72">
        <v>398027.98499999999</v>
      </c>
      <c r="GI72">
        <v>112.217</v>
      </c>
      <c r="GS72">
        <v>-8532529.0120000001</v>
      </c>
      <c r="GT72">
        <v>397923.40100000001</v>
      </c>
      <c r="GU72">
        <v>6.3E-2</v>
      </c>
      <c r="IO72">
        <v>-8533346.1129999999</v>
      </c>
      <c r="IP72">
        <v>398010.43599999999</v>
      </c>
      <c r="IQ72">
        <v>0.111</v>
      </c>
    </row>
    <row r="73" spans="41:251" x14ac:dyDescent="0.3">
      <c r="AO73" s="73">
        <v>-8529683.9869999997</v>
      </c>
      <c r="AP73">
        <v>396479.01299999998</v>
      </c>
      <c r="AQ73" s="74">
        <v>3.5000000000000003E-2</v>
      </c>
      <c r="BA73" s="73">
        <v>-8533641.0299999993</v>
      </c>
      <c r="BB73">
        <v>396295.755</v>
      </c>
      <c r="BC73" s="74">
        <v>4.7E-2</v>
      </c>
      <c r="BE73" s="73">
        <v>-8532341.2589999996</v>
      </c>
      <c r="BF73">
        <v>395420.58399999997</v>
      </c>
      <c r="BG73" s="74">
        <v>9.6000000000000002E-2</v>
      </c>
      <c r="BI73" s="73">
        <v>-8533219.4499999993</v>
      </c>
      <c r="BJ73">
        <v>395537.152</v>
      </c>
      <c r="BK73" s="74">
        <v>0.06</v>
      </c>
      <c r="BM73" s="73">
        <v>-8532464.4719999991</v>
      </c>
      <c r="BN73">
        <v>394659.56599999999</v>
      </c>
      <c r="BO73" s="74">
        <v>1.4E-2</v>
      </c>
      <c r="BQ73" s="73">
        <v>-8532464.4719999991</v>
      </c>
      <c r="BR73">
        <v>394659.56599999999</v>
      </c>
      <c r="BS73" s="74">
        <v>1.4E-2</v>
      </c>
      <c r="BU73" s="73">
        <v>-8532468.6989999991</v>
      </c>
      <c r="BV73">
        <v>394417.36800000002</v>
      </c>
      <c r="BW73" s="74">
        <v>7.3999999999999996E-2</v>
      </c>
      <c r="BY73" s="73">
        <v>-8532468.6989999991</v>
      </c>
      <c r="BZ73">
        <v>394417.36800000002</v>
      </c>
      <c r="CA73" s="74">
        <v>7.3999999999999996E-2</v>
      </c>
      <c r="CC73" s="73">
        <v>-8532468.6989999991</v>
      </c>
      <c r="CD73">
        <v>394417.36800000002</v>
      </c>
      <c r="CE73" s="74">
        <v>7.3999999999999996E-2</v>
      </c>
      <c r="CK73" s="73">
        <v>-8531967.3939999994</v>
      </c>
      <c r="CL73">
        <v>399551.97700000001</v>
      </c>
      <c r="CM73" s="74">
        <v>2.8000000000000001E-2</v>
      </c>
      <c r="CO73" s="73">
        <v>-8534909.9480000008</v>
      </c>
      <c r="CP73">
        <v>399909.42599999998</v>
      </c>
      <c r="CQ73" s="74">
        <v>28.11</v>
      </c>
      <c r="CS73" s="73">
        <v>-8534909.9480000008</v>
      </c>
      <c r="CT73">
        <v>399909.42599999998</v>
      </c>
      <c r="CU73" s="74">
        <v>28.11</v>
      </c>
      <c r="CW73" s="73">
        <v>-8534909.9480000008</v>
      </c>
      <c r="CX73">
        <v>399909.42599999998</v>
      </c>
      <c r="CY73" s="74">
        <v>28.11</v>
      </c>
      <c r="DI73" s="73">
        <v>-8530560.1710000001</v>
      </c>
      <c r="DJ73">
        <v>396701.38299999997</v>
      </c>
      <c r="DK73" s="74">
        <v>38.277000000000001</v>
      </c>
      <c r="DM73" s="73">
        <v>-8533219.4499999993</v>
      </c>
      <c r="DN73">
        <v>395537.152</v>
      </c>
      <c r="DO73" s="74">
        <v>0.06</v>
      </c>
      <c r="DQ73" s="73">
        <v>-8533219.4499999993</v>
      </c>
      <c r="DR73">
        <v>395537.152</v>
      </c>
      <c r="DS73" s="74">
        <v>0.06</v>
      </c>
      <c r="DU73" s="73">
        <v>-8534909.9480000008</v>
      </c>
      <c r="DV73">
        <v>399909.42599999998</v>
      </c>
      <c r="DW73" s="74">
        <v>28.11</v>
      </c>
      <c r="EC73" s="73">
        <v>-8533977.0559999999</v>
      </c>
      <c r="ED73">
        <v>397867.10100000002</v>
      </c>
      <c r="EE73" s="74">
        <v>1.2E-2</v>
      </c>
      <c r="EK73">
        <v>-8532747.602</v>
      </c>
      <c r="EL73">
        <v>397927.15500000003</v>
      </c>
      <c r="EM73">
        <v>1.2999999999999999E-2</v>
      </c>
      <c r="FA73">
        <v>-8530696.6699999999</v>
      </c>
      <c r="FB73">
        <v>396891.00300000003</v>
      </c>
      <c r="FC73">
        <v>7.8E-2</v>
      </c>
      <c r="FE73">
        <v>-8532911.3800000008</v>
      </c>
      <c r="FF73">
        <v>398085.84499999997</v>
      </c>
      <c r="FG73">
        <v>9.1999999999999998E-2</v>
      </c>
      <c r="FM73">
        <v>-8528873.6689999998</v>
      </c>
      <c r="FN73">
        <v>396333.49800000002</v>
      </c>
      <c r="FO73">
        <v>33.918999999999997</v>
      </c>
      <c r="FY73">
        <v>-8530908.4340000004</v>
      </c>
      <c r="FZ73">
        <v>397034.147</v>
      </c>
      <c r="GA73">
        <v>3.3000000000000002E-2</v>
      </c>
      <c r="GG73">
        <v>-8532685.4690000005</v>
      </c>
      <c r="GH73">
        <v>398027.98499999999</v>
      </c>
      <c r="GI73">
        <v>23.97</v>
      </c>
      <c r="GS73">
        <v>-8532631.9189999998</v>
      </c>
      <c r="GT73">
        <v>397914.65899999999</v>
      </c>
      <c r="GU73">
        <v>0.10299999999999999</v>
      </c>
      <c r="IO73">
        <v>-8533182.5160000008</v>
      </c>
      <c r="IP73">
        <v>397983.61700000003</v>
      </c>
      <c r="IQ73">
        <v>0.16500000000000001</v>
      </c>
    </row>
    <row r="74" spans="41:251" x14ac:dyDescent="0.3">
      <c r="AO74" s="73">
        <v>-8529642.1109999996</v>
      </c>
      <c r="AP74">
        <v>396472.571</v>
      </c>
      <c r="AQ74" s="74">
        <v>4.2000000000000003E-2</v>
      </c>
      <c r="BA74" s="73">
        <v>-8533684.5170000009</v>
      </c>
      <c r="BB74">
        <v>396258.30800000002</v>
      </c>
      <c r="BC74" s="74">
        <v>5.7000000000000002E-2</v>
      </c>
      <c r="BE74" s="73">
        <v>-8532256.7019999996</v>
      </c>
      <c r="BF74">
        <v>395427.83199999999</v>
      </c>
      <c r="BG74" s="74">
        <v>8.5000000000000006E-2</v>
      </c>
      <c r="BI74" s="73">
        <v>-8533236.3609999996</v>
      </c>
      <c r="BJ74">
        <v>395481.58600000001</v>
      </c>
      <c r="BK74" s="74">
        <v>5.8000000000000003E-2</v>
      </c>
      <c r="BM74" s="73">
        <v>-8532498.2949999999</v>
      </c>
      <c r="BN74">
        <v>394663.49099999998</v>
      </c>
      <c r="BO74" s="74">
        <v>3.4000000000000002E-2</v>
      </c>
      <c r="BQ74" s="73">
        <v>-8532498.2949999999</v>
      </c>
      <c r="BR74">
        <v>394663.49099999998</v>
      </c>
      <c r="BS74" s="74">
        <v>3.4000000000000002E-2</v>
      </c>
      <c r="BU74" s="73">
        <v>-8532428.8369999994</v>
      </c>
      <c r="BV74">
        <v>394364.21799999999</v>
      </c>
      <c r="BW74" s="74">
        <v>6.6000000000000003E-2</v>
      </c>
      <c r="BY74" s="73">
        <v>-8532428.8369999994</v>
      </c>
      <c r="BZ74">
        <v>394364.21799999999</v>
      </c>
      <c r="CA74" s="74">
        <v>6.6000000000000003E-2</v>
      </c>
      <c r="CC74" s="73">
        <v>-8532428.8369999994</v>
      </c>
      <c r="CD74">
        <v>394364.21799999999</v>
      </c>
      <c r="CE74" s="74">
        <v>6.6000000000000003E-2</v>
      </c>
      <c r="CK74" s="73">
        <v>-8531967.3939999994</v>
      </c>
      <c r="CL74">
        <v>399605.65600000002</v>
      </c>
      <c r="CM74" s="74">
        <v>5.3999999999999999E-2</v>
      </c>
      <c r="CO74" s="73">
        <v>-8534926.0010000002</v>
      </c>
      <c r="CP74">
        <v>399927.772</v>
      </c>
      <c r="CQ74" s="74">
        <v>24.378</v>
      </c>
      <c r="CS74" s="73">
        <v>-8534926.0010000002</v>
      </c>
      <c r="CT74">
        <v>399927.772</v>
      </c>
      <c r="CU74" s="74">
        <v>24.378</v>
      </c>
      <c r="CW74" s="73">
        <v>-8534926.0010000002</v>
      </c>
      <c r="CX74">
        <v>399927.772</v>
      </c>
      <c r="CY74" s="74">
        <v>24.378</v>
      </c>
      <c r="DI74" s="73">
        <v>-8530535.682</v>
      </c>
      <c r="DJ74">
        <v>396686.87099999998</v>
      </c>
      <c r="DK74" s="74">
        <v>28.466000000000001</v>
      </c>
      <c r="DM74" s="73">
        <v>-8533236.3609999996</v>
      </c>
      <c r="DN74">
        <v>395481.58600000001</v>
      </c>
      <c r="DO74" s="74">
        <v>5.8000000000000003E-2</v>
      </c>
      <c r="DQ74" s="73">
        <v>-8533236.3609999996</v>
      </c>
      <c r="DR74">
        <v>395481.58600000001</v>
      </c>
      <c r="DS74" s="74">
        <v>5.8000000000000003E-2</v>
      </c>
      <c r="DU74" s="73">
        <v>-8534926.0010000002</v>
      </c>
      <c r="DV74">
        <v>399927.772</v>
      </c>
      <c r="DW74" s="74">
        <v>24.378</v>
      </c>
      <c r="EC74" s="73">
        <v>-8533992.4749999996</v>
      </c>
      <c r="ED74">
        <v>397849.18800000002</v>
      </c>
      <c r="EE74" s="74">
        <v>2.4E-2</v>
      </c>
      <c r="EK74">
        <v>-8532740.1060000006</v>
      </c>
      <c r="EL74">
        <v>397945.23499999999</v>
      </c>
      <c r="EM74">
        <v>1.9E-2</v>
      </c>
      <c r="FA74">
        <v>-8530747.2719999999</v>
      </c>
      <c r="FB74">
        <v>396938.62800000003</v>
      </c>
      <c r="FC74">
        <v>6.9000000000000006E-2</v>
      </c>
      <c r="FE74">
        <v>-8532891.9079999998</v>
      </c>
      <c r="FF74">
        <v>398205.77500000002</v>
      </c>
      <c r="FG74">
        <v>0.12</v>
      </c>
      <c r="FM74">
        <v>-8528943.2459999993</v>
      </c>
      <c r="FN74">
        <v>396367.72899999999</v>
      </c>
      <c r="FO74">
        <v>77.293000000000006</v>
      </c>
      <c r="FY74">
        <v>-8530959.2919999994</v>
      </c>
      <c r="FZ74">
        <v>397039.79800000001</v>
      </c>
      <c r="GA74">
        <v>5.0999999999999997E-2</v>
      </c>
      <c r="GG74">
        <v>-8532689.0010000002</v>
      </c>
      <c r="GH74">
        <v>398057.47499999998</v>
      </c>
      <c r="GI74">
        <v>29.449000000000002</v>
      </c>
      <c r="GS74">
        <v>-8532751.5130000003</v>
      </c>
      <c r="GT74">
        <v>397917.04300000001</v>
      </c>
      <c r="GU74">
        <v>0.11899999999999999</v>
      </c>
      <c r="IO74">
        <v>-8532997.4619999994</v>
      </c>
      <c r="IP74">
        <v>397940.70600000001</v>
      </c>
      <c r="IQ74">
        <v>0.19</v>
      </c>
    </row>
    <row r="75" spans="41:251" x14ac:dyDescent="0.3">
      <c r="AO75" s="73">
        <v>-8529607.4820000008</v>
      </c>
      <c r="AP75">
        <v>396428.17800000001</v>
      </c>
      <c r="AQ75" s="74">
        <v>5.6000000000000001E-2</v>
      </c>
      <c r="BA75" s="73">
        <v>-8533740.0830000006</v>
      </c>
      <c r="BB75">
        <v>396254.68400000001</v>
      </c>
      <c r="BC75" s="74">
        <v>5.6000000000000001E-2</v>
      </c>
      <c r="BE75" s="73">
        <v>-8532184.2239999995</v>
      </c>
      <c r="BF75">
        <v>395501.51699999999</v>
      </c>
      <c r="BG75" s="74">
        <v>0.10299999999999999</v>
      </c>
      <c r="BI75" s="73">
        <v>-8533236.3609999996</v>
      </c>
      <c r="BJ75">
        <v>395364.413</v>
      </c>
      <c r="BK75" s="74">
        <v>0.11700000000000001</v>
      </c>
      <c r="BM75" s="73">
        <v>-8532516.716</v>
      </c>
      <c r="BN75">
        <v>394643.56</v>
      </c>
      <c r="BO75" s="74">
        <v>2.7E-2</v>
      </c>
      <c r="BQ75" s="73">
        <v>-8532516.716</v>
      </c>
      <c r="BR75">
        <v>394643.56</v>
      </c>
      <c r="BS75" s="74">
        <v>2.7E-2</v>
      </c>
      <c r="BU75" s="73">
        <v>-8532373.2699999996</v>
      </c>
      <c r="BV75">
        <v>394283.28399999999</v>
      </c>
      <c r="BW75" s="74">
        <v>9.8000000000000004E-2</v>
      </c>
      <c r="BY75" s="73">
        <v>-8532373.2699999996</v>
      </c>
      <c r="BZ75">
        <v>394283.28399999999</v>
      </c>
      <c r="CA75" s="74">
        <v>9.8000000000000004E-2</v>
      </c>
      <c r="CC75" s="73">
        <v>-8532373.2699999996</v>
      </c>
      <c r="CD75">
        <v>394283.28399999999</v>
      </c>
      <c r="CE75" s="74">
        <v>9.8000000000000004E-2</v>
      </c>
      <c r="CK75" s="73">
        <v>-8531976.9069999997</v>
      </c>
      <c r="CL75">
        <v>399630.11700000003</v>
      </c>
      <c r="CM75" s="74">
        <v>2.5999999999999999E-2</v>
      </c>
      <c r="CO75" s="73">
        <v>-8534897.3350000009</v>
      </c>
      <c r="CP75">
        <v>400011.47499999998</v>
      </c>
      <c r="CQ75" s="74">
        <v>88.475999999999999</v>
      </c>
      <c r="CS75" s="73">
        <v>-8534897.3350000009</v>
      </c>
      <c r="CT75">
        <v>400011.47499999998</v>
      </c>
      <c r="CU75" s="74">
        <v>88.475999999999999</v>
      </c>
      <c r="CW75" s="73">
        <v>-8534897.3350000009</v>
      </c>
      <c r="CX75">
        <v>400011.47499999998</v>
      </c>
      <c r="CY75" s="74">
        <v>88.475999999999999</v>
      </c>
      <c r="DI75" s="73">
        <v>-8530512.1009999998</v>
      </c>
      <c r="DJ75">
        <v>396647.87099999998</v>
      </c>
      <c r="DK75" s="74">
        <v>45.576000000000001</v>
      </c>
      <c r="DM75" s="73">
        <v>-8533236.3609999996</v>
      </c>
      <c r="DN75">
        <v>395364.413</v>
      </c>
      <c r="DO75" s="74">
        <v>0.11700000000000001</v>
      </c>
      <c r="DQ75" s="73">
        <v>-8533236.3609999996</v>
      </c>
      <c r="DR75">
        <v>395364.413</v>
      </c>
      <c r="DS75" s="74">
        <v>0.11700000000000001</v>
      </c>
      <c r="DU75" s="73">
        <v>-8534897.3350000009</v>
      </c>
      <c r="DV75">
        <v>400011.47499999998</v>
      </c>
      <c r="DW75" s="74">
        <v>88.475999999999999</v>
      </c>
      <c r="EC75" s="73">
        <v>-8534018.0979999993</v>
      </c>
      <c r="ED75">
        <v>397816.76299999998</v>
      </c>
      <c r="EE75" s="74">
        <v>4.1000000000000002E-2</v>
      </c>
      <c r="EK75">
        <v>-8532735.2550000008</v>
      </c>
      <c r="EL75">
        <v>397952.73100000003</v>
      </c>
      <c r="EM75">
        <v>8.9999999999999993E-3</v>
      </c>
      <c r="FA75">
        <v>-8530796.3849999998</v>
      </c>
      <c r="FB75">
        <v>396956.11499999999</v>
      </c>
      <c r="FC75">
        <v>5.1999999999999998E-2</v>
      </c>
      <c r="FE75">
        <v>-8532839.818</v>
      </c>
      <c r="FF75">
        <v>398184.93900000001</v>
      </c>
      <c r="FG75">
        <v>5.6000000000000001E-2</v>
      </c>
      <c r="FM75">
        <v>-8529002.7770000007</v>
      </c>
      <c r="FN75">
        <v>396420.56300000002</v>
      </c>
      <c r="FO75">
        <v>79.209999999999994</v>
      </c>
      <c r="FY75">
        <v>-8531025.2180000003</v>
      </c>
      <c r="FZ75">
        <v>397036.50199999998</v>
      </c>
      <c r="GA75">
        <v>6.6000000000000003E-2</v>
      </c>
      <c r="GG75">
        <v>-8532845.1050000004</v>
      </c>
      <c r="GH75">
        <v>398143.65</v>
      </c>
      <c r="GI75">
        <v>177.68899999999999</v>
      </c>
      <c r="GS75">
        <v>-8532705.4240000006</v>
      </c>
      <c r="GT75">
        <v>398032.26699999999</v>
      </c>
      <c r="GU75">
        <v>0.123</v>
      </c>
      <c r="IO75">
        <v>-8532871.4120000005</v>
      </c>
      <c r="IP75">
        <v>397929.978</v>
      </c>
      <c r="IQ75">
        <v>0.126</v>
      </c>
    </row>
    <row r="76" spans="41:251" x14ac:dyDescent="0.3">
      <c r="AO76" s="73">
        <v>-8529581.7119999994</v>
      </c>
      <c r="AP76">
        <v>396419.32</v>
      </c>
      <c r="AQ76" s="74">
        <v>2.7E-2</v>
      </c>
      <c r="BA76" s="73">
        <v>-8534096.4330000002</v>
      </c>
      <c r="BB76">
        <v>396126.64</v>
      </c>
      <c r="BC76" s="74">
        <v>0.379</v>
      </c>
      <c r="BE76" s="73">
        <v>-8532146.7770000007</v>
      </c>
      <c r="BF76">
        <v>395505.141</v>
      </c>
      <c r="BG76" s="74">
        <v>3.7999999999999999E-2</v>
      </c>
      <c r="BI76" s="73">
        <v>-8533314.8790000007</v>
      </c>
      <c r="BJ76">
        <v>395316.09499999997</v>
      </c>
      <c r="BK76" s="74">
        <v>9.1999999999999998E-2</v>
      </c>
      <c r="BM76" s="73">
        <v>-8532555.3709999993</v>
      </c>
      <c r="BN76">
        <v>394626.64799999999</v>
      </c>
      <c r="BO76" s="74">
        <v>4.2000000000000003E-2</v>
      </c>
      <c r="BQ76" s="73">
        <v>-8532555.3709999993</v>
      </c>
      <c r="BR76">
        <v>394626.64799999999</v>
      </c>
      <c r="BS76" s="74">
        <v>4.2000000000000003E-2</v>
      </c>
      <c r="BU76" s="73">
        <v>-8532333.4069999997</v>
      </c>
      <c r="BV76">
        <v>394191.47899999999</v>
      </c>
      <c r="BW76" s="74">
        <v>0.1</v>
      </c>
      <c r="BY76" s="73">
        <v>-8532333.4069999997</v>
      </c>
      <c r="BZ76">
        <v>394191.47899999999</v>
      </c>
      <c r="CA76" s="74">
        <v>0.1</v>
      </c>
      <c r="CC76" s="73">
        <v>-8532333.4069999997</v>
      </c>
      <c r="CD76">
        <v>394191.47899999999</v>
      </c>
      <c r="CE76" s="74">
        <v>0.1</v>
      </c>
      <c r="CK76" s="73">
        <v>-8531972.8300000001</v>
      </c>
      <c r="CL76">
        <v>399649.82199999999</v>
      </c>
      <c r="CM76" s="74">
        <v>0.02</v>
      </c>
      <c r="CO76" s="73">
        <v>-8534911.0950000007</v>
      </c>
      <c r="CP76">
        <v>400044.72700000001</v>
      </c>
      <c r="CQ76" s="74">
        <v>35.985999999999997</v>
      </c>
      <c r="CS76" s="73">
        <v>-8534911.0950000007</v>
      </c>
      <c r="CT76">
        <v>400044.72700000001</v>
      </c>
      <c r="CU76" s="74">
        <v>35.985999999999997</v>
      </c>
      <c r="CW76" s="73">
        <v>-8534911.0950000007</v>
      </c>
      <c r="CX76">
        <v>400044.72700000001</v>
      </c>
      <c r="CY76" s="74">
        <v>35.985999999999997</v>
      </c>
      <c r="DI76" s="73">
        <v>-8530439.5409999993</v>
      </c>
      <c r="DJ76">
        <v>396629.73100000003</v>
      </c>
      <c r="DK76" s="74">
        <v>74.793000000000006</v>
      </c>
      <c r="DM76" s="73">
        <v>-8533314.8790000007</v>
      </c>
      <c r="DN76">
        <v>395316.09499999997</v>
      </c>
      <c r="DO76" s="74">
        <v>9.1999999999999998E-2</v>
      </c>
      <c r="DQ76" s="73">
        <v>-8533314.8790000007</v>
      </c>
      <c r="DR76">
        <v>395316.09499999997</v>
      </c>
      <c r="DS76" s="74">
        <v>9.1999999999999998E-2</v>
      </c>
      <c r="DU76" s="73">
        <v>-8534911.0950000007</v>
      </c>
      <c r="DV76">
        <v>400044.72700000001</v>
      </c>
      <c r="DW76" s="74">
        <v>35.985999999999997</v>
      </c>
      <c r="EC76" s="73">
        <v>-8534026.9409999996</v>
      </c>
      <c r="ED76">
        <v>397797.26299999998</v>
      </c>
      <c r="EE76" s="74">
        <v>2.1000000000000001E-2</v>
      </c>
      <c r="EK76">
        <v>-8532733.0500000007</v>
      </c>
      <c r="EL76">
        <v>397983.158</v>
      </c>
      <c r="EM76">
        <v>0.03</v>
      </c>
      <c r="FA76">
        <v>-8530862.2410000004</v>
      </c>
      <c r="FB76">
        <v>396989.22899999999</v>
      </c>
      <c r="FC76">
        <v>7.2999999999999995E-2</v>
      </c>
      <c r="FE76">
        <v>-8533284.8139999993</v>
      </c>
      <c r="FF76">
        <v>394697.89600000001</v>
      </c>
      <c r="FM76">
        <v>-8529060.8200000003</v>
      </c>
      <c r="FN76">
        <v>396447.35200000001</v>
      </c>
      <c r="FO76">
        <v>63.73</v>
      </c>
      <c r="FY76">
        <v>-8531059.1229999997</v>
      </c>
      <c r="FZ76">
        <v>397019.549</v>
      </c>
      <c r="GA76">
        <v>3.7999999999999999E-2</v>
      </c>
      <c r="GG76">
        <v>-8531710.7029999997</v>
      </c>
      <c r="GH76">
        <v>397657.68</v>
      </c>
      <c r="GS76">
        <v>-8532736.4149999991</v>
      </c>
      <c r="GT76">
        <v>398079.15100000001</v>
      </c>
      <c r="GU76">
        <v>5.6000000000000001E-2</v>
      </c>
      <c r="IO76">
        <v>-8532742.6789999995</v>
      </c>
      <c r="IP76">
        <v>397911.20500000002</v>
      </c>
      <c r="IQ76">
        <v>0.13</v>
      </c>
    </row>
    <row r="77" spans="41:251" ht="15" thickBot="1" x14ac:dyDescent="0.35">
      <c r="AO77" s="73">
        <v>-8529573.659</v>
      </c>
      <c r="AP77">
        <v>396435.42599999998</v>
      </c>
      <c r="AQ77" s="74">
        <v>1.7999999999999999E-2</v>
      </c>
      <c r="BA77" s="73">
        <v>-8534145.9590000007</v>
      </c>
      <c r="BB77">
        <v>396081.94500000001</v>
      </c>
      <c r="BC77" s="74">
        <v>6.7000000000000004E-2</v>
      </c>
      <c r="BE77" s="73">
        <v>-8532109.0280000009</v>
      </c>
      <c r="BF77">
        <v>395539.266</v>
      </c>
      <c r="BG77" s="74">
        <v>5.0999999999999997E-2</v>
      </c>
      <c r="BI77" s="73">
        <v>-8533381.3169999998</v>
      </c>
      <c r="BJ77">
        <v>395231.53700000001</v>
      </c>
      <c r="BK77" s="74">
        <v>0.108</v>
      </c>
      <c r="BM77" s="73">
        <v>-8532587.9859999996</v>
      </c>
      <c r="BN77">
        <v>394626.04399999999</v>
      </c>
      <c r="BO77" s="74">
        <v>3.3000000000000002E-2</v>
      </c>
      <c r="BQ77" s="73">
        <v>-8532587.9859999996</v>
      </c>
      <c r="BR77">
        <v>394626.04399999999</v>
      </c>
      <c r="BS77" s="74">
        <v>3.3000000000000002E-2</v>
      </c>
      <c r="BU77" s="73">
        <v>-8532338.2390000001</v>
      </c>
      <c r="BV77">
        <v>394141.95199999999</v>
      </c>
      <c r="BW77" s="74">
        <v>0.05</v>
      </c>
      <c r="BY77" s="73">
        <v>-8532338.2390000001</v>
      </c>
      <c r="BZ77">
        <v>394141.95199999999</v>
      </c>
      <c r="CA77" s="74">
        <v>0.05</v>
      </c>
      <c r="CC77" s="73">
        <v>-8532338.2390000001</v>
      </c>
      <c r="CD77">
        <v>394141.95199999999</v>
      </c>
      <c r="CE77" s="74">
        <v>0.05</v>
      </c>
      <c r="CK77" s="73">
        <v>-8531959.9199999999</v>
      </c>
      <c r="CL77">
        <v>399664.77</v>
      </c>
      <c r="CM77" s="74">
        <v>0.02</v>
      </c>
      <c r="CO77" s="73">
        <v>-8534946.6400000006</v>
      </c>
      <c r="CP77">
        <v>400041.28700000001</v>
      </c>
      <c r="CQ77" s="74">
        <v>35.710999999999999</v>
      </c>
      <c r="CS77" s="73">
        <v>-8534946.6400000006</v>
      </c>
      <c r="CT77">
        <v>400041.28700000001</v>
      </c>
      <c r="CU77" s="74">
        <v>35.710999999999999</v>
      </c>
      <c r="CW77" s="73">
        <v>-8534946.6400000006</v>
      </c>
      <c r="CX77">
        <v>400041.28700000001</v>
      </c>
      <c r="CY77" s="74">
        <v>35.710999999999999</v>
      </c>
      <c r="DI77" s="73">
        <v>-8530401.4470000006</v>
      </c>
      <c r="DJ77">
        <v>396589.82299999997</v>
      </c>
      <c r="DK77" s="74">
        <v>55.17</v>
      </c>
      <c r="DM77" s="73">
        <v>-8533381.3169999998</v>
      </c>
      <c r="DN77">
        <v>395231.53700000001</v>
      </c>
      <c r="DO77" s="74">
        <v>0.108</v>
      </c>
      <c r="DQ77" s="73">
        <v>-8533381.3169999998</v>
      </c>
      <c r="DR77">
        <v>395231.53700000001</v>
      </c>
      <c r="DS77" s="74">
        <v>0.108</v>
      </c>
      <c r="DU77" s="73">
        <v>-8534946.6400000006</v>
      </c>
      <c r="DV77">
        <v>400041.28700000001</v>
      </c>
      <c r="DW77" s="74">
        <v>35.710999999999999</v>
      </c>
      <c r="EC77" s="73">
        <v>-8534031.7029999997</v>
      </c>
      <c r="ED77">
        <v>397781.84399999998</v>
      </c>
      <c r="EE77" s="74">
        <v>1.6E-2</v>
      </c>
      <c r="EK77">
        <v>-8532744.0739999991</v>
      </c>
      <c r="EL77">
        <v>398001.679</v>
      </c>
      <c r="EM77">
        <v>2.1000000000000001E-2</v>
      </c>
      <c r="FA77">
        <v>-8530912.8430000003</v>
      </c>
      <c r="FB77">
        <v>397030.90100000001</v>
      </c>
      <c r="FC77">
        <v>6.5000000000000002E-2</v>
      </c>
      <c r="FG77" s="77">
        <f>SUM(FG$3:FG76)</f>
        <v>6.0709999999999997</v>
      </c>
      <c r="FM77">
        <v>-8529172.4409999996</v>
      </c>
      <c r="FN77">
        <v>396451.81599999999</v>
      </c>
      <c r="FO77">
        <v>111.495</v>
      </c>
      <c r="FY77">
        <v>-8531085.4930000007</v>
      </c>
      <c r="FZ77">
        <v>397023.31599999999</v>
      </c>
      <c r="GA77">
        <v>2.7E-2</v>
      </c>
      <c r="GI77" s="77">
        <f>SUM(GI$3:GI76)/1000</f>
        <v>4.5839430000000005</v>
      </c>
      <c r="GS77">
        <v>-8532831.7719999999</v>
      </c>
      <c r="GT77">
        <v>398099.81199999998</v>
      </c>
      <c r="GU77">
        <v>9.7000000000000003E-2</v>
      </c>
      <c r="IO77">
        <v>-8532726.5869999994</v>
      </c>
      <c r="IP77">
        <v>397986.299</v>
      </c>
      <c r="IQ77">
        <v>7.5999999999999998E-2</v>
      </c>
    </row>
    <row r="78" spans="41:251" ht="15" thickBot="1" x14ac:dyDescent="0.35">
      <c r="AO78" s="73">
        <v>-8529565.6060000006</v>
      </c>
      <c r="AP78">
        <v>396471.66499999998</v>
      </c>
      <c r="AQ78" s="74">
        <v>3.6999999999999998E-2</v>
      </c>
      <c r="BA78" s="75">
        <v>-8533346.2860000003</v>
      </c>
      <c r="BB78" s="76">
        <v>396230.52500000002</v>
      </c>
      <c r="BC78" s="77"/>
      <c r="BE78" s="73">
        <v>-8532036.5500000007</v>
      </c>
      <c r="BF78">
        <v>395576.26</v>
      </c>
      <c r="BG78" s="74">
        <v>8.1000000000000003E-2</v>
      </c>
      <c r="BI78" s="73">
        <v>-8533399.4370000008</v>
      </c>
      <c r="BJ78">
        <v>395218.25</v>
      </c>
      <c r="BK78" s="74">
        <v>2.1999999999999999E-2</v>
      </c>
      <c r="BM78" s="73">
        <v>-8532596.4419999998</v>
      </c>
      <c r="BN78">
        <v>394633.59399999998</v>
      </c>
      <c r="BO78" s="74">
        <v>1.0999999999999999E-2</v>
      </c>
      <c r="BQ78" s="73">
        <v>-8532596.4419999998</v>
      </c>
      <c r="BR78">
        <v>394633.59399999998</v>
      </c>
      <c r="BS78" s="74">
        <v>1.0999999999999999E-2</v>
      </c>
      <c r="BU78" s="75">
        <v>-8532152.2129999995</v>
      </c>
      <c r="BV78" s="76">
        <v>394347.30599999998</v>
      </c>
      <c r="BW78" s="77"/>
      <c r="BY78" s="73">
        <v>-8532374.4780000001</v>
      </c>
      <c r="BZ78">
        <v>394096.05</v>
      </c>
      <c r="CA78" s="74">
        <v>5.8000000000000003E-2</v>
      </c>
      <c r="CC78" s="73">
        <v>-8532374.4780000001</v>
      </c>
      <c r="CD78">
        <v>394096.05</v>
      </c>
      <c r="CE78" s="74">
        <v>5.8000000000000003E-2</v>
      </c>
      <c r="CK78" s="73">
        <v>-8531956.5219999999</v>
      </c>
      <c r="CL78">
        <v>399698.74400000001</v>
      </c>
      <c r="CM78" s="74">
        <v>3.4000000000000002E-2</v>
      </c>
      <c r="CO78" s="73">
        <v>-8534977.5989999995</v>
      </c>
      <c r="CP78">
        <v>400016.06199999998</v>
      </c>
      <c r="CQ78" s="74">
        <v>39.935000000000002</v>
      </c>
      <c r="CS78" s="73">
        <v>-8534977.5989999995</v>
      </c>
      <c r="CT78">
        <v>400016.06199999998</v>
      </c>
      <c r="CU78" s="74">
        <v>39.935000000000002</v>
      </c>
      <c r="CW78" s="73">
        <v>-8534977.5989999995</v>
      </c>
      <c r="CX78">
        <v>400016.06199999998</v>
      </c>
      <c r="CY78" s="74">
        <v>39.935000000000002</v>
      </c>
      <c r="DI78" s="73">
        <v>-8530386.9350000005</v>
      </c>
      <c r="DJ78">
        <v>396520.891</v>
      </c>
      <c r="DK78" s="74">
        <v>70.442999999999998</v>
      </c>
      <c r="DM78" s="73">
        <v>-8533399.4370000008</v>
      </c>
      <c r="DN78">
        <v>395218.25</v>
      </c>
      <c r="DO78" s="74">
        <v>2.1999999999999999E-2</v>
      </c>
      <c r="DQ78" s="73">
        <v>-8533399.4370000008</v>
      </c>
      <c r="DR78">
        <v>395218.25</v>
      </c>
      <c r="DS78" s="74">
        <v>2.1999999999999999E-2</v>
      </c>
      <c r="DU78" s="73">
        <v>-8534977.5989999995</v>
      </c>
      <c r="DV78">
        <v>400016.06199999998</v>
      </c>
      <c r="DW78" s="74">
        <v>39.935000000000002</v>
      </c>
      <c r="EC78" s="73">
        <v>-8534128.5250000004</v>
      </c>
      <c r="ED78">
        <v>397800.891</v>
      </c>
      <c r="EE78" s="74"/>
      <c r="EK78">
        <v>-8532752.8939999994</v>
      </c>
      <c r="EL78">
        <v>398009.61700000003</v>
      </c>
      <c r="EM78">
        <v>1.2E-2</v>
      </c>
      <c r="FA78">
        <v>-8530976.8389999997</v>
      </c>
      <c r="FB78">
        <v>397039.83100000001</v>
      </c>
      <c r="FC78">
        <v>6.4000000000000001E-2</v>
      </c>
      <c r="FM78">
        <v>-8529201.4629999995</v>
      </c>
      <c r="FN78">
        <v>396474.141</v>
      </c>
      <c r="FO78">
        <v>36.454000000000001</v>
      </c>
      <c r="FY78">
        <v>-8531156.1280000005</v>
      </c>
      <c r="FZ78">
        <v>397091.12599999999</v>
      </c>
      <c r="GA78">
        <v>9.7000000000000003E-2</v>
      </c>
      <c r="GS78">
        <v>-8532847.6649999991</v>
      </c>
      <c r="GT78">
        <v>398151.46399999998</v>
      </c>
      <c r="GU78">
        <v>5.3999999999999999E-2</v>
      </c>
      <c r="IO78">
        <v>-8532697.0859999992</v>
      </c>
      <c r="IP78">
        <v>398030.886</v>
      </c>
      <c r="IQ78">
        <v>5.2999999999999999E-2</v>
      </c>
    </row>
    <row r="79" spans="41:251" ht="15" thickBot="1" x14ac:dyDescent="0.35">
      <c r="AO79" s="73">
        <v>-8529544.6679999996</v>
      </c>
      <c r="AP79">
        <v>396409.65600000002</v>
      </c>
      <c r="AQ79" s="74">
        <v>6.5000000000000002E-2</v>
      </c>
      <c r="BC79">
        <f>SUM(BC$3:BC78)</f>
        <v>4.4419999999999984</v>
      </c>
      <c r="BE79" s="73">
        <v>-8532016.0140000004</v>
      </c>
      <c r="BF79">
        <v>395616.27399999998</v>
      </c>
      <c r="BG79" s="74">
        <v>4.4999999999999998E-2</v>
      </c>
      <c r="BI79" s="73">
        <v>-8533439.3000000007</v>
      </c>
      <c r="BJ79">
        <v>395241.201</v>
      </c>
      <c r="BK79" s="74">
        <v>4.5999999999999999E-2</v>
      </c>
      <c r="BM79" s="73">
        <v>-8532601.2740000002</v>
      </c>
      <c r="BN79">
        <v>394642.65399999998</v>
      </c>
      <c r="BO79" s="74">
        <v>0.01</v>
      </c>
      <c r="BQ79" s="73">
        <v>-8532601.2740000002</v>
      </c>
      <c r="BR79">
        <v>394642.65399999998</v>
      </c>
      <c r="BS79" s="74">
        <v>0.01</v>
      </c>
      <c r="BW79">
        <f>SUM(BW$3:BW78)</f>
        <v>5.6</v>
      </c>
      <c r="BY79" s="73">
        <v>-8532393.8059999999</v>
      </c>
      <c r="BZ79">
        <v>394028.40399999998</v>
      </c>
      <c r="CA79" s="74">
        <v>7.0000000000000007E-2</v>
      </c>
      <c r="CC79" s="73">
        <v>-8532393.8059999999</v>
      </c>
      <c r="CD79">
        <v>394028.40399999998</v>
      </c>
      <c r="CE79" s="74">
        <v>7.0000000000000007E-2</v>
      </c>
      <c r="CK79" s="73">
        <v>-8531989.1370000001</v>
      </c>
      <c r="CL79">
        <v>399755.141</v>
      </c>
      <c r="CM79" s="74">
        <v>6.5000000000000002E-2</v>
      </c>
      <c r="CO79" s="73">
        <v>-8535135.8330000006</v>
      </c>
      <c r="CP79">
        <v>400092.886</v>
      </c>
      <c r="CQ79" s="74">
        <v>175.89699999999999</v>
      </c>
      <c r="CS79" s="73">
        <v>-8535135.8330000006</v>
      </c>
      <c r="CT79">
        <v>400092.886</v>
      </c>
      <c r="CU79" s="74">
        <v>175.89699999999999</v>
      </c>
      <c r="CW79" s="73">
        <v>-8535135.8330000006</v>
      </c>
      <c r="CX79">
        <v>400092.886</v>
      </c>
      <c r="CY79" s="74">
        <v>175.89699999999999</v>
      </c>
      <c r="DI79" s="73">
        <v>-8530341.5850000009</v>
      </c>
      <c r="DJ79">
        <v>396461.93599999999</v>
      </c>
      <c r="DK79" s="74">
        <v>74.379000000000005</v>
      </c>
      <c r="DM79" s="73">
        <v>-8533439.3000000007</v>
      </c>
      <c r="DN79">
        <v>395241.201</v>
      </c>
      <c r="DO79" s="74">
        <v>4.5999999999999999E-2</v>
      </c>
      <c r="DQ79" s="73">
        <v>-8533439.3000000007</v>
      </c>
      <c r="DR79">
        <v>395241.201</v>
      </c>
      <c r="DS79" s="74">
        <v>4.5999999999999999E-2</v>
      </c>
      <c r="DU79" s="73">
        <v>-8535135.8330000006</v>
      </c>
      <c r="DV79">
        <v>400092.886</v>
      </c>
      <c r="DW79" s="74">
        <v>175.89699999999999</v>
      </c>
      <c r="EC79" s="75"/>
      <c r="ED79" s="76"/>
      <c r="EE79" s="77">
        <f>SUM(EE$3:EE78)</f>
        <v>2.7099999999999986</v>
      </c>
      <c r="EK79">
        <v>-8532731.727</v>
      </c>
      <c r="EL79">
        <v>398029.90100000001</v>
      </c>
      <c r="EM79">
        <v>2.9000000000000001E-2</v>
      </c>
      <c r="FA79">
        <v>-8531045.3000000007</v>
      </c>
      <c r="FB79">
        <v>397032.76199999999</v>
      </c>
      <c r="FC79">
        <v>6.9000000000000006E-2</v>
      </c>
      <c r="FM79">
        <v>-8529225.2750000004</v>
      </c>
      <c r="FN79">
        <v>396513.58</v>
      </c>
      <c r="FO79">
        <v>45.758000000000003</v>
      </c>
      <c r="FY79">
        <v>-8531203.2190000005</v>
      </c>
      <c r="FZ79">
        <v>397109.962</v>
      </c>
      <c r="GA79">
        <v>5.0999999999999997E-2</v>
      </c>
      <c r="GS79">
        <v>-8532434.4489999991</v>
      </c>
      <c r="GT79">
        <v>397935.32</v>
      </c>
      <c r="IO79">
        <v>-8532733.2919999994</v>
      </c>
      <c r="IP79">
        <v>398081.842</v>
      </c>
      <c r="IQ79">
        <v>6.2E-2</v>
      </c>
    </row>
    <row r="80" spans="41:251" ht="15" thickBot="1" x14ac:dyDescent="0.35">
      <c r="AO80" s="73">
        <v>-8529533.3939999994</v>
      </c>
      <c r="AP80">
        <v>396358.92099999997</v>
      </c>
      <c r="AQ80" s="74">
        <v>5.1999999999999998E-2</v>
      </c>
      <c r="BE80" s="73">
        <v>-8531999.7070000004</v>
      </c>
      <c r="BF80">
        <v>395624.12599999999</v>
      </c>
      <c r="BG80" s="74">
        <v>1.7999999999999999E-2</v>
      </c>
      <c r="BI80" s="73">
        <v>-8533461.0429999996</v>
      </c>
      <c r="BJ80">
        <v>395243.61700000003</v>
      </c>
      <c r="BK80" s="74">
        <v>2.1999999999999999E-2</v>
      </c>
      <c r="BM80" s="73">
        <v>-8532680.9989999998</v>
      </c>
      <c r="BN80">
        <v>394645.674</v>
      </c>
      <c r="BO80" s="74">
        <v>0.08</v>
      </c>
      <c r="BQ80" s="73">
        <v>-8532680.9989999998</v>
      </c>
      <c r="BR80">
        <v>394645.674</v>
      </c>
      <c r="BS80" s="74">
        <v>0.08</v>
      </c>
      <c r="BY80" s="73">
        <v>-8532437.2919999994</v>
      </c>
      <c r="BZ80">
        <v>393992.16499999998</v>
      </c>
      <c r="CA80" s="74">
        <v>5.7000000000000002E-2</v>
      </c>
      <c r="CC80" s="73">
        <v>-8532437.2919999994</v>
      </c>
      <c r="CD80">
        <v>393992.16499999998</v>
      </c>
      <c r="CE80" s="74">
        <v>5.7000000000000002E-2</v>
      </c>
      <c r="CK80" s="73">
        <v>-8532006.1239999998</v>
      </c>
      <c r="CL80">
        <v>399769.92</v>
      </c>
      <c r="CM80" s="74">
        <v>2.3E-2</v>
      </c>
      <c r="CO80" s="73">
        <v>-8535161.0590000004</v>
      </c>
      <c r="CP80">
        <v>400074.54</v>
      </c>
      <c r="CQ80" s="74">
        <v>31.192</v>
      </c>
      <c r="CS80" s="73">
        <v>-8535161.0590000004</v>
      </c>
      <c r="CT80">
        <v>400074.54</v>
      </c>
      <c r="CU80" s="74">
        <v>31.192</v>
      </c>
      <c r="CW80" s="73">
        <v>-8535161.0590000004</v>
      </c>
      <c r="CX80">
        <v>400074.54</v>
      </c>
      <c r="CY80" s="74">
        <v>31.192</v>
      </c>
      <c r="DI80" s="73">
        <v>-8530316.1889999993</v>
      </c>
      <c r="DJ80">
        <v>396435.63299999997</v>
      </c>
      <c r="DK80" s="74">
        <v>36.561999999999998</v>
      </c>
      <c r="DM80" s="73">
        <v>-8533461.0429999996</v>
      </c>
      <c r="DN80">
        <v>395243.61700000003</v>
      </c>
      <c r="DO80" s="74">
        <v>2.1999999999999999E-2</v>
      </c>
      <c r="DQ80" s="73">
        <v>-8533461.0429999996</v>
      </c>
      <c r="DR80">
        <v>395243.61700000003</v>
      </c>
      <c r="DS80" s="74">
        <v>2.1999999999999999E-2</v>
      </c>
      <c r="DU80" s="73">
        <v>-8535161.0590000004</v>
      </c>
      <c r="DV80">
        <v>400074.54</v>
      </c>
      <c r="DW80" s="74">
        <v>31.192</v>
      </c>
      <c r="EK80">
        <v>-8532732.6089999992</v>
      </c>
      <c r="EL80">
        <v>398039.16200000001</v>
      </c>
      <c r="EM80">
        <v>8.9999999999999993E-3</v>
      </c>
      <c r="FA80">
        <v>-8531079.1579999998</v>
      </c>
      <c r="FB80">
        <v>397021.97200000001</v>
      </c>
      <c r="FC80">
        <v>3.5000000000000003E-2</v>
      </c>
      <c r="FM80">
        <v>-8529242.3910000008</v>
      </c>
      <c r="FN80">
        <v>396543.34600000002</v>
      </c>
      <c r="FO80">
        <v>34.097999999999999</v>
      </c>
      <c r="FY80">
        <v>-8531254.0759999994</v>
      </c>
      <c r="FZ80">
        <v>397125.03100000002</v>
      </c>
      <c r="GA80">
        <v>5.2999999999999999E-2</v>
      </c>
      <c r="GU80" s="77">
        <f>SUM(GU$3:GU79)</f>
        <v>3.6839999999999993</v>
      </c>
      <c r="IO80">
        <v>-8532831.8530000001</v>
      </c>
      <c r="IP80">
        <v>398097.93400000001</v>
      </c>
      <c r="IQ80">
        <v>0.1</v>
      </c>
    </row>
    <row r="81" spans="41:251" x14ac:dyDescent="0.3">
      <c r="AO81" s="73">
        <v>-8529549.5</v>
      </c>
      <c r="AP81">
        <v>396328.31900000002</v>
      </c>
      <c r="AQ81" s="74">
        <v>3.5000000000000003E-2</v>
      </c>
      <c r="BE81" s="73">
        <v>-8531974.3399999999</v>
      </c>
      <c r="BF81">
        <v>395630.77</v>
      </c>
      <c r="BG81" s="74">
        <v>2.5999999999999999E-2</v>
      </c>
      <c r="BI81" s="73">
        <v>-8533506.9460000005</v>
      </c>
      <c r="BJ81">
        <v>395202.54599999997</v>
      </c>
      <c r="BK81" s="74">
        <v>6.2E-2</v>
      </c>
      <c r="BM81" s="73">
        <v>-8532697.9110000003</v>
      </c>
      <c r="BN81">
        <v>394631.17800000001</v>
      </c>
      <c r="BO81" s="74">
        <v>2.1999999999999999E-2</v>
      </c>
      <c r="BQ81" s="73">
        <v>-8532697.9110000003</v>
      </c>
      <c r="BR81">
        <v>394631.17800000001</v>
      </c>
      <c r="BS81" s="74">
        <v>2.1999999999999999E-2</v>
      </c>
      <c r="BY81" s="73">
        <v>-8532451.7880000006</v>
      </c>
      <c r="BZ81">
        <v>393937.80599999998</v>
      </c>
      <c r="CA81" s="74">
        <v>5.6000000000000001E-2</v>
      </c>
      <c r="CC81" s="73">
        <v>-8532451.7880000006</v>
      </c>
      <c r="CD81">
        <v>393937.80599999998</v>
      </c>
      <c r="CE81" s="74">
        <v>5.6000000000000001E-2</v>
      </c>
      <c r="CK81" s="73">
        <v>-8532006.1239999998</v>
      </c>
      <c r="CL81">
        <v>399821.9</v>
      </c>
      <c r="CM81" s="74">
        <v>5.1999999999999998E-2</v>
      </c>
      <c r="CO81" s="73">
        <v>-8535188.5779999997</v>
      </c>
      <c r="CP81">
        <v>400001.15600000002</v>
      </c>
      <c r="CQ81" s="74">
        <v>78.373999999999995</v>
      </c>
      <c r="CS81" s="73">
        <v>-8535188.5779999997</v>
      </c>
      <c r="CT81">
        <v>400001.15600000002</v>
      </c>
      <c r="CU81" s="74">
        <v>78.373999999999995</v>
      </c>
      <c r="CW81" s="73">
        <v>-8535188.5779999997</v>
      </c>
      <c r="CX81">
        <v>400001.15600000002</v>
      </c>
      <c r="CY81" s="74">
        <v>78.373999999999995</v>
      </c>
      <c r="DI81" s="73">
        <v>-8530294.4210000001</v>
      </c>
      <c r="DJ81">
        <v>396471.913</v>
      </c>
      <c r="DK81" s="74">
        <v>42.308999999999997</v>
      </c>
      <c r="DM81" s="73">
        <v>-8533506.9460000005</v>
      </c>
      <c r="DN81">
        <v>395202.54599999997</v>
      </c>
      <c r="DO81" s="74">
        <v>6.2E-2</v>
      </c>
      <c r="DQ81" s="73">
        <v>-8533506.9460000005</v>
      </c>
      <c r="DR81">
        <v>395202.54599999997</v>
      </c>
      <c r="DS81" s="74">
        <v>6.2E-2</v>
      </c>
      <c r="DU81" s="73">
        <v>-8535188.5779999997</v>
      </c>
      <c r="DV81">
        <v>400001.15600000002</v>
      </c>
      <c r="DW81" s="74">
        <v>78.373999999999995</v>
      </c>
      <c r="EK81">
        <v>-8532727.3169999998</v>
      </c>
      <c r="EL81">
        <v>398048.42200000002</v>
      </c>
      <c r="EM81">
        <v>1.0999999999999999E-2</v>
      </c>
      <c r="FA81">
        <v>-8531097.7620000001</v>
      </c>
      <c r="FB81">
        <v>397044.29599999997</v>
      </c>
      <c r="FC81">
        <v>2.9000000000000001E-2</v>
      </c>
      <c r="FM81">
        <v>-8529283.318</v>
      </c>
      <c r="FN81">
        <v>396533.67200000002</v>
      </c>
      <c r="FO81">
        <v>41.96</v>
      </c>
      <c r="FY81">
        <v>-8531277.6209999993</v>
      </c>
      <c r="FZ81">
        <v>397157.05200000003</v>
      </c>
      <c r="GA81">
        <v>3.9E-2</v>
      </c>
      <c r="IO81">
        <v>-8532850.6270000003</v>
      </c>
      <c r="IP81">
        <v>398146.20899999997</v>
      </c>
      <c r="IQ81">
        <v>5.0999999999999997E-2</v>
      </c>
    </row>
    <row r="82" spans="41:251" x14ac:dyDescent="0.3">
      <c r="AO82" s="73">
        <v>-8529583.3230000008</v>
      </c>
      <c r="AP82">
        <v>396316.24</v>
      </c>
      <c r="AQ82" s="74">
        <v>3.5999999999999997E-2</v>
      </c>
      <c r="BE82" s="73">
        <v>-8531948.3680000007</v>
      </c>
      <c r="BF82">
        <v>395655.533</v>
      </c>
      <c r="BG82" s="74">
        <v>3.5999999999999997E-2</v>
      </c>
      <c r="BI82" s="73">
        <v>-8533627.7420000006</v>
      </c>
      <c r="BJ82">
        <v>395139.73200000002</v>
      </c>
      <c r="BK82" s="74">
        <v>0.13600000000000001</v>
      </c>
      <c r="BM82" s="73">
        <v>-8532706.9710000008</v>
      </c>
      <c r="BN82">
        <v>394619.70299999998</v>
      </c>
      <c r="BO82" s="74">
        <v>1.4999999999999999E-2</v>
      </c>
      <c r="BQ82" s="73">
        <v>-8532706.9710000008</v>
      </c>
      <c r="BR82">
        <v>394619.70299999998</v>
      </c>
      <c r="BS82" s="74">
        <v>1.4999999999999999E-2</v>
      </c>
      <c r="BY82" s="73">
        <v>-8532448.1640000008</v>
      </c>
      <c r="BZ82">
        <v>393890.696</v>
      </c>
      <c r="CA82" s="74">
        <v>4.7E-2</v>
      </c>
      <c r="CC82" s="73">
        <v>-8532448.1640000008</v>
      </c>
      <c r="CD82">
        <v>393890.696</v>
      </c>
      <c r="CE82" s="74">
        <v>4.7E-2</v>
      </c>
      <c r="CK82" s="73">
        <v>-8532000.0089999996</v>
      </c>
      <c r="CL82">
        <v>399873.88</v>
      </c>
      <c r="CM82" s="74">
        <v>5.1999999999999998E-2</v>
      </c>
      <c r="CO82" s="73">
        <v>-8535156.4719999991</v>
      </c>
      <c r="CP82">
        <v>399932.35800000001</v>
      </c>
      <c r="CQ82" s="74">
        <v>75.92</v>
      </c>
      <c r="CS82" s="73">
        <v>-8535156.4719999991</v>
      </c>
      <c r="CT82">
        <v>399932.35800000001</v>
      </c>
      <c r="CU82" s="74">
        <v>75.92</v>
      </c>
      <c r="CW82" s="73">
        <v>-8535156.4719999991</v>
      </c>
      <c r="CX82">
        <v>399932.35800000001</v>
      </c>
      <c r="CY82" s="74">
        <v>75.92</v>
      </c>
      <c r="DI82" s="73">
        <v>-8530283.5370000005</v>
      </c>
      <c r="DJ82">
        <v>396491.86700000003</v>
      </c>
      <c r="DK82" s="74">
        <v>22.728999999999999</v>
      </c>
      <c r="DM82" s="73">
        <v>-8533627.7420000006</v>
      </c>
      <c r="DN82">
        <v>395139.73200000002</v>
      </c>
      <c r="DO82" s="74">
        <v>0.13600000000000001</v>
      </c>
      <c r="DQ82" s="73">
        <v>-8533627.7420000006</v>
      </c>
      <c r="DR82">
        <v>395139.73200000002</v>
      </c>
      <c r="DS82" s="74">
        <v>0.13600000000000001</v>
      </c>
      <c r="DU82" s="73">
        <v>-8535156.4719999991</v>
      </c>
      <c r="DV82">
        <v>399932.35800000001</v>
      </c>
      <c r="DW82" s="74">
        <v>75.92</v>
      </c>
      <c r="EK82">
        <v>-8532753.3350000009</v>
      </c>
      <c r="EL82">
        <v>398050.18599999999</v>
      </c>
      <c r="EM82">
        <v>2.5999999999999999E-2</v>
      </c>
      <c r="FA82">
        <v>-8531142.4100000001</v>
      </c>
      <c r="FB82">
        <v>397087.82799999998</v>
      </c>
      <c r="FC82">
        <v>6.2E-2</v>
      </c>
      <c r="FM82">
        <v>-8529336.8959999997</v>
      </c>
      <c r="FN82">
        <v>396483.07</v>
      </c>
      <c r="FO82">
        <v>73.323999999999998</v>
      </c>
      <c r="FY82">
        <v>-8531290.8059999999</v>
      </c>
      <c r="FZ82">
        <v>397185.30699999997</v>
      </c>
      <c r="GA82">
        <v>3.1E-2</v>
      </c>
      <c r="IO82">
        <v>-8533189.2210000008</v>
      </c>
      <c r="IP82">
        <v>398244.77</v>
      </c>
    </row>
    <row r="83" spans="41:251" ht="15" thickBot="1" x14ac:dyDescent="0.35">
      <c r="AO83" s="73">
        <v>-8529662.2430000007</v>
      </c>
      <c r="AP83">
        <v>396316.24</v>
      </c>
      <c r="AQ83" s="74">
        <v>7.9000000000000001E-2</v>
      </c>
      <c r="BE83" s="73">
        <v>-8531912.1290000007</v>
      </c>
      <c r="BF83">
        <v>395658.55300000001</v>
      </c>
      <c r="BG83" s="74">
        <v>3.5999999999999997E-2</v>
      </c>
      <c r="BI83" s="73">
        <v>-8533671.2290000003</v>
      </c>
      <c r="BJ83">
        <v>395101.07699999999</v>
      </c>
      <c r="BK83" s="74">
        <v>5.8000000000000003E-2</v>
      </c>
      <c r="BM83" s="73">
        <v>-8532711.8029999994</v>
      </c>
      <c r="BN83">
        <v>394583.46399999998</v>
      </c>
      <c r="BO83" s="74">
        <v>3.6999999999999998E-2</v>
      </c>
      <c r="BQ83" s="73">
        <v>-8532711.8029999994</v>
      </c>
      <c r="BR83">
        <v>394583.46399999998</v>
      </c>
      <c r="BS83" s="74">
        <v>3.6999999999999998E-2</v>
      </c>
      <c r="BY83" s="73">
        <v>-8532442.1239999998</v>
      </c>
      <c r="BZ83">
        <v>393785.603</v>
      </c>
      <c r="CA83" s="74">
        <v>0.105</v>
      </c>
      <c r="CC83" s="73">
        <v>-8532442.1239999998</v>
      </c>
      <c r="CD83">
        <v>393785.603</v>
      </c>
      <c r="CE83" s="74">
        <v>0.105</v>
      </c>
      <c r="CK83" s="73">
        <v>-8531992.3650000002</v>
      </c>
      <c r="CL83">
        <v>399983.95600000001</v>
      </c>
      <c r="CM83" s="74">
        <v>0.11</v>
      </c>
      <c r="CO83" s="73">
        <v>-8535202.3369999994</v>
      </c>
      <c r="CP83">
        <v>399872.734</v>
      </c>
      <c r="CQ83" s="74">
        <v>75.224000000000004</v>
      </c>
      <c r="CS83" s="73">
        <v>-8535202.3369999994</v>
      </c>
      <c r="CT83">
        <v>399872.734</v>
      </c>
      <c r="CU83" s="74">
        <v>75.224000000000004</v>
      </c>
      <c r="CW83" s="73">
        <v>-8535202.3369999994</v>
      </c>
      <c r="CX83">
        <v>399872.734</v>
      </c>
      <c r="CY83" s="74">
        <v>75.224000000000004</v>
      </c>
      <c r="DI83" s="73">
        <v>-8530227.3029999994</v>
      </c>
      <c r="DJ83">
        <v>396508.19300000003</v>
      </c>
      <c r="DK83" s="74">
        <v>58.555999999999997</v>
      </c>
      <c r="DM83" s="73">
        <v>-8533671.2290000003</v>
      </c>
      <c r="DN83">
        <v>395101.07699999999</v>
      </c>
      <c r="DO83" s="74">
        <v>5.8000000000000003E-2</v>
      </c>
      <c r="DQ83" s="73">
        <v>-8533671.2290000003</v>
      </c>
      <c r="DR83">
        <v>395101.07699999999</v>
      </c>
      <c r="DS83" s="74">
        <v>5.8000000000000003E-2</v>
      </c>
      <c r="DU83" s="73">
        <v>-8535202.3369999994</v>
      </c>
      <c r="DV83">
        <v>399872.734</v>
      </c>
      <c r="DW83" s="74">
        <v>75.224000000000004</v>
      </c>
      <c r="EK83">
        <v>-8532816.3939999994</v>
      </c>
      <c r="EL83">
        <v>398062.092</v>
      </c>
      <c r="EM83">
        <v>6.4000000000000001E-2</v>
      </c>
      <c r="FA83">
        <v>-8531259.9839999992</v>
      </c>
      <c r="FB83">
        <v>397133.96500000003</v>
      </c>
      <c r="FC83">
        <v>0.126</v>
      </c>
      <c r="FM83">
        <v>-8529399.4039999992</v>
      </c>
      <c r="FN83">
        <v>396486.04700000002</v>
      </c>
      <c r="FO83">
        <v>62.457999999999998</v>
      </c>
      <c r="FY83">
        <v>-8531318.1180000007</v>
      </c>
      <c r="FZ83">
        <v>397204.14299999998</v>
      </c>
      <c r="GA83">
        <v>3.3000000000000002E-2</v>
      </c>
      <c r="IQ83" s="77">
        <f>SUM(IQ$3:IQ82)</f>
        <v>6.7879999999999994</v>
      </c>
    </row>
    <row r="84" spans="41:251" ht="15" thickBot="1" x14ac:dyDescent="0.35">
      <c r="AO84" s="75">
        <v>-8529507.6239999998</v>
      </c>
      <c r="AP84" s="76">
        <v>396482.93900000001</v>
      </c>
      <c r="AQ84" s="77"/>
      <c r="BE84" s="73">
        <v>-8531880.1180000007</v>
      </c>
      <c r="BF84">
        <v>395696.60399999999</v>
      </c>
      <c r="BG84" s="74">
        <v>0.05</v>
      </c>
      <c r="BI84" s="73">
        <v>-8533696.5960000008</v>
      </c>
      <c r="BJ84">
        <v>395095.03700000001</v>
      </c>
      <c r="BK84" s="74">
        <v>2.5999999999999999E-2</v>
      </c>
      <c r="BM84" s="73">
        <v>-8532716.0299999993</v>
      </c>
      <c r="BN84">
        <v>394558.7</v>
      </c>
      <c r="BO84" s="74">
        <v>2.5000000000000001E-2</v>
      </c>
      <c r="BQ84" s="73">
        <v>-8532716.0299999993</v>
      </c>
      <c r="BR84">
        <v>394558.7</v>
      </c>
      <c r="BS84" s="74">
        <v>2.5000000000000001E-2</v>
      </c>
      <c r="BY84" s="73">
        <v>-8532425.2129999995</v>
      </c>
      <c r="BZ84">
        <v>393730.03600000002</v>
      </c>
      <c r="CA84" s="74">
        <v>5.8000000000000003E-2</v>
      </c>
      <c r="CC84" s="73">
        <v>-8532425.2129999995</v>
      </c>
      <c r="CD84">
        <v>393730.03600000002</v>
      </c>
      <c r="CE84" s="74">
        <v>5.8000000000000003E-2</v>
      </c>
      <c r="CK84" s="73">
        <v>-8531970.9609999992</v>
      </c>
      <c r="CL84">
        <v>400057.34</v>
      </c>
      <c r="CM84" s="74">
        <v>7.5999999999999998E-2</v>
      </c>
      <c r="CO84" s="73">
        <v>-8535243.6150000002</v>
      </c>
      <c r="CP84">
        <v>399872.734</v>
      </c>
      <c r="CQ84" s="74">
        <v>41.277999999999999</v>
      </c>
      <c r="CS84" s="73">
        <v>-8535243.6150000002</v>
      </c>
      <c r="CT84">
        <v>399872.734</v>
      </c>
      <c r="CU84" s="74">
        <v>41.277999999999999</v>
      </c>
      <c r="CW84" s="73">
        <v>-8535243.6150000002</v>
      </c>
      <c r="CX84">
        <v>399872.734</v>
      </c>
      <c r="CY84" s="74">
        <v>41.277999999999999</v>
      </c>
      <c r="DI84" s="73">
        <v>-8530197.3729999997</v>
      </c>
      <c r="DJ84">
        <v>396521.79800000001</v>
      </c>
      <c r="DK84" s="74">
        <v>32.878</v>
      </c>
      <c r="DM84" s="73">
        <v>-8533696.5960000008</v>
      </c>
      <c r="DN84">
        <v>395095.03700000001</v>
      </c>
      <c r="DO84" s="74">
        <v>2.5999999999999999E-2</v>
      </c>
      <c r="DQ84" s="73">
        <v>-8533696.5960000008</v>
      </c>
      <c r="DR84">
        <v>395095.03700000001</v>
      </c>
      <c r="DS84" s="74">
        <v>2.5999999999999999E-2</v>
      </c>
      <c r="DU84" s="73">
        <v>-8535243.6150000002</v>
      </c>
      <c r="DV84">
        <v>399872.734</v>
      </c>
      <c r="DW84" s="74">
        <v>41.277999999999999</v>
      </c>
      <c r="EK84">
        <v>-8532885.6260000002</v>
      </c>
      <c r="EL84">
        <v>398079.29</v>
      </c>
      <c r="EM84">
        <v>7.0999999999999994E-2</v>
      </c>
      <c r="FA84">
        <v>-8531373.0940000005</v>
      </c>
      <c r="FB84">
        <v>397279.81599999999</v>
      </c>
      <c r="FC84">
        <v>0.183</v>
      </c>
      <c r="FM84">
        <v>-8529461.9120000005</v>
      </c>
      <c r="FN84">
        <v>396447.35200000001</v>
      </c>
      <c r="FO84">
        <v>73.239999999999995</v>
      </c>
      <c r="FY84">
        <v>-8531348.2559999991</v>
      </c>
      <c r="FZ84">
        <v>397248.40700000001</v>
      </c>
      <c r="GA84">
        <v>5.2999999999999999E-2</v>
      </c>
    </row>
    <row r="85" spans="41:251" x14ac:dyDescent="0.3">
      <c r="AQ85">
        <f>SUM(AQ$3:AQ84)</f>
        <v>4.7809999999999988</v>
      </c>
      <c r="BE85" s="73">
        <v>-8531837.8399999999</v>
      </c>
      <c r="BF85">
        <v>395710.495</v>
      </c>
      <c r="BG85" s="74">
        <v>4.4999999999999998E-2</v>
      </c>
      <c r="BI85" s="73">
        <v>-8533772.6980000008</v>
      </c>
      <c r="BJ85">
        <v>395096.245</v>
      </c>
      <c r="BK85" s="74">
        <v>7.5999999999999998E-2</v>
      </c>
      <c r="BM85" s="73">
        <v>-8532742.6060000006</v>
      </c>
      <c r="BN85">
        <v>394527.29300000001</v>
      </c>
      <c r="BO85" s="74">
        <v>4.1000000000000002E-2</v>
      </c>
      <c r="BQ85" s="73">
        <v>-8532742.6060000006</v>
      </c>
      <c r="BR85">
        <v>394527.29300000001</v>
      </c>
      <c r="BS85" s="74">
        <v>4.1000000000000002E-2</v>
      </c>
      <c r="BY85" s="73">
        <v>-8532428.8369999994</v>
      </c>
      <c r="BZ85">
        <v>393574.20899999997</v>
      </c>
      <c r="CA85" s="74">
        <v>0.156</v>
      </c>
      <c r="CC85" s="73">
        <v>-8532428.8369999994</v>
      </c>
      <c r="CD85">
        <v>393574.20899999997</v>
      </c>
      <c r="CE85" s="74">
        <v>0.156</v>
      </c>
      <c r="CK85" s="73">
        <v>-8531892.9910000004</v>
      </c>
      <c r="CL85">
        <v>400179.647</v>
      </c>
      <c r="CM85" s="74">
        <v>0.14499999999999999</v>
      </c>
      <c r="CO85" s="73">
        <v>-8535287.1870000008</v>
      </c>
      <c r="CP85">
        <v>399925.47899999999</v>
      </c>
      <c r="CQ85" s="74">
        <v>68.414000000000001</v>
      </c>
      <c r="CS85" s="73">
        <v>-8535287.1870000008</v>
      </c>
      <c r="CT85">
        <v>399925.47899999999</v>
      </c>
      <c r="CU85" s="74">
        <v>68.414000000000001</v>
      </c>
      <c r="CW85" s="73">
        <v>-8535287.1870000008</v>
      </c>
      <c r="CX85">
        <v>399925.47899999999</v>
      </c>
      <c r="CY85" s="74">
        <v>68.414000000000001</v>
      </c>
      <c r="DI85" s="73">
        <v>-8530064.9509999994</v>
      </c>
      <c r="DJ85">
        <v>396511.821</v>
      </c>
      <c r="DK85" s="74">
        <v>132.797</v>
      </c>
      <c r="DM85" s="73">
        <v>-8533772.6980000008</v>
      </c>
      <c r="DN85">
        <v>395096.245</v>
      </c>
      <c r="DO85" s="74">
        <v>7.5999999999999998E-2</v>
      </c>
      <c r="DQ85" s="73">
        <v>-8533772.6980000008</v>
      </c>
      <c r="DR85">
        <v>395096.245</v>
      </c>
      <c r="DS85" s="74">
        <v>7.5999999999999998E-2</v>
      </c>
      <c r="DU85" s="73">
        <v>-8535287.1870000008</v>
      </c>
      <c r="DV85">
        <v>399925.47899999999</v>
      </c>
      <c r="DW85" s="74">
        <v>68.414000000000001</v>
      </c>
      <c r="EK85">
        <v>-8532901.9419999998</v>
      </c>
      <c r="EL85">
        <v>398084.141</v>
      </c>
      <c r="EM85">
        <v>1.7000000000000001E-2</v>
      </c>
      <c r="FA85">
        <v>-8531414.7660000008</v>
      </c>
      <c r="FB85">
        <v>397311.07</v>
      </c>
      <c r="FC85">
        <v>5.1999999999999998E-2</v>
      </c>
      <c r="FM85">
        <v>-8529545.2559999991</v>
      </c>
      <c r="FN85">
        <v>396494.97700000001</v>
      </c>
      <c r="FO85">
        <v>95.65</v>
      </c>
      <c r="FY85">
        <v>-8531409.4729999993</v>
      </c>
      <c r="FZ85">
        <v>397304.91600000003</v>
      </c>
      <c r="GA85">
        <v>8.3000000000000004E-2</v>
      </c>
    </row>
    <row r="86" spans="41:251" x14ac:dyDescent="0.3">
      <c r="BE86" s="73">
        <v>-8531836.6319999993</v>
      </c>
      <c r="BF86">
        <v>395728.61499999999</v>
      </c>
      <c r="BG86" s="74">
        <v>1.7999999999999999E-2</v>
      </c>
      <c r="BI86" s="73">
        <v>-8533784.7780000009</v>
      </c>
      <c r="BJ86">
        <v>395085.37300000002</v>
      </c>
      <c r="BK86" s="74">
        <v>1.6E-2</v>
      </c>
      <c r="BM86" s="73">
        <v>-8532775.2210000008</v>
      </c>
      <c r="BN86">
        <v>394500.71799999999</v>
      </c>
      <c r="BO86" s="74">
        <v>4.2000000000000003E-2</v>
      </c>
      <c r="BQ86" s="73">
        <v>-8532775.2210000008</v>
      </c>
      <c r="BR86">
        <v>394500.71799999999</v>
      </c>
      <c r="BS86" s="74">
        <v>4.2000000000000003E-2</v>
      </c>
      <c r="BY86" s="73">
        <v>-8532477.1549999993</v>
      </c>
      <c r="BZ86">
        <v>393477.571</v>
      </c>
      <c r="CA86" s="74">
        <v>0.108</v>
      </c>
      <c r="CC86" s="73">
        <v>-8532477.1549999993</v>
      </c>
      <c r="CD86">
        <v>393477.571</v>
      </c>
      <c r="CE86" s="74">
        <v>0.108</v>
      </c>
      <c r="CK86" s="73">
        <v>-8531920.5099999998</v>
      </c>
      <c r="CL86">
        <v>400213.28100000002</v>
      </c>
      <c r="CM86" s="74">
        <v>4.2999999999999997E-2</v>
      </c>
      <c r="CO86" s="73">
        <v>-8535326.1720000003</v>
      </c>
      <c r="CP86">
        <v>399925.47899999999</v>
      </c>
      <c r="CQ86" s="74">
        <v>38.984999999999999</v>
      </c>
      <c r="CS86" s="73">
        <v>-8535326.1720000003</v>
      </c>
      <c r="CT86">
        <v>399925.47899999999</v>
      </c>
      <c r="CU86" s="74">
        <v>38.984999999999999</v>
      </c>
      <c r="CW86" s="73">
        <v>-8535326.1720000003</v>
      </c>
      <c r="CX86">
        <v>399925.47899999999</v>
      </c>
      <c r="CY86" s="74">
        <v>38.984999999999999</v>
      </c>
      <c r="DI86" s="73">
        <v>-8530012.3450000007</v>
      </c>
      <c r="DJ86">
        <v>396496.402</v>
      </c>
      <c r="DK86" s="74">
        <v>54.819000000000003</v>
      </c>
      <c r="DM86" s="73">
        <v>-8533784.7780000009</v>
      </c>
      <c r="DN86">
        <v>395085.37300000002</v>
      </c>
      <c r="DO86" s="74">
        <v>1.6E-2</v>
      </c>
      <c r="DQ86" s="73">
        <v>-8533784.7780000009</v>
      </c>
      <c r="DR86">
        <v>395085.37300000002</v>
      </c>
      <c r="DS86" s="74">
        <v>1.6E-2</v>
      </c>
      <c r="DU86" s="73">
        <v>-8535326.1720000003</v>
      </c>
      <c r="DV86">
        <v>399925.47899999999</v>
      </c>
      <c r="DW86" s="74">
        <v>38.984999999999999</v>
      </c>
      <c r="EK86">
        <v>-8532908.1160000004</v>
      </c>
      <c r="EL86">
        <v>398086.78700000001</v>
      </c>
      <c r="EM86">
        <v>7.0000000000000001E-3</v>
      </c>
      <c r="FA86">
        <v>-8531486.2029999997</v>
      </c>
      <c r="FB86">
        <v>397492.641</v>
      </c>
      <c r="FC86">
        <v>0.19400000000000001</v>
      </c>
      <c r="FM86">
        <v>-8529575.0209999997</v>
      </c>
      <c r="FN86">
        <v>396432.46899999998</v>
      </c>
      <c r="FO86">
        <v>68.724999999999994</v>
      </c>
      <c r="FY86">
        <v>-8531443.3780000005</v>
      </c>
      <c r="FZ86">
        <v>397393.44500000001</v>
      </c>
      <c r="GA86">
        <v>9.4E-2</v>
      </c>
    </row>
    <row r="87" spans="41:251" x14ac:dyDescent="0.3">
      <c r="BE87" s="73">
        <v>-8531862.6030000001</v>
      </c>
      <c r="BF87">
        <v>395761.23</v>
      </c>
      <c r="BG87" s="74">
        <v>4.2000000000000003E-2</v>
      </c>
      <c r="BI87" s="73">
        <v>-8533787.1940000001</v>
      </c>
      <c r="BJ87">
        <v>395066.04599999997</v>
      </c>
      <c r="BK87" s="74">
        <v>1.9E-2</v>
      </c>
      <c r="BM87" s="73">
        <v>-8532836.2229999993</v>
      </c>
      <c r="BN87">
        <v>394474.14299999998</v>
      </c>
      <c r="BO87" s="74">
        <v>6.7000000000000004E-2</v>
      </c>
      <c r="BQ87" s="73">
        <v>-8532836.2229999993</v>
      </c>
      <c r="BR87">
        <v>394474.14299999998</v>
      </c>
      <c r="BS87" s="74">
        <v>6.7000000000000004E-2</v>
      </c>
      <c r="BY87" s="73">
        <v>-8532510.9780000001</v>
      </c>
      <c r="BZ87">
        <v>393354.359</v>
      </c>
      <c r="CA87" s="74">
        <v>0.128</v>
      </c>
      <c r="CC87" s="73">
        <v>-8532510.9780000001</v>
      </c>
      <c r="CD87">
        <v>393354.359</v>
      </c>
      <c r="CE87" s="74">
        <v>0.128</v>
      </c>
      <c r="CK87" s="73">
        <v>-8531944.9710000008</v>
      </c>
      <c r="CL87">
        <v>400259.14600000001</v>
      </c>
      <c r="CM87" s="74">
        <v>5.1999999999999998E-2</v>
      </c>
      <c r="CO87" s="73">
        <v>-8535367.4509999994</v>
      </c>
      <c r="CP87">
        <v>399842.92200000002</v>
      </c>
      <c r="CQ87" s="74">
        <v>92.301000000000002</v>
      </c>
      <c r="CS87" s="73">
        <v>-8535367.4509999994</v>
      </c>
      <c r="CT87">
        <v>399842.92200000002</v>
      </c>
      <c r="CU87" s="74">
        <v>92.301000000000002</v>
      </c>
      <c r="CW87" s="73">
        <v>-8535367.4509999994</v>
      </c>
      <c r="CX87">
        <v>399842.92200000002</v>
      </c>
      <c r="CY87" s="74">
        <v>92.301000000000002</v>
      </c>
      <c r="DI87" s="73">
        <v>-8529986.0419999994</v>
      </c>
      <c r="DJ87">
        <v>396501.84399999998</v>
      </c>
      <c r="DK87" s="74">
        <v>26.86</v>
      </c>
      <c r="DM87" s="73">
        <v>-8533787.1940000001</v>
      </c>
      <c r="DN87">
        <v>395066.04599999997</v>
      </c>
      <c r="DO87" s="74">
        <v>1.9E-2</v>
      </c>
      <c r="DQ87" s="73">
        <v>-8533787.1940000001</v>
      </c>
      <c r="DR87">
        <v>395066.04599999997</v>
      </c>
      <c r="DS87" s="74">
        <v>1.9E-2</v>
      </c>
      <c r="DU87" s="73">
        <v>-8535367.4509999994</v>
      </c>
      <c r="DV87">
        <v>399842.92200000002</v>
      </c>
      <c r="DW87" s="74">
        <v>92.301000000000002</v>
      </c>
      <c r="EK87">
        <v>-8532911.6439999994</v>
      </c>
      <c r="EL87">
        <v>398092.96</v>
      </c>
      <c r="EM87">
        <v>7.0000000000000001E-3</v>
      </c>
      <c r="FA87">
        <v>-8531639.4959999993</v>
      </c>
      <c r="FB87">
        <v>397574.49599999998</v>
      </c>
      <c r="FC87">
        <v>0.17299999999999999</v>
      </c>
      <c r="FM87">
        <v>-8529604.7870000005</v>
      </c>
      <c r="FN87">
        <v>396426.516</v>
      </c>
      <c r="FO87">
        <v>30.289000000000001</v>
      </c>
      <c r="FY87">
        <v>-8531475.6349999998</v>
      </c>
      <c r="FZ87">
        <v>397473.26299999998</v>
      </c>
      <c r="GA87">
        <v>8.5000000000000006E-2</v>
      </c>
    </row>
    <row r="88" spans="41:251" x14ac:dyDescent="0.3">
      <c r="BE88" s="73">
        <v>-8531884.3460000008</v>
      </c>
      <c r="BF88">
        <v>395779.34899999999</v>
      </c>
      <c r="BG88" s="74">
        <v>2.8000000000000001E-2</v>
      </c>
      <c r="BI88" s="73">
        <v>-8533825.8489999995</v>
      </c>
      <c r="BJ88">
        <v>395027.391</v>
      </c>
      <c r="BK88" s="74">
        <v>5.5E-2</v>
      </c>
      <c r="BM88" s="73">
        <v>-8532919.5730000008</v>
      </c>
      <c r="BN88">
        <v>394443.34</v>
      </c>
      <c r="BO88" s="74">
        <v>8.8999999999999996E-2</v>
      </c>
      <c r="BQ88" s="73">
        <v>-8532919.5730000008</v>
      </c>
      <c r="BR88">
        <v>394443.34</v>
      </c>
      <c r="BS88" s="74">
        <v>8.8999999999999996E-2</v>
      </c>
      <c r="BY88" s="73">
        <v>-8532486.8190000001</v>
      </c>
      <c r="BZ88">
        <v>393274.63299999997</v>
      </c>
      <c r="CA88" s="74">
        <v>8.3000000000000004E-2</v>
      </c>
      <c r="CC88" s="73">
        <v>-8532486.8190000001</v>
      </c>
      <c r="CD88">
        <v>393274.63299999997</v>
      </c>
      <c r="CE88" s="74">
        <v>8.3000000000000004E-2</v>
      </c>
      <c r="CK88" s="73">
        <v>-8531943.4419999998</v>
      </c>
      <c r="CL88">
        <v>400358.52</v>
      </c>
      <c r="CM88" s="74">
        <v>9.9000000000000005E-2</v>
      </c>
      <c r="CO88" s="73">
        <v>-8535450.0079999994</v>
      </c>
      <c r="CP88">
        <v>399787.88400000002</v>
      </c>
      <c r="CQ88" s="74">
        <v>99.221000000000004</v>
      </c>
      <c r="CS88" s="73">
        <v>-8535450.0079999994</v>
      </c>
      <c r="CT88">
        <v>399787.88400000002</v>
      </c>
      <c r="CU88" s="74">
        <v>99.221000000000004</v>
      </c>
      <c r="CW88" s="73">
        <v>-8535450.0079999994</v>
      </c>
      <c r="CX88">
        <v>399787.88400000002</v>
      </c>
      <c r="CY88" s="74">
        <v>99.221000000000004</v>
      </c>
      <c r="DI88" s="73">
        <v>-8529966.9949999992</v>
      </c>
      <c r="DJ88">
        <v>396484.61099999998</v>
      </c>
      <c r="DK88" s="74">
        <v>25.686</v>
      </c>
      <c r="DM88" s="73">
        <v>-8533825.8489999995</v>
      </c>
      <c r="DN88">
        <v>395027.391</v>
      </c>
      <c r="DO88" s="74">
        <v>5.5E-2</v>
      </c>
      <c r="DQ88" s="73">
        <v>-8533825.8489999995</v>
      </c>
      <c r="DR88">
        <v>395027.391</v>
      </c>
      <c r="DS88" s="74">
        <v>5.5E-2</v>
      </c>
      <c r="DU88" s="73">
        <v>-8535450.0079999994</v>
      </c>
      <c r="DV88">
        <v>399787.88400000002</v>
      </c>
      <c r="DW88" s="74">
        <v>99.221000000000004</v>
      </c>
      <c r="EK88">
        <v>-8532907.6750000007</v>
      </c>
      <c r="EL88">
        <v>398135.29399999999</v>
      </c>
      <c r="EM88">
        <v>4.2000000000000003E-2</v>
      </c>
      <c r="FA88">
        <v>-8531658.8440000005</v>
      </c>
      <c r="FB88">
        <v>397599.79700000002</v>
      </c>
      <c r="FC88">
        <v>3.2000000000000001E-2</v>
      </c>
      <c r="FM88">
        <v>-8529658.3650000002</v>
      </c>
      <c r="FN88">
        <v>396474.141</v>
      </c>
      <c r="FO88">
        <v>71.337999999999994</v>
      </c>
      <c r="FY88">
        <v>-8531503.6539999992</v>
      </c>
      <c r="FZ88">
        <v>397497.75</v>
      </c>
      <c r="GA88">
        <v>3.6999999999999998E-2</v>
      </c>
    </row>
    <row r="89" spans="41:251" x14ac:dyDescent="0.3">
      <c r="BE89" s="73">
        <v>-8531917.5649999995</v>
      </c>
      <c r="BF89">
        <v>395823.44</v>
      </c>
      <c r="BG89" s="74">
        <v>5.5E-2</v>
      </c>
      <c r="BI89" s="73">
        <v>-8533837.9279999994</v>
      </c>
      <c r="BJ89">
        <v>395005.64799999999</v>
      </c>
      <c r="BK89" s="74">
        <v>2.5000000000000001E-2</v>
      </c>
      <c r="BM89" s="73">
        <v>-8532947.3560000006</v>
      </c>
      <c r="BN89">
        <v>394419.78399999999</v>
      </c>
      <c r="BO89" s="74">
        <v>3.5999999999999997E-2</v>
      </c>
      <c r="BQ89" s="73">
        <v>-8532947.3560000006</v>
      </c>
      <c r="BR89">
        <v>394419.78399999999</v>
      </c>
      <c r="BS89" s="74">
        <v>3.5999999999999997E-2</v>
      </c>
      <c r="BY89" s="73">
        <v>-8532402.2609999999</v>
      </c>
      <c r="BZ89">
        <v>393187.66</v>
      </c>
      <c r="CA89" s="74">
        <v>0.121</v>
      </c>
      <c r="CC89" s="73">
        <v>-8532402.2609999999</v>
      </c>
      <c r="CD89">
        <v>393187.66</v>
      </c>
      <c r="CE89" s="74">
        <v>0.121</v>
      </c>
      <c r="CK89" s="73">
        <v>-8531980.1339999996</v>
      </c>
      <c r="CL89">
        <v>400401.32699999999</v>
      </c>
      <c r="CM89" s="74">
        <v>5.6000000000000001E-2</v>
      </c>
      <c r="CO89" s="73">
        <v>-8535486.6999999993</v>
      </c>
      <c r="CP89">
        <v>399794.76299999998</v>
      </c>
      <c r="CQ89" s="74">
        <v>37.331000000000003</v>
      </c>
      <c r="CS89" s="73">
        <v>-8535486.6999999993</v>
      </c>
      <c r="CT89">
        <v>399794.76299999998</v>
      </c>
      <c r="CU89" s="74">
        <v>37.331000000000003</v>
      </c>
      <c r="CW89" s="73">
        <v>-8535486.6999999993</v>
      </c>
      <c r="CX89">
        <v>399794.76299999998</v>
      </c>
      <c r="CY89" s="74">
        <v>37.331000000000003</v>
      </c>
      <c r="DI89" s="73">
        <v>-8529957.9250000007</v>
      </c>
      <c r="DJ89">
        <v>396452.86599999998</v>
      </c>
      <c r="DK89" s="74">
        <v>33.015000000000001</v>
      </c>
      <c r="DM89" s="73">
        <v>-8533837.9279999994</v>
      </c>
      <c r="DN89">
        <v>395005.64799999999</v>
      </c>
      <c r="DO89" s="74">
        <v>2.5000000000000001E-2</v>
      </c>
      <c r="DQ89" s="73">
        <v>-8533837.9279999994</v>
      </c>
      <c r="DR89">
        <v>395005.64799999999</v>
      </c>
      <c r="DS89" s="74">
        <v>2.5000000000000001E-2</v>
      </c>
      <c r="DU89" s="73">
        <v>-8535486.6999999993</v>
      </c>
      <c r="DV89">
        <v>399794.76299999998</v>
      </c>
      <c r="DW89" s="74">
        <v>37.331000000000003</v>
      </c>
      <c r="EK89">
        <v>-8532881.1060000006</v>
      </c>
      <c r="EL89">
        <v>398201.63199999998</v>
      </c>
      <c r="EM89">
        <v>7.0999999999999994E-2</v>
      </c>
      <c r="FA89">
        <v>-8531664.7970000003</v>
      </c>
      <c r="FB89">
        <v>397669.74599999998</v>
      </c>
      <c r="FC89">
        <v>7.0000000000000007E-2</v>
      </c>
      <c r="FM89">
        <v>-8529711.943</v>
      </c>
      <c r="FN89">
        <v>396465.21100000001</v>
      </c>
      <c r="FO89">
        <v>54.203000000000003</v>
      </c>
      <c r="FY89">
        <v>-8531558.2780000009</v>
      </c>
      <c r="FZ89">
        <v>397523.64899999998</v>
      </c>
      <c r="GA89">
        <v>0.06</v>
      </c>
    </row>
    <row r="90" spans="41:251" ht="15" thickBot="1" x14ac:dyDescent="0.35">
      <c r="BE90" s="75">
        <v>-8532133.1870000008</v>
      </c>
      <c r="BF90" s="76">
        <v>395650.09700000001</v>
      </c>
      <c r="BG90" s="77"/>
      <c r="BI90" s="73">
        <v>-8533874.1669999994</v>
      </c>
      <c r="BJ90">
        <v>394993.56800000003</v>
      </c>
      <c r="BK90" s="74">
        <v>3.7999999999999999E-2</v>
      </c>
      <c r="BM90" s="73">
        <v>-8533025.2699999996</v>
      </c>
      <c r="BN90">
        <v>394387.16899999999</v>
      </c>
      <c r="BO90" s="74">
        <v>8.4000000000000005E-2</v>
      </c>
      <c r="BQ90" s="73">
        <v>-8533025.2699999996</v>
      </c>
      <c r="BR90">
        <v>394387.16899999999</v>
      </c>
      <c r="BS90" s="74">
        <v>8.4000000000000005E-2</v>
      </c>
      <c r="BY90" s="73">
        <v>-8532327.3670000006</v>
      </c>
      <c r="BZ90">
        <v>393107.93400000001</v>
      </c>
      <c r="CA90" s="74">
        <v>0.109</v>
      </c>
      <c r="CC90" s="73">
        <v>-8532327.3670000006</v>
      </c>
      <c r="CD90">
        <v>393107.93400000001</v>
      </c>
      <c r="CE90" s="74">
        <v>0.109</v>
      </c>
      <c r="CK90" s="73">
        <v>-8532061.1620000005</v>
      </c>
      <c r="CL90">
        <v>400415.087</v>
      </c>
      <c r="CM90" s="74">
        <v>8.2000000000000003E-2</v>
      </c>
      <c r="CO90" s="73">
        <v>-8535516.5120000001</v>
      </c>
      <c r="CP90">
        <v>399840.62800000003</v>
      </c>
      <c r="CQ90" s="74">
        <v>54.701999999999998</v>
      </c>
      <c r="CS90" s="73">
        <v>-8535516.5120000001</v>
      </c>
      <c r="CT90">
        <v>399840.62800000003</v>
      </c>
      <c r="CU90" s="74">
        <v>54.701999999999998</v>
      </c>
      <c r="CW90" s="73">
        <v>-8535516.5120000001</v>
      </c>
      <c r="CX90">
        <v>399840.62800000003</v>
      </c>
      <c r="CY90" s="74">
        <v>54.701999999999998</v>
      </c>
      <c r="DI90" s="73">
        <v>-8529937.9710000008</v>
      </c>
      <c r="DJ90">
        <v>396442.88900000002</v>
      </c>
      <c r="DK90" s="74">
        <v>22.309000000000001</v>
      </c>
      <c r="DM90" s="73">
        <v>-8533874.1669999994</v>
      </c>
      <c r="DN90">
        <v>394993.56800000003</v>
      </c>
      <c r="DO90" s="74">
        <v>3.7999999999999999E-2</v>
      </c>
      <c r="DQ90" s="73">
        <v>-8533874.1669999994</v>
      </c>
      <c r="DR90">
        <v>394993.56800000003</v>
      </c>
      <c r="DS90" s="74">
        <v>3.7999999999999999E-2</v>
      </c>
      <c r="DU90" s="73">
        <v>-8535516.5120000001</v>
      </c>
      <c r="DV90">
        <v>399840.62800000003</v>
      </c>
      <c r="DW90" s="74">
        <v>54.701999999999998</v>
      </c>
      <c r="EK90">
        <v>-8532840.0960000008</v>
      </c>
      <c r="EL90">
        <v>398185.09600000002</v>
      </c>
      <c r="EM90">
        <v>4.3999999999999997E-2</v>
      </c>
      <c r="FA90">
        <v>-8531754.0940000005</v>
      </c>
      <c r="FB90">
        <v>397651.88699999999</v>
      </c>
      <c r="FC90">
        <v>9.0999999999999998E-2</v>
      </c>
      <c r="FM90">
        <v>-8529744.6850000005</v>
      </c>
      <c r="FN90">
        <v>396396.75</v>
      </c>
      <c r="FO90">
        <v>75.331999999999994</v>
      </c>
      <c r="FY90">
        <v>-8531594.0669999998</v>
      </c>
      <c r="FZ90">
        <v>397546.25300000003</v>
      </c>
      <c r="GA90">
        <v>4.2000000000000003E-2</v>
      </c>
    </row>
    <row r="91" spans="41:251" ht="15" thickBot="1" x14ac:dyDescent="0.35">
      <c r="BG91">
        <f>SUM(BG$3:BG90)</f>
        <v>5.2639999999999967</v>
      </c>
      <c r="BI91" s="73">
        <v>-8533939.3969999999</v>
      </c>
      <c r="BJ91">
        <v>394993.56800000003</v>
      </c>
      <c r="BK91" s="74">
        <v>6.5000000000000002E-2</v>
      </c>
      <c r="BM91" s="75">
        <v>-8532596.4419999998</v>
      </c>
      <c r="BN91" s="76">
        <v>394493.47</v>
      </c>
      <c r="BO91" s="77"/>
      <c r="BQ91" s="73">
        <v>-8532596.4419999998</v>
      </c>
      <c r="BR91">
        <v>394493.47</v>
      </c>
      <c r="BS91" s="74"/>
      <c r="BY91" s="73">
        <v>-8532312.8719999995</v>
      </c>
      <c r="BZ91">
        <v>392994.38500000001</v>
      </c>
      <c r="CA91" s="74">
        <v>0.114</v>
      </c>
      <c r="CC91" s="73">
        <v>-8532312.8719999995</v>
      </c>
      <c r="CD91">
        <v>392994.38500000001</v>
      </c>
      <c r="CE91" s="74">
        <v>0.114</v>
      </c>
      <c r="CK91" s="73">
        <v>-8532091.7390000001</v>
      </c>
      <c r="CL91">
        <v>400444.13500000001</v>
      </c>
      <c r="CM91" s="74">
        <v>4.2000000000000003E-2</v>
      </c>
      <c r="CO91" s="73">
        <v>-8535594.4820000008</v>
      </c>
      <c r="CP91">
        <v>399819.989</v>
      </c>
      <c r="CQ91" s="74">
        <v>80.656000000000006</v>
      </c>
      <c r="CS91" s="73">
        <v>-8535594.4820000008</v>
      </c>
      <c r="CT91">
        <v>399819.989</v>
      </c>
      <c r="CU91" s="74">
        <v>80.656000000000006</v>
      </c>
      <c r="CW91" s="73">
        <v>-8535594.4820000008</v>
      </c>
      <c r="CX91">
        <v>399819.989</v>
      </c>
      <c r="CY91" s="74">
        <v>80.656000000000006</v>
      </c>
      <c r="DI91" s="73">
        <v>-8529901.6919999998</v>
      </c>
      <c r="DJ91">
        <v>396441.98200000002</v>
      </c>
      <c r="DK91" s="74">
        <v>36.290999999999997</v>
      </c>
      <c r="DM91" s="73">
        <v>-8533939.3969999999</v>
      </c>
      <c r="DN91">
        <v>394993.56800000003</v>
      </c>
      <c r="DO91" s="74">
        <v>6.5000000000000002E-2</v>
      </c>
      <c r="DQ91" s="73">
        <v>-8533939.3969999999</v>
      </c>
      <c r="DR91">
        <v>394993.56800000003</v>
      </c>
      <c r="DS91" s="74">
        <v>6.5000000000000002E-2</v>
      </c>
      <c r="DU91" s="73">
        <v>-8535594.4820000008</v>
      </c>
      <c r="DV91">
        <v>399819.989</v>
      </c>
      <c r="DW91" s="74">
        <v>80.656000000000006</v>
      </c>
      <c r="EK91">
        <v>-8533362.648</v>
      </c>
      <c r="EL91">
        <v>397887.44</v>
      </c>
      <c r="FA91">
        <v>-8531777.9059999995</v>
      </c>
      <c r="FB91">
        <v>397683.141</v>
      </c>
      <c r="FC91">
        <v>3.9E-2</v>
      </c>
      <c r="FM91">
        <v>-8529813.1459999997</v>
      </c>
      <c r="FN91">
        <v>396414.609</v>
      </c>
      <c r="FO91">
        <v>70.587000000000003</v>
      </c>
      <c r="FY91">
        <v>-8531643.9820000008</v>
      </c>
      <c r="FZ91">
        <v>397564.147</v>
      </c>
      <c r="GA91">
        <v>5.2999999999999999E-2</v>
      </c>
    </row>
    <row r="92" spans="41:251" ht="15" thickBot="1" x14ac:dyDescent="0.35">
      <c r="BI92" s="73">
        <v>-8533964.7650000006</v>
      </c>
      <c r="BJ92">
        <v>394974.24099999998</v>
      </c>
      <c r="BK92" s="74">
        <v>3.2000000000000001E-2</v>
      </c>
      <c r="BO92">
        <f>SUM(BO$3:BO91)</f>
        <v>5.7570000000000006</v>
      </c>
      <c r="BQ92" s="73">
        <v>-8532451.7880000006</v>
      </c>
      <c r="BR92">
        <v>394653.52600000001</v>
      </c>
      <c r="BS92" s="74"/>
      <c r="BY92" s="73">
        <v>-8532363.6060000006</v>
      </c>
      <c r="BZ92">
        <v>392909.82799999998</v>
      </c>
      <c r="CA92" s="74">
        <v>9.9000000000000005E-2</v>
      </c>
      <c r="CC92" s="73">
        <v>-8532363.6060000006</v>
      </c>
      <c r="CD92">
        <v>392909.82799999998</v>
      </c>
      <c r="CE92" s="74">
        <v>9.9000000000000005E-2</v>
      </c>
      <c r="CK92" s="73">
        <v>-8532096.3249999993</v>
      </c>
      <c r="CL92">
        <v>400486.94199999998</v>
      </c>
      <c r="CM92" s="74">
        <v>4.2999999999999997E-2</v>
      </c>
      <c r="CO92" s="73">
        <v>-8535612.8279999997</v>
      </c>
      <c r="CP92">
        <v>399767.24400000001</v>
      </c>
      <c r="CQ92" s="74">
        <v>55.844000000000001</v>
      </c>
      <c r="CS92" s="73">
        <v>-8535612.8279999997</v>
      </c>
      <c r="CT92">
        <v>399767.24400000001</v>
      </c>
      <c r="CU92" s="74">
        <v>55.844000000000001</v>
      </c>
      <c r="CW92" s="73">
        <v>-8535612.8279999997</v>
      </c>
      <c r="CX92">
        <v>399767.24400000001</v>
      </c>
      <c r="CY92" s="74">
        <v>55.844000000000001</v>
      </c>
      <c r="DI92" s="73">
        <v>-8529865.4120000005</v>
      </c>
      <c r="DJ92">
        <v>396410.23700000002</v>
      </c>
      <c r="DK92" s="74">
        <v>48.207999999999998</v>
      </c>
      <c r="DM92" s="73">
        <v>-8533964.7650000006</v>
      </c>
      <c r="DN92">
        <v>394974.24099999998</v>
      </c>
      <c r="DO92" s="74">
        <v>3.2000000000000001E-2</v>
      </c>
      <c r="DQ92" s="73">
        <v>-8533964.7650000006</v>
      </c>
      <c r="DR92">
        <v>394974.24099999998</v>
      </c>
      <c r="DS92" s="74">
        <v>3.2000000000000001E-2</v>
      </c>
      <c r="DU92" s="73">
        <v>-8535612.8279999997</v>
      </c>
      <c r="DV92">
        <v>399767.24400000001</v>
      </c>
      <c r="DW92" s="74">
        <v>55.844000000000001</v>
      </c>
      <c r="EM92" s="77">
        <f>SUM(EM$3:EM91)</f>
        <v>4.4759999999999982</v>
      </c>
      <c r="FA92">
        <v>-8531809.1600000001</v>
      </c>
      <c r="FB92">
        <v>397715.88299999997</v>
      </c>
      <c r="FC92">
        <v>4.4999999999999998E-2</v>
      </c>
      <c r="FM92">
        <v>-8529869.7009999994</v>
      </c>
      <c r="FN92">
        <v>396417.58600000001</v>
      </c>
      <c r="FO92">
        <v>56.523000000000003</v>
      </c>
      <c r="FY92">
        <v>-8531659.0510000009</v>
      </c>
      <c r="FZ92">
        <v>397595.22600000002</v>
      </c>
      <c r="GA92">
        <v>3.4000000000000002E-2</v>
      </c>
    </row>
    <row r="93" spans="41:251" x14ac:dyDescent="0.3">
      <c r="BI93" s="73">
        <v>-8533972.0120000001</v>
      </c>
      <c r="BJ93">
        <v>394936.79399999999</v>
      </c>
      <c r="BK93" s="74">
        <v>3.7999999999999999E-2</v>
      </c>
      <c r="BQ93" s="73">
        <v>-8532464.4719999991</v>
      </c>
      <c r="BR93">
        <v>394659.56599999999</v>
      </c>
      <c r="BS93" s="74">
        <v>1.4E-2</v>
      </c>
      <c r="BY93" s="73">
        <v>-8532489.2349999994</v>
      </c>
      <c r="BZ93">
        <v>392861.50900000002</v>
      </c>
      <c r="CA93" s="74">
        <v>0.13500000000000001</v>
      </c>
      <c r="CC93" s="73">
        <v>-8532489.2349999994</v>
      </c>
      <c r="CD93">
        <v>392861.50900000002</v>
      </c>
      <c r="CE93" s="74">
        <v>0.13500000000000001</v>
      </c>
      <c r="CK93" s="73">
        <v>-8532068.0419999994</v>
      </c>
      <c r="CL93">
        <v>400631.41600000003</v>
      </c>
      <c r="CM93" s="74">
        <v>0.14699999999999999</v>
      </c>
      <c r="CO93" s="73">
        <v>-8535631.1740000006</v>
      </c>
      <c r="CP93">
        <v>399703.03399999999</v>
      </c>
      <c r="CQ93" s="74">
        <v>66.78</v>
      </c>
      <c r="CS93" s="73">
        <v>-8535631.1740000006</v>
      </c>
      <c r="CT93">
        <v>399703.03399999999</v>
      </c>
      <c r="CU93" s="74">
        <v>66.78</v>
      </c>
      <c r="CW93" s="73">
        <v>-8535631.1740000006</v>
      </c>
      <c r="CX93">
        <v>399703.03399999999</v>
      </c>
      <c r="CY93" s="74">
        <v>66.78</v>
      </c>
      <c r="DI93" s="73">
        <v>-8529809.1779999994</v>
      </c>
      <c r="DJ93">
        <v>396415.679</v>
      </c>
      <c r="DK93" s="74">
        <v>56.497</v>
      </c>
      <c r="DM93" s="73">
        <v>-8533972.0120000001</v>
      </c>
      <c r="DN93">
        <v>394936.79399999999</v>
      </c>
      <c r="DO93" s="74">
        <v>3.7999999999999999E-2</v>
      </c>
      <c r="DQ93" s="73">
        <v>-8533972.0120000001</v>
      </c>
      <c r="DR93">
        <v>394936.79399999999</v>
      </c>
      <c r="DS93" s="74">
        <v>3.7999999999999999E-2</v>
      </c>
      <c r="DU93" s="73">
        <v>-8535631.1740000006</v>
      </c>
      <c r="DV93">
        <v>399703.03399999999</v>
      </c>
      <c r="DW93" s="74">
        <v>66.78</v>
      </c>
      <c r="FA93">
        <v>-8531865.7149999999</v>
      </c>
      <c r="FB93">
        <v>397739.69500000001</v>
      </c>
      <c r="FC93">
        <v>6.0999999999999999E-2</v>
      </c>
      <c r="FM93">
        <v>-8529908.3959999997</v>
      </c>
      <c r="FN93">
        <v>396447.35200000001</v>
      </c>
      <c r="FO93">
        <v>48.604999999999997</v>
      </c>
      <c r="FY93">
        <v>-8531653.4000000004</v>
      </c>
      <c r="FZ93">
        <v>397640.43300000002</v>
      </c>
      <c r="GA93">
        <v>4.4999999999999998E-2</v>
      </c>
    </row>
    <row r="94" spans="41:251" x14ac:dyDescent="0.3">
      <c r="BI94" s="73">
        <v>-8533972.0120000001</v>
      </c>
      <c r="BJ94">
        <v>394857.06800000003</v>
      </c>
      <c r="BK94" s="74">
        <v>0.08</v>
      </c>
      <c r="BQ94" s="73">
        <v>-8532498.2949999999</v>
      </c>
      <c r="BR94">
        <v>394663.49099999998</v>
      </c>
      <c r="BS94" s="74">
        <v>3.4000000000000002E-2</v>
      </c>
      <c r="BY94" s="73">
        <v>-8532585.8719999995</v>
      </c>
      <c r="BZ94">
        <v>392743.12800000003</v>
      </c>
      <c r="CA94" s="74">
        <v>0.153</v>
      </c>
      <c r="CC94" s="73">
        <v>-8532585.8719999995</v>
      </c>
      <c r="CD94">
        <v>392743.12800000003</v>
      </c>
      <c r="CE94" s="74">
        <v>0.153</v>
      </c>
      <c r="CK94" s="73">
        <v>-8532081.8010000009</v>
      </c>
      <c r="CL94">
        <v>400691.04100000003</v>
      </c>
      <c r="CM94" s="74">
        <v>6.0999999999999999E-2</v>
      </c>
      <c r="CO94" s="73">
        <v>-8535716.0240000002</v>
      </c>
      <c r="CP94">
        <v>399659.462</v>
      </c>
      <c r="CQ94" s="74">
        <v>95.384</v>
      </c>
      <c r="CS94" s="73">
        <v>-8535716.0240000002</v>
      </c>
      <c r="CT94">
        <v>399659.462</v>
      </c>
      <c r="CU94" s="74">
        <v>95.384</v>
      </c>
      <c r="CW94" s="73">
        <v>-8535716.0240000002</v>
      </c>
      <c r="CX94">
        <v>399659.462</v>
      </c>
      <c r="CY94" s="74">
        <v>95.384</v>
      </c>
      <c r="DI94" s="73">
        <v>-8529759.2929999996</v>
      </c>
      <c r="DJ94">
        <v>396390.283</v>
      </c>
      <c r="DK94" s="74">
        <v>55.976999999999997</v>
      </c>
      <c r="DM94" s="73">
        <v>-8533972.0120000001</v>
      </c>
      <c r="DN94">
        <v>394857.06800000003</v>
      </c>
      <c r="DO94" s="74">
        <v>0.08</v>
      </c>
      <c r="DQ94" s="73">
        <v>-8533972.0120000001</v>
      </c>
      <c r="DR94">
        <v>394857.06800000003</v>
      </c>
      <c r="DS94" s="74">
        <v>0.08</v>
      </c>
      <c r="DU94" s="73">
        <v>-8535716.0240000002</v>
      </c>
      <c r="DV94">
        <v>399659.462</v>
      </c>
      <c r="DW94" s="74">
        <v>95.384</v>
      </c>
      <c r="FA94">
        <v>-8531940.1290000007</v>
      </c>
      <c r="FB94">
        <v>397831.96899999998</v>
      </c>
      <c r="FC94">
        <v>0.11799999999999999</v>
      </c>
      <c r="FM94">
        <v>-8529956.0209999997</v>
      </c>
      <c r="FN94">
        <v>396453.30499999999</v>
      </c>
      <c r="FO94">
        <v>47.899000000000001</v>
      </c>
      <c r="FY94">
        <v>-8531662.818</v>
      </c>
      <c r="FZ94">
        <v>397667.745</v>
      </c>
      <c r="GA94">
        <v>2.9000000000000001E-2</v>
      </c>
    </row>
    <row r="95" spans="41:251" x14ac:dyDescent="0.3">
      <c r="BI95" s="73">
        <v>-8534060.1940000001</v>
      </c>
      <c r="BJ95">
        <v>394778.55</v>
      </c>
      <c r="BK95" s="74">
        <v>0.11799999999999999</v>
      </c>
      <c r="BQ95" s="73">
        <v>-8532516.716</v>
      </c>
      <c r="BR95">
        <v>394643.56</v>
      </c>
      <c r="BS95" s="74">
        <v>2.7E-2</v>
      </c>
      <c r="BY95" s="73">
        <v>-8532618.4869999997</v>
      </c>
      <c r="BZ95">
        <v>392670.65</v>
      </c>
      <c r="CA95" s="74">
        <v>7.9000000000000001E-2</v>
      </c>
      <c r="CC95" s="73">
        <v>-8532618.4869999997</v>
      </c>
      <c r="CD95">
        <v>392670.65</v>
      </c>
      <c r="CE95" s="74">
        <v>7.9000000000000001E-2</v>
      </c>
      <c r="CK95" s="73">
        <v>-8532152.1280000005</v>
      </c>
      <c r="CL95">
        <v>400801.11700000003</v>
      </c>
      <c r="CM95" s="74">
        <v>0.13100000000000001</v>
      </c>
      <c r="CO95" s="73">
        <v>-8535842.1530000009</v>
      </c>
      <c r="CP95">
        <v>399700.74</v>
      </c>
      <c r="CQ95" s="74">
        <v>132.71100000000001</v>
      </c>
      <c r="CS95" s="73">
        <v>-8535842.1530000009</v>
      </c>
      <c r="CT95">
        <v>399700.74</v>
      </c>
      <c r="CU95" s="74">
        <v>132.71100000000001</v>
      </c>
      <c r="CW95" s="73">
        <v>-8535842.1530000009</v>
      </c>
      <c r="CX95">
        <v>399700.74</v>
      </c>
      <c r="CY95" s="74">
        <v>132.71100000000001</v>
      </c>
      <c r="DI95" s="73">
        <v>-8529734.8039999995</v>
      </c>
      <c r="DJ95">
        <v>396405.70199999999</v>
      </c>
      <c r="DK95" s="74">
        <v>28.939</v>
      </c>
      <c r="DM95" s="73">
        <v>-8534060.1940000001</v>
      </c>
      <c r="DN95">
        <v>394778.55</v>
      </c>
      <c r="DO95" s="74">
        <v>0.11799999999999999</v>
      </c>
      <c r="DQ95" s="73">
        <v>-8534060.1940000001</v>
      </c>
      <c r="DR95">
        <v>394778.55</v>
      </c>
      <c r="DS95" s="74">
        <v>0.11799999999999999</v>
      </c>
      <c r="DU95" s="73">
        <v>-8535842.1530000009</v>
      </c>
      <c r="DV95">
        <v>399700.74</v>
      </c>
      <c r="DW95" s="74">
        <v>132.71100000000001</v>
      </c>
      <c r="FA95">
        <v>-8531963.9409999996</v>
      </c>
      <c r="FB95">
        <v>397864.71100000001</v>
      </c>
      <c r="FC95">
        <v>0.04</v>
      </c>
      <c r="FM95">
        <v>-8529970.9039999992</v>
      </c>
      <c r="FN95">
        <v>396494.97700000001</v>
      </c>
      <c r="FO95">
        <v>43.904000000000003</v>
      </c>
      <c r="FY95">
        <v>-8531693.898</v>
      </c>
      <c r="FZ95">
        <v>397672.45400000003</v>
      </c>
      <c r="GA95">
        <v>3.1E-2</v>
      </c>
    </row>
    <row r="96" spans="41:251" ht="15" thickBot="1" x14ac:dyDescent="0.35">
      <c r="BI96" s="75">
        <v>-8533428.4279999994</v>
      </c>
      <c r="BJ96" s="76">
        <v>394822.03700000001</v>
      </c>
      <c r="BK96" s="77">
        <v>0.63300000000000001</v>
      </c>
      <c r="BQ96" s="73">
        <v>-8532555.3709999993</v>
      </c>
      <c r="BR96">
        <v>394626.64799999999</v>
      </c>
      <c r="BS96" s="74">
        <v>4.2000000000000003E-2</v>
      </c>
      <c r="BY96" s="73">
        <v>-8532669.2219999991</v>
      </c>
      <c r="BZ96">
        <v>392611.46</v>
      </c>
      <c r="CA96" s="74">
        <v>7.8E-2</v>
      </c>
      <c r="CC96" s="73">
        <v>-8532669.2219999991</v>
      </c>
      <c r="CD96">
        <v>392611.46</v>
      </c>
      <c r="CE96" s="74">
        <v>7.8E-2</v>
      </c>
      <c r="CK96" s="73">
        <v>-8532205.6370000001</v>
      </c>
      <c r="CL96">
        <v>400964.70199999999</v>
      </c>
      <c r="CM96" s="74">
        <v>0.17199999999999999</v>
      </c>
      <c r="CO96" s="73">
        <v>-8535904.0710000005</v>
      </c>
      <c r="CP96">
        <v>399590.66399999999</v>
      </c>
      <c r="CQ96" s="74">
        <v>126.295</v>
      </c>
      <c r="CS96" s="73">
        <v>-8535904.0710000005</v>
      </c>
      <c r="CT96">
        <v>399590.66399999999</v>
      </c>
      <c r="CU96" s="74">
        <v>126.295</v>
      </c>
      <c r="CW96" s="73">
        <v>-8535904.0710000005</v>
      </c>
      <c r="CX96">
        <v>399590.66399999999</v>
      </c>
      <c r="CY96" s="74">
        <v>126.295</v>
      </c>
      <c r="DI96" s="73">
        <v>-8529709.4079999998</v>
      </c>
      <c r="DJ96">
        <v>396465.56400000001</v>
      </c>
      <c r="DK96" s="74">
        <v>65.025999999999996</v>
      </c>
      <c r="DM96" s="75">
        <v>-8533428.4279999994</v>
      </c>
      <c r="DN96" s="76">
        <v>394822.03700000001</v>
      </c>
      <c r="DO96" s="77">
        <v>0.63300000000000001</v>
      </c>
      <c r="DQ96" s="75">
        <v>-8533428.4279999994</v>
      </c>
      <c r="DR96" s="76">
        <v>394822.03700000001</v>
      </c>
      <c r="DS96" s="77">
        <v>0.63300000000000001</v>
      </c>
      <c r="DU96" s="73">
        <v>-8535904.0710000005</v>
      </c>
      <c r="DV96">
        <v>399590.66399999999</v>
      </c>
      <c r="DW96" s="74">
        <v>126.295</v>
      </c>
      <c r="FA96">
        <v>-8532014.5429999996</v>
      </c>
      <c r="FB96">
        <v>397834.94500000001</v>
      </c>
      <c r="FC96">
        <v>5.8000000000000003E-2</v>
      </c>
      <c r="FM96">
        <v>-8530137.5920000002</v>
      </c>
      <c r="FN96">
        <v>396518.78899999999</v>
      </c>
      <c r="FO96">
        <v>168.035</v>
      </c>
      <c r="FY96">
        <v>-8531742.8719999995</v>
      </c>
      <c r="FZ96">
        <v>397647.967</v>
      </c>
      <c r="GA96">
        <v>5.5E-2</v>
      </c>
    </row>
    <row r="97" spans="63:183" x14ac:dyDescent="0.3">
      <c r="BK97">
        <f>SUM(BK$3:BK96)</f>
        <v>6.1239999999999988</v>
      </c>
      <c r="BQ97" s="73">
        <v>-8532587.9859999996</v>
      </c>
      <c r="BR97">
        <v>394626.04399999999</v>
      </c>
      <c r="BS97" s="74">
        <v>3.3000000000000002E-2</v>
      </c>
      <c r="BY97" s="73">
        <v>-8532682.5089999996</v>
      </c>
      <c r="BZ97">
        <v>392567.973</v>
      </c>
      <c r="CA97" s="74">
        <v>4.4999999999999998E-2</v>
      </c>
      <c r="CC97" s="73">
        <v>-8532682.5089999996</v>
      </c>
      <c r="CD97">
        <v>392567.973</v>
      </c>
      <c r="CE97" s="74">
        <v>4.4999999999999998E-2</v>
      </c>
      <c r="CK97" s="73">
        <v>-8532193.4059999995</v>
      </c>
      <c r="CL97">
        <v>401070.19099999999</v>
      </c>
      <c r="CM97" s="74">
        <v>0.106</v>
      </c>
      <c r="CO97" s="73">
        <v>-8535869.6720000003</v>
      </c>
      <c r="CP97">
        <v>399498.935</v>
      </c>
      <c r="CQ97" s="74">
        <v>97.968000000000004</v>
      </c>
      <c r="CS97" s="73">
        <v>-8535869.6720000003</v>
      </c>
      <c r="CT97">
        <v>399498.935</v>
      </c>
      <c r="CU97" s="74">
        <v>97.968000000000004</v>
      </c>
      <c r="CW97" s="73">
        <v>-8535869.6720000003</v>
      </c>
      <c r="CX97">
        <v>399498.935</v>
      </c>
      <c r="CY97" s="74">
        <v>97.968000000000004</v>
      </c>
      <c r="DI97" s="73">
        <v>-8529674.0350000001</v>
      </c>
      <c r="DJ97">
        <v>396476.44799999997</v>
      </c>
      <c r="DK97" s="74">
        <v>37.009</v>
      </c>
      <c r="DO97">
        <f>SUM(DO$3:DO96)</f>
        <v>6.1239999999999988</v>
      </c>
      <c r="DS97">
        <f>SUM(DS$3:DS96)</f>
        <v>6.1239999999999988</v>
      </c>
      <c r="DU97" s="73">
        <v>-8535869.6720000003</v>
      </c>
      <c r="DV97">
        <v>399498.935</v>
      </c>
      <c r="DW97" s="74">
        <v>97.968000000000004</v>
      </c>
      <c r="FA97">
        <v>-8532117.2339999992</v>
      </c>
      <c r="FB97">
        <v>397834.94500000001</v>
      </c>
      <c r="FC97">
        <v>0.10199999999999999</v>
      </c>
      <c r="FM97">
        <v>-8530253.6779999994</v>
      </c>
      <c r="FN97">
        <v>396503.90600000002</v>
      </c>
      <c r="FO97">
        <v>116.79900000000001</v>
      </c>
      <c r="FY97">
        <v>-8531759.8239999991</v>
      </c>
      <c r="FZ97">
        <v>397647.967</v>
      </c>
      <c r="GA97">
        <v>1.7000000000000001E-2</v>
      </c>
    </row>
    <row r="98" spans="63:183" x14ac:dyDescent="0.3">
      <c r="BQ98" s="73">
        <v>-8532596.4419999998</v>
      </c>
      <c r="BR98">
        <v>394633.59399999998</v>
      </c>
      <c r="BS98" s="74">
        <v>1.0999999999999999E-2</v>
      </c>
      <c r="BY98" s="73">
        <v>-8532646.2699999996</v>
      </c>
      <c r="BZ98">
        <v>392333.62800000003</v>
      </c>
      <c r="CA98" s="74">
        <v>0.23699999999999999</v>
      </c>
      <c r="CC98" s="73">
        <v>-8532646.2699999996</v>
      </c>
      <c r="CD98">
        <v>392333.62800000003</v>
      </c>
      <c r="CE98" s="74">
        <v>0.23699999999999999</v>
      </c>
      <c r="CK98" s="73">
        <v>-8532207.1649999991</v>
      </c>
      <c r="CL98">
        <v>401307.16</v>
      </c>
      <c r="CM98" s="74">
        <v>0.23699999999999999</v>
      </c>
      <c r="CO98" s="73">
        <v>-8535787.1150000002</v>
      </c>
      <c r="CP98">
        <v>399469.12199999997</v>
      </c>
      <c r="CQ98" s="74">
        <v>87.775000000000006</v>
      </c>
      <c r="CS98" s="73">
        <v>-8535787.1150000002</v>
      </c>
      <c r="CT98">
        <v>399469.12199999997</v>
      </c>
      <c r="CU98" s="74">
        <v>87.775000000000006</v>
      </c>
      <c r="CW98" s="73">
        <v>-8535787.1150000002</v>
      </c>
      <c r="CX98">
        <v>399469.12199999997</v>
      </c>
      <c r="CY98" s="74">
        <v>87.775000000000006</v>
      </c>
      <c r="DI98" s="73">
        <v>-8529625.9639999997</v>
      </c>
      <c r="DJ98">
        <v>396461.02899999998</v>
      </c>
      <c r="DK98" s="74">
        <v>50.482999999999997</v>
      </c>
      <c r="DM98">
        <v>-8534064.8080000002</v>
      </c>
      <c r="DN98">
        <v>394774.46799999999</v>
      </c>
      <c r="DQ98">
        <v>-8534064.8080000002</v>
      </c>
      <c r="DR98">
        <v>394774.46799999999</v>
      </c>
      <c r="DU98" s="73">
        <v>-8535787.1150000002</v>
      </c>
      <c r="DV98">
        <v>399469.12199999997</v>
      </c>
      <c r="DW98" s="74">
        <v>87.775000000000006</v>
      </c>
      <c r="FA98">
        <v>-8532157.4179999996</v>
      </c>
      <c r="FB98">
        <v>397848.34</v>
      </c>
      <c r="FC98">
        <v>4.2000000000000003E-2</v>
      </c>
      <c r="FM98">
        <v>-8530289.3959999997</v>
      </c>
      <c r="FN98">
        <v>396486.04700000002</v>
      </c>
      <c r="FO98">
        <v>39.805</v>
      </c>
      <c r="FY98">
        <v>-8531773.0089999996</v>
      </c>
      <c r="FZ98">
        <v>397669.62900000002</v>
      </c>
      <c r="GA98">
        <v>2.5000000000000001E-2</v>
      </c>
    </row>
    <row r="99" spans="63:183" ht="15" thickBot="1" x14ac:dyDescent="0.35">
      <c r="BQ99" s="73">
        <v>-8532601.2740000002</v>
      </c>
      <c r="BR99">
        <v>394642.65399999998</v>
      </c>
      <c r="BS99" s="74">
        <v>0.01</v>
      </c>
      <c r="BY99" s="73">
        <v>-8532645.0620000008</v>
      </c>
      <c r="BZ99">
        <v>392243.03100000002</v>
      </c>
      <c r="CA99" s="74">
        <v>9.0999999999999998E-2</v>
      </c>
      <c r="CC99" s="73">
        <v>-8532645.0620000008</v>
      </c>
      <c r="CD99">
        <v>392243.03100000002</v>
      </c>
      <c r="CE99" s="74">
        <v>9.0999999999999998E-2</v>
      </c>
      <c r="CK99" s="75">
        <v>-8532954.7640000004</v>
      </c>
      <c r="CL99" s="76">
        <v>400813.34700000001</v>
      </c>
      <c r="CM99" s="77"/>
      <c r="CO99" s="75">
        <v>-8537160.7699999996</v>
      </c>
      <c r="CP99" s="76">
        <v>399141.18800000002</v>
      </c>
      <c r="CQ99" s="77"/>
      <c r="CS99" s="73">
        <v>-8535767.6219999995</v>
      </c>
      <c r="CT99">
        <v>399422.11099999998</v>
      </c>
      <c r="CU99" s="74">
        <v>50.893000000000001</v>
      </c>
      <c r="CW99" s="73">
        <v>-8535767.6219999995</v>
      </c>
      <c r="CX99">
        <v>399422.11099999998</v>
      </c>
      <c r="CY99" s="74">
        <v>50.893000000000001</v>
      </c>
      <c r="DI99" s="73">
        <v>-8529599.6610000003</v>
      </c>
      <c r="DJ99">
        <v>396416.58600000001</v>
      </c>
      <c r="DK99" s="74">
        <v>51.643000000000001</v>
      </c>
      <c r="DM99">
        <v>-8534003.1319999993</v>
      </c>
      <c r="DN99">
        <v>394817.09700000001</v>
      </c>
      <c r="DO99">
        <v>7.4999999999999997E-2</v>
      </c>
      <c r="DQ99">
        <v>-8534003.1319999993</v>
      </c>
      <c r="DR99">
        <v>394817.09700000001</v>
      </c>
      <c r="DS99">
        <v>7.4999999999999997E-2</v>
      </c>
      <c r="DU99" s="73">
        <v>-8535767.6219999995</v>
      </c>
      <c r="DV99">
        <v>399422.11099999998</v>
      </c>
      <c r="DW99" s="74">
        <v>50.893000000000001</v>
      </c>
      <c r="FA99">
        <v>-8532252.6679999996</v>
      </c>
      <c r="FB99">
        <v>397921.266</v>
      </c>
      <c r="FC99">
        <v>0.11899999999999999</v>
      </c>
      <c r="FM99">
        <v>-8530310.2320000008</v>
      </c>
      <c r="FN99">
        <v>396441.39799999999</v>
      </c>
      <c r="FO99">
        <v>48.906999999999996</v>
      </c>
      <c r="FY99">
        <v>-8531784.3110000007</v>
      </c>
      <c r="FZ99">
        <v>397704.47499999998</v>
      </c>
      <c r="GA99">
        <v>3.5999999999999997E-2</v>
      </c>
    </row>
    <row r="100" spans="63:183" x14ac:dyDescent="0.3">
      <c r="BQ100" s="73">
        <v>-8532680.9989999998</v>
      </c>
      <c r="BR100">
        <v>394645.674</v>
      </c>
      <c r="BS100" s="74">
        <v>0.08</v>
      </c>
      <c r="BY100" s="73">
        <v>-8532631.7750000004</v>
      </c>
      <c r="BZ100">
        <v>392198.33600000001</v>
      </c>
      <c r="CA100" s="74">
        <v>4.7E-2</v>
      </c>
      <c r="CC100" s="73">
        <v>-8532631.7750000004</v>
      </c>
      <c r="CD100">
        <v>392198.33600000001</v>
      </c>
      <c r="CE100" s="74">
        <v>4.7E-2</v>
      </c>
      <c r="CM100">
        <f>SUM(CM$3:CM99)</f>
        <v>4.9299999999999988</v>
      </c>
      <c r="CQ100">
        <f>SUM(CQ$3:CQ99)/1000</f>
        <v>6.6069689999999994</v>
      </c>
      <c r="CS100" s="73">
        <v>-8535800.8739999998</v>
      </c>
      <c r="CT100">
        <v>399339.554</v>
      </c>
      <c r="CU100" s="74">
        <v>89.001999999999995</v>
      </c>
      <c r="CW100" s="73">
        <v>-8535800.8739999998</v>
      </c>
      <c r="CX100">
        <v>399339.554</v>
      </c>
      <c r="CY100" s="74">
        <v>89.001999999999995</v>
      </c>
      <c r="DI100" s="73">
        <v>-8529571.5449999999</v>
      </c>
      <c r="DJ100">
        <v>396427.47</v>
      </c>
      <c r="DK100" s="74">
        <v>30.15</v>
      </c>
      <c r="DM100">
        <v>-8533977.7359999996</v>
      </c>
      <c r="DN100">
        <v>394854.28399999999</v>
      </c>
      <c r="DO100">
        <v>4.4999999999999998E-2</v>
      </c>
      <c r="DQ100">
        <v>-8533977.7359999996</v>
      </c>
      <c r="DR100">
        <v>394854.28399999999</v>
      </c>
      <c r="DS100">
        <v>4.4999999999999998E-2</v>
      </c>
      <c r="DU100" s="73">
        <v>-8535800.8739999998</v>
      </c>
      <c r="DV100">
        <v>399339.554</v>
      </c>
      <c r="DW100" s="74">
        <v>89.001999999999995</v>
      </c>
      <c r="FA100">
        <v>-8532316.6640000008</v>
      </c>
      <c r="FB100">
        <v>397977.82</v>
      </c>
      <c r="FC100">
        <v>8.5000000000000006E-2</v>
      </c>
      <c r="FM100">
        <v>-8530328.4639999997</v>
      </c>
      <c r="FN100">
        <v>396444.74699999997</v>
      </c>
      <c r="FO100">
        <v>18.497</v>
      </c>
      <c r="FY100">
        <v>-8531837.9940000009</v>
      </c>
      <c r="FZ100">
        <v>397717.66100000002</v>
      </c>
      <c r="GA100">
        <v>5.5E-2</v>
      </c>
    </row>
    <row r="101" spans="63:183" x14ac:dyDescent="0.3">
      <c r="BQ101" s="73">
        <v>-8532697.9110000003</v>
      </c>
      <c r="BR101">
        <v>394631.17800000001</v>
      </c>
      <c r="BS101" s="74">
        <v>2.1999999999999999E-2</v>
      </c>
      <c r="BY101" s="73">
        <v>-8532647.4780000001</v>
      </c>
      <c r="BZ101">
        <v>392084.78700000001</v>
      </c>
      <c r="CA101" s="74">
        <v>0.115</v>
      </c>
      <c r="CC101" s="73">
        <v>-8532647.4780000001</v>
      </c>
      <c r="CD101">
        <v>392084.78700000001</v>
      </c>
      <c r="CE101" s="74">
        <v>0.115</v>
      </c>
      <c r="CS101" s="73">
        <v>-8535844.4460000005</v>
      </c>
      <c r="CT101">
        <v>399275.34299999999</v>
      </c>
      <c r="CU101" s="74">
        <v>77.599000000000004</v>
      </c>
      <c r="CW101" s="73">
        <v>-8535844.4460000005</v>
      </c>
      <c r="CX101">
        <v>399275.34299999999</v>
      </c>
      <c r="CY101" s="74">
        <v>77.599000000000004</v>
      </c>
      <c r="DI101" s="73">
        <v>-8529562.4749999996</v>
      </c>
      <c r="DJ101">
        <v>396483.70400000003</v>
      </c>
      <c r="DK101" s="74">
        <v>56.960999999999999</v>
      </c>
      <c r="DM101">
        <v>-8533974.1079999991</v>
      </c>
      <c r="DN101">
        <v>394864.261</v>
      </c>
      <c r="DO101">
        <v>1.0999999999999999E-2</v>
      </c>
      <c r="DQ101">
        <v>-8533974.1079999991</v>
      </c>
      <c r="DR101">
        <v>394864.261</v>
      </c>
      <c r="DS101">
        <v>1.0999999999999999E-2</v>
      </c>
      <c r="DU101" s="73">
        <v>-8535844.4460000005</v>
      </c>
      <c r="DV101">
        <v>399275.34299999999</v>
      </c>
      <c r="DW101" s="74">
        <v>77.599000000000004</v>
      </c>
      <c r="FA101">
        <v>-8532370.2420000006</v>
      </c>
      <c r="FB101">
        <v>397996.424</v>
      </c>
      <c r="FC101">
        <v>5.7000000000000002E-2</v>
      </c>
      <c r="FM101">
        <v>-8530383.5299999993</v>
      </c>
      <c r="FN101">
        <v>396514.696</v>
      </c>
      <c r="FO101">
        <v>88.488</v>
      </c>
      <c r="FY101">
        <v>-8531907.6870000008</v>
      </c>
      <c r="FZ101">
        <v>397774.16899999999</v>
      </c>
      <c r="GA101">
        <v>8.8999999999999996E-2</v>
      </c>
    </row>
    <row r="102" spans="63:183" x14ac:dyDescent="0.3">
      <c r="BQ102" s="73">
        <v>-8532706.9710000008</v>
      </c>
      <c r="BR102">
        <v>394619.70299999998</v>
      </c>
      <c r="BS102" s="74">
        <v>1.4999999999999999E-2</v>
      </c>
      <c r="BY102" s="73">
        <v>-8532719.9560000002</v>
      </c>
      <c r="BZ102">
        <v>392075.12300000002</v>
      </c>
      <c r="CA102" s="74">
        <v>7.2999999999999995E-2</v>
      </c>
      <c r="CC102" s="73">
        <v>-8532719.9560000002</v>
      </c>
      <c r="CD102">
        <v>392075.12300000002</v>
      </c>
      <c r="CE102" s="74"/>
      <c r="CS102" s="73">
        <v>-8536001.534</v>
      </c>
      <c r="CT102">
        <v>399270.75699999998</v>
      </c>
      <c r="CU102" s="74">
        <v>157.154</v>
      </c>
      <c r="CW102" s="73">
        <v>-8536001.534</v>
      </c>
      <c r="CX102">
        <v>399270.75699999998</v>
      </c>
      <c r="CY102" s="74">
        <v>157.154</v>
      </c>
      <c r="DI102" s="73">
        <v>-8529538.8929999992</v>
      </c>
      <c r="DJ102">
        <v>396490.96</v>
      </c>
      <c r="DK102" s="74">
        <v>24.672999999999998</v>
      </c>
      <c r="DM102">
        <v>-8533969.5730000008</v>
      </c>
      <c r="DN102">
        <v>394954.96100000001</v>
      </c>
      <c r="DO102">
        <v>9.0999999999999998E-2</v>
      </c>
      <c r="DQ102">
        <v>-8533969.5730000008</v>
      </c>
      <c r="DR102">
        <v>394954.96100000001</v>
      </c>
      <c r="DS102">
        <v>9.0999999999999998E-2</v>
      </c>
      <c r="DU102" s="73">
        <v>-8536001.534</v>
      </c>
      <c r="DV102">
        <v>399270.75699999998</v>
      </c>
      <c r="DW102" s="74">
        <v>157.154</v>
      </c>
      <c r="FA102">
        <v>-8532441.6799999997</v>
      </c>
      <c r="FB102">
        <v>397978.56400000001</v>
      </c>
      <c r="FC102">
        <v>7.2999999999999995E-2</v>
      </c>
      <c r="FM102">
        <v>-8530412.5519999992</v>
      </c>
      <c r="FN102">
        <v>396620.73599999998</v>
      </c>
      <c r="FO102">
        <v>109.048</v>
      </c>
      <c r="FY102">
        <v>-8531932.1740000006</v>
      </c>
      <c r="FZ102">
        <v>397809.95699999999</v>
      </c>
      <c r="GA102">
        <v>4.2999999999999997E-2</v>
      </c>
    </row>
    <row r="103" spans="63:183" x14ac:dyDescent="0.3">
      <c r="BQ103" s="73">
        <v>-8532711.8029999994</v>
      </c>
      <c r="BR103">
        <v>394583.46399999998</v>
      </c>
      <c r="BS103" s="74">
        <v>3.6999999999999998E-2</v>
      </c>
      <c r="BY103" s="73">
        <v>-8532775.523</v>
      </c>
      <c r="BZ103">
        <v>391956.74300000002</v>
      </c>
      <c r="CA103" s="74">
        <v>0.13100000000000001</v>
      </c>
      <c r="CC103" s="73">
        <v>-8532650.1960000005</v>
      </c>
      <c r="CD103">
        <v>392077.23700000002</v>
      </c>
      <c r="CE103" s="74"/>
      <c r="CS103" s="73">
        <v>-8536015.2929999996</v>
      </c>
      <c r="CT103">
        <v>399231.77100000001</v>
      </c>
      <c r="CU103" s="74">
        <v>41.341999999999999</v>
      </c>
      <c r="CW103" s="73">
        <v>-8536015.2929999996</v>
      </c>
      <c r="CX103">
        <v>399231.77100000001</v>
      </c>
      <c r="CY103" s="74">
        <v>41.341999999999999</v>
      </c>
      <c r="DI103" s="73">
        <v>-8529479.0309999995</v>
      </c>
      <c r="DJ103">
        <v>396446.51699999999</v>
      </c>
      <c r="DK103" s="74">
        <v>74.555999999999997</v>
      </c>
      <c r="DM103">
        <v>-8533961.8640000001</v>
      </c>
      <c r="DN103">
        <v>394978.54300000001</v>
      </c>
      <c r="DO103">
        <v>2.5000000000000001E-2</v>
      </c>
      <c r="DQ103">
        <v>-8533961.8640000001</v>
      </c>
      <c r="DR103">
        <v>394978.54300000001</v>
      </c>
      <c r="DS103">
        <v>2.5000000000000001E-2</v>
      </c>
      <c r="DU103" s="73">
        <v>-8536015.2929999996</v>
      </c>
      <c r="DV103">
        <v>399231.77100000001</v>
      </c>
      <c r="DW103" s="74">
        <v>41.341999999999999</v>
      </c>
      <c r="FA103">
        <v>-8532519.0700000003</v>
      </c>
      <c r="FB103">
        <v>397933.91600000003</v>
      </c>
      <c r="FC103">
        <v>8.8999999999999996E-2</v>
      </c>
      <c r="FM103">
        <v>-8530498.8719999995</v>
      </c>
      <c r="FN103">
        <v>396646.03700000001</v>
      </c>
      <c r="FO103">
        <v>89.731999999999999</v>
      </c>
      <c r="FY103">
        <v>-8531948.1850000005</v>
      </c>
      <c r="FZ103">
        <v>397850.45500000002</v>
      </c>
      <c r="GA103">
        <v>4.2999999999999997E-2</v>
      </c>
    </row>
    <row r="104" spans="63:183" x14ac:dyDescent="0.3">
      <c r="BQ104" s="73">
        <v>-8532716.0299999993</v>
      </c>
      <c r="BR104">
        <v>394558.7</v>
      </c>
      <c r="BS104" s="74">
        <v>2.5000000000000001E-2</v>
      </c>
      <c r="BY104" s="73">
        <v>-8532798.4739999995</v>
      </c>
      <c r="BZ104">
        <v>391957.951</v>
      </c>
      <c r="CA104" s="74">
        <v>2.3E-2</v>
      </c>
      <c r="CC104" s="73">
        <v>-8532667.1079999991</v>
      </c>
      <c r="CD104">
        <v>392044.62199999997</v>
      </c>
      <c r="CE104" s="74">
        <v>3.6999999999999998E-2</v>
      </c>
      <c r="CS104" s="73">
        <v>-8535971.7210000008</v>
      </c>
      <c r="CT104">
        <v>399072.391</v>
      </c>
      <c r="CU104" s="74">
        <v>165.22900000000001</v>
      </c>
      <c r="CW104" s="73">
        <v>-8535971.7210000008</v>
      </c>
      <c r="CX104">
        <v>399072.391</v>
      </c>
      <c r="CY104" s="74">
        <v>165.22900000000001</v>
      </c>
      <c r="DI104" s="73">
        <v>-8529440.0299999993</v>
      </c>
      <c r="DJ104">
        <v>396446.51699999999</v>
      </c>
      <c r="DK104" s="74">
        <v>39.000999999999998</v>
      </c>
      <c r="DM104">
        <v>-8533945.5380000006</v>
      </c>
      <c r="DN104">
        <v>394989.42599999998</v>
      </c>
      <c r="DO104">
        <v>0.02</v>
      </c>
      <c r="DQ104">
        <v>-8533945.5380000006</v>
      </c>
      <c r="DR104">
        <v>394989.42599999998</v>
      </c>
      <c r="DS104">
        <v>0.02</v>
      </c>
      <c r="DU104" s="73">
        <v>-8535971.7210000008</v>
      </c>
      <c r="DV104">
        <v>399072.391</v>
      </c>
      <c r="DW104" s="74">
        <v>165.22900000000001</v>
      </c>
      <c r="FA104">
        <v>-8532675.3399999999</v>
      </c>
      <c r="FB104">
        <v>397913.08</v>
      </c>
      <c r="FC104">
        <v>0.157</v>
      </c>
      <c r="FM104">
        <v>-8530552.4499999993</v>
      </c>
      <c r="FN104">
        <v>396707.05699999997</v>
      </c>
      <c r="FO104">
        <v>80.742999999999995</v>
      </c>
      <c r="FY104">
        <v>-8531969.8460000008</v>
      </c>
      <c r="FZ104">
        <v>397857.989</v>
      </c>
      <c r="GA104">
        <v>2.3E-2</v>
      </c>
    </row>
    <row r="105" spans="63:183" x14ac:dyDescent="0.3">
      <c r="BQ105" s="73">
        <v>-8532742.6060000006</v>
      </c>
      <c r="BR105">
        <v>394527.29300000001</v>
      </c>
      <c r="BS105" s="74">
        <v>4.1000000000000002E-2</v>
      </c>
      <c r="BY105" s="73">
        <v>-8532851.625</v>
      </c>
      <c r="BZ105">
        <v>392046.13199999998</v>
      </c>
      <c r="CA105" s="74">
        <v>0.10299999999999999</v>
      </c>
      <c r="CC105" s="73">
        <v>-8532632.0769999996</v>
      </c>
      <c r="CD105">
        <v>391881.54700000002</v>
      </c>
      <c r="CE105" s="74">
        <v>0.16700000000000001</v>
      </c>
      <c r="CS105" s="73">
        <v>-8535923.5629999992</v>
      </c>
      <c r="CT105">
        <v>399023.08600000001</v>
      </c>
      <c r="CU105" s="74">
        <v>68.921999999999997</v>
      </c>
      <c r="CW105" s="73">
        <v>-8535923.5629999992</v>
      </c>
      <c r="CX105">
        <v>399023.08600000001</v>
      </c>
      <c r="CY105" s="74">
        <v>68.921999999999997</v>
      </c>
      <c r="DI105" s="73">
        <v>-8529413.727</v>
      </c>
      <c r="DJ105">
        <v>396488.239</v>
      </c>
      <c r="DK105" s="74">
        <v>49.320999999999998</v>
      </c>
      <c r="DM105">
        <v>-8533935.5610000007</v>
      </c>
      <c r="DN105">
        <v>394994.41499999998</v>
      </c>
      <c r="DO105">
        <v>1.0999999999999999E-2</v>
      </c>
      <c r="DQ105">
        <v>-8533935.5610000007</v>
      </c>
      <c r="DR105">
        <v>394994.41499999998</v>
      </c>
      <c r="DS105">
        <v>1.0999999999999999E-2</v>
      </c>
      <c r="DU105" s="73">
        <v>-8535923.5629999992</v>
      </c>
      <c r="DV105">
        <v>399023.08600000001</v>
      </c>
      <c r="DW105" s="74">
        <v>68.921999999999997</v>
      </c>
      <c r="FA105">
        <v>-8532742.3129999992</v>
      </c>
      <c r="FB105">
        <v>397913.08</v>
      </c>
      <c r="FC105">
        <v>6.7000000000000004E-2</v>
      </c>
      <c r="FM105">
        <v>-8530619.4230000004</v>
      </c>
      <c r="FN105">
        <v>396690.68599999999</v>
      </c>
      <c r="FO105">
        <v>68.786000000000001</v>
      </c>
      <c r="FY105">
        <v>-8532016.9360000007</v>
      </c>
      <c r="FZ105">
        <v>397835.386</v>
      </c>
      <c r="GA105">
        <v>5.1999999999999998E-2</v>
      </c>
    </row>
    <row r="106" spans="63:183" x14ac:dyDescent="0.3">
      <c r="BQ106" s="73">
        <v>-8532775.2210000008</v>
      </c>
      <c r="BR106">
        <v>394500.71799999999</v>
      </c>
      <c r="BS106" s="74">
        <v>4.2000000000000003E-2</v>
      </c>
      <c r="BY106" s="73">
        <v>-8532902.3589999992</v>
      </c>
      <c r="BZ106">
        <v>392071.5</v>
      </c>
      <c r="CA106" s="74">
        <v>5.7000000000000002E-2</v>
      </c>
      <c r="CC106" s="73">
        <v>-8532598.2540000007</v>
      </c>
      <c r="CD106">
        <v>391761.95799999998</v>
      </c>
      <c r="CE106" s="74">
        <v>0.124</v>
      </c>
      <c r="CS106" s="73">
        <v>-8535871.9649999999</v>
      </c>
      <c r="CT106">
        <v>398993.27399999998</v>
      </c>
      <c r="CU106" s="74">
        <v>59.591000000000001</v>
      </c>
      <c r="CW106" s="73">
        <v>-8535871.9649999999</v>
      </c>
      <c r="CX106">
        <v>398993.27399999998</v>
      </c>
      <c r="CY106" s="74">
        <v>59.591000000000001</v>
      </c>
      <c r="DI106" s="73">
        <v>-8529330.2829999998</v>
      </c>
      <c r="DJ106">
        <v>396481.89</v>
      </c>
      <c r="DK106" s="74">
        <v>83.685000000000002</v>
      </c>
      <c r="DM106">
        <v>-8533871.1640000008</v>
      </c>
      <c r="DN106">
        <v>394991.69400000002</v>
      </c>
      <c r="DO106">
        <v>6.4000000000000001E-2</v>
      </c>
      <c r="DQ106">
        <v>-8533871.1640000008</v>
      </c>
      <c r="DR106">
        <v>394991.69400000002</v>
      </c>
      <c r="DS106">
        <v>6.4000000000000001E-2</v>
      </c>
      <c r="DU106" s="73">
        <v>-8535871.9649999999</v>
      </c>
      <c r="DV106">
        <v>398993.27399999998</v>
      </c>
      <c r="DW106" s="74">
        <v>59.591000000000001</v>
      </c>
      <c r="FA106">
        <v>-8532749.7540000007</v>
      </c>
      <c r="FB106">
        <v>397936.89199999999</v>
      </c>
      <c r="FC106">
        <v>2.5000000000000001E-2</v>
      </c>
      <c r="FM106">
        <v>-8530622.3990000002</v>
      </c>
      <c r="FN106">
        <v>396726.40399999998</v>
      </c>
      <c r="FO106">
        <v>35.536999999999999</v>
      </c>
      <c r="FY106">
        <v>-8532060.2589999996</v>
      </c>
      <c r="FZ106">
        <v>397825.02600000001</v>
      </c>
      <c r="GA106">
        <v>4.3999999999999997E-2</v>
      </c>
    </row>
    <row r="107" spans="63:183" x14ac:dyDescent="0.3">
      <c r="BQ107" s="73">
        <v>-8532836.2229999993</v>
      </c>
      <c r="BR107">
        <v>394474.14299999998</v>
      </c>
      <c r="BS107" s="74">
        <v>6.7000000000000004E-2</v>
      </c>
      <c r="BY107" s="73">
        <v>-8532954.3019999992</v>
      </c>
      <c r="BZ107">
        <v>392066.66800000001</v>
      </c>
      <c r="CA107" s="74">
        <v>5.1999999999999998E-2</v>
      </c>
      <c r="CC107" s="73">
        <v>-8532616.3729999997</v>
      </c>
      <c r="CD107">
        <v>391703.97600000002</v>
      </c>
      <c r="CE107" s="74">
        <v>6.0999999999999999E-2</v>
      </c>
      <c r="CS107" s="73">
        <v>-8535866.2320000008</v>
      </c>
      <c r="CT107">
        <v>398958.875</v>
      </c>
      <c r="CU107" s="74">
        <v>34.872999999999998</v>
      </c>
      <c r="CW107" s="73">
        <v>-8535866.2320000008</v>
      </c>
      <c r="CX107">
        <v>398958.875</v>
      </c>
      <c r="CY107" s="74">
        <v>34.872999999999998</v>
      </c>
      <c r="DI107" s="73">
        <v>-8529267.7009999994</v>
      </c>
      <c r="DJ107">
        <v>396547.19400000002</v>
      </c>
      <c r="DK107" s="74">
        <v>90.45</v>
      </c>
      <c r="DM107">
        <v>-8533830.8029999994</v>
      </c>
      <c r="DN107">
        <v>395009.83399999997</v>
      </c>
      <c r="DO107">
        <v>4.3999999999999997E-2</v>
      </c>
      <c r="DQ107">
        <v>-8533830.8029999994</v>
      </c>
      <c r="DR107">
        <v>395009.83399999997</v>
      </c>
      <c r="DS107">
        <v>4.3999999999999997E-2</v>
      </c>
      <c r="DU107" s="73">
        <v>-8535866.2320000008</v>
      </c>
      <c r="DV107">
        <v>398958.875</v>
      </c>
      <c r="DW107" s="74">
        <v>34.872999999999998</v>
      </c>
      <c r="FA107">
        <v>-8532728.9179999996</v>
      </c>
      <c r="FB107">
        <v>397978.56400000001</v>
      </c>
      <c r="FC107">
        <v>4.5999999999999999E-2</v>
      </c>
      <c r="FM107">
        <v>-8530588.1689999998</v>
      </c>
      <c r="FN107">
        <v>396760.63500000001</v>
      </c>
      <c r="FO107">
        <v>48.155000000000001</v>
      </c>
      <c r="FY107">
        <v>-8532145.9629999995</v>
      </c>
      <c r="FZ107">
        <v>397838.21100000001</v>
      </c>
      <c r="GA107">
        <v>8.6999999999999994E-2</v>
      </c>
    </row>
    <row r="108" spans="63:183" x14ac:dyDescent="0.3">
      <c r="BQ108" s="73">
        <v>-8532919.5730000008</v>
      </c>
      <c r="BR108">
        <v>394443.34</v>
      </c>
      <c r="BS108" s="74">
        <v>8.8999999999999996E-2</v>
      </c>
      <c r="BY108" s="73">
        <v>-8532972.4210000001</v>
      </c>
      <c r="BZ108">
        <v>392035.261</v>
      </c>
      <c r="CA108" s="74">
        <v>3.5999999999999997E-2</v>
      </c>
      <c r="CC108" s="73">
        <v>-8532656.2359999996</v>
      </c>
      <c r="CD108">
        <v>391610.96299999999</v>
      </c>
      <c r="CE108" s="74">
        <v>0.10100000000000001</v>
      </c>
      <c r="CS108" s="73">
        <v>-8535889.1640000008</v>
      </c>
      <c r="CT108">
        <v>398937.08899999998</v>
      </c>
      <c r="CU108" s="74">
        <v>31.631</v>
      </c>
      <c r="CW108" s="73">
        <v>-8535889.1640000008</v>
      </c>
      <c r="CX108">
        <v>398937.08899999998</v>
      </c>
      <c r="CY108" s="74">
        <v>31.631</v>
      </c>
      <c r="DI108" s="73">
        <v>-8529230.5140000004</v>
      </c>
      <c r="DJ108">
        <v>396536.31</v>
      </c>
      <c r="DK108" s="74">
        <v>38.747</v>
      </c>
      <c r="DM108">
        <v>-8533818.1050000004</v>
      </c>
      <c r="DN108">
        <v>395035.23</v>
      </c>
      <c r="DO108">
        <v>2.8000000000000001E-2</v>
      </c>
      <c r="DQ108">
        <v>-8533818.1050000004</v>
      </c>
      <c r="DR108">
        <v>395035.23</v>
      </c>
      <c r="DS108">
        <v>2.8000000000000001E-2</v>
      </c>
      <c r="DU108" s="73">
        <v>-8535889.1640000008</v>
      </c>
      <c r="DV108">
        <v>398937.08899999998</v>
      </c>
      <c r="DW108" s="74">
        <v>31.631</v>
      </c>
      <c r="FA108">
        <v>-8532751.2420000006</v>
      </c>
      <c r="FB108">
        <v>398011.30699999997</v>
      </c>
      <c r="FC108">
        <v>3.9E-2</v>
      </c>
      <c r="FM108">
        <v>-8530611.9810000006</v>
      </c>
      <c r="FN108">
        <v>396812.72499999998</v>
      </c>
      <c r="FO108">
        <v>56.85</v>
      </c>
      <c r="FY108">
        <v>-8532170.2149999999</v>
      </c>
      <c r="FZ108">
        <v>397856.81199999998</v>
      </c>
      <c r="GA108">
        <v>0.03</v>
      </c>
    </row>
    <row r="109" spans="63:183" x14ac:dyDescent="0.3">
      <c r="BQ109" s="73">
        <v>-8532947.3560000006</v>
      </c>
      <c r="BR109">
        <v>394419.78399999999</v>
      </c>
      <c r="BS109" s="74">
        <v>3.5999999999999997E-2</v>
      </c>
      <c r="BY109" s="73">
        <v>-8532939.8059999999</v>
      </c>
      <c r="BZ109">
        <v>392001.43800000002</v>
      </c>
      <c r="CA109" s="74">
        <v>4.7E-2</v>
      </c>
      <c r="CC109" s="73">
        <v>-8532692.4749999996</v>
      </c>
      <c r="CD109">
        <v>391567.47600000002</v>
      </c>
      <c r="CE109" s="74">
        <v>5.7000000000000002E-2</v>
      </c>
      <c r="CS109" s="73">
        <v>-8535929.2960000001</v>
      </c>
      <c r="CT109">
        <v>398940.52899999998</v>
      </c>
      <c r="CU109" s="74">
        <v>40.279000000000003</v>
      </c>
      <c r="CW109" s="73">
        <v>-8535929.2960000001</v>
      </c>
      <c r="CX109">
        <v>398940.52899999998</v>
      </c>
      <c r="CY109" s="74">
        <v>40.279000000000003</v>
      </c>
      <c r="DI109" s="73">
        <v>-8529194.2339999992</v>
      </c>
      <c r="DJ109">
        <v>396460.12199999997</v>
      </c>
      <c r="DK109" s="74">
        <v>84.385000000000005</v>
      </c>
      <c r="DM109">
        <v>-8533789.0810000002</v>
      </c>
      <c r="DN109">
        <v>395064.25400000002</v>
      </c>
      <c r="DO109">
        <v>4.1000000000000002E-2</v>
      </c>
      <c r="DQ109">
        <v>-8533789.0810000002</v>
      </c>
      <c r="DR109">
        <v>395064.25400000002</v>
      </c>
      <c r="DS109">
        <v>4.1000000000000002E-2</v>
      </c>
      <c r="DU109" s="73">
        <v>-8535929.2960000001</v>
      </c>
      <c r="DV109">
        <v>398940.52899999998</v>
      </c>
      <c r="DW109" s="74">
        <v>40.279000000000003</v>
      </c>
      <c r="FA109">
        <v>-8532727.4299999997</v>
      </c>
      <c r="FB109">
        <v>398048.51400000002</v>
      </c>
      <c r="FC109">
        <v>4.3999999999999997E-2</v>
      </c>
      <c r="FM109">
        <v>-8530619.4230000004</v>
      </c>
      <c r="FN109">
        <v>396875.23200000002</v>
      </c>
      <c r="FO109">
        <v>62.414999999999999</v>
      </c>
      <c r="FY109">
        <v>-8532239.9079999998</v>
      </c>
      <c r="FZ109">
        <v>397914.26199999999</v>
      </c>
      <c r="GA109">
        <v>0.09</v>
      </c>
    </row>
    <row r="110" spans="63:183" ht="15" thickBot="1" x14ac:dyDescent="0.35">
      <c r="BQ110" s="73">
        <v>-8533025.2699999996</v>
      </c>
      <c r="BR110">
        <v>394387.16899999999</v>
      </c>
      <c r="BS110" s="74">
        <v>8.4000000000000005E-2</v>
      </c>
      <c r="BY110" s="75">
        <v>-8532602.784</v>
      </c>
      <c r="BZ110" s="76">
        <v>392301.01299999998</v>
      </c>
      <c r="CA110" s="77"/>
      <c r="CC110" s="73">
        <v>-8532671.9399999995</v>
      </c>
      <c r="CD110">
        <v>391423.728</v>
      </c>
      <c r="CE110" s="74">
        <v>0.14499999999999999</v>
      </c>
      <c r="CS110" s="73">
        <v>-8535983.1879999992</v>
      </c>
      <c r="CT110">
        <v>398973.78100000002</v>
      </c>
      <c r="CU110" s="74">
        <v>63.323999999999998</v>
      </c>
      <c r="CW110" s="73">
        <v>-8535983.1879999992</v>
      </c>
      <c r="CX110">
        <v>398973.78100000002</v>
      </c>
      <c r="CY110" s="74">
        <v>63.323999999999998</v>
      </c>
      <c r="DI110" s="73">
        <v>-8529125.3019999992</v>
      </c>
      <c r="DJ110">
        <v>396442.88900000002</v>
      </c>
      <c r="DK110" s="74">
        <v>71.052999999999997</v>
      </c>
      <c r="DM110">
        <v>-8533782.7320000008</v>
      </c>
      <c r="DN110">
        <v>395088.74300000002</v>
      </c>
      <c r="DO110">
        <v>2.5000000000000001E-2</v>
      </c>
      <c r="DQ110">
        <v>-8533782.7320000008</v>
      </c>
      <c r="DR110">
        <v>395088.74300000002</v>
      </c>
      <c r="DS110">
        <v>2.5000000000000001E-2</v>
      </c>
      <c r="DU110" s="73">
        <v>-8535983.1879999992</v>
      </c>
      <c r="DV110">
        <v>398973.78100000002</v>
      </c>
      <c r="DW110" s="74">
        <v>63.323999999999998</v>
      </c>
      <c r="FA110">
        <v>-8532846.4920000006</v>
      </c>
      <c r="FB110">
        <v>398067.86099999998</v>
      </c>
      <c r="FC110">
        <v>0.12</v>
      </c>
      <c r="FM110">
        <v>-8530689.3719999995</v>
      </c>
      <c r="FN110">
        <v>396890.11499999999</v>
      </c>
      <c r="FO110">
        <v>71.356999999999999</v>
      </c>
      <c r="FY110">
        <v>-8532321.8450000007</v>
      </c>
      <c r="FZ110">
        <v>397982.54300000001</v>
      </c>
      <c r="GA110">
        <v>0.106</v>
      </c>
    </row>
    <row r="111" spans="63:183" x14ac:dyDescent="0.3">
      <c r="BQ111" s="73">
        <v>-8533062.1119999997</v>
      </c>
      <c r="BR111">
        <v>394362.70799999998</v>
      </c>
      <c r="BS111" s="74">
        <v>4.3999999999999997E-2</v>
      </c>
      <c r="CA111">
        <f>SUM(CA$3:CA110)</f>
        <v>8.4710000000000001</v>
      </c>
      <c r="CC111" s="73">
        <v>-8532636.909</v>
      </c>
      <c r="CD111">
        <v>391364.538</v>
      </c>
      <c r="CE111" s="74">
        <v>6.9000000000000006E-2</v>
      </c>
      <c r="CS111" s="73">
        <v>-8536062.3049999997</v>
      </c>
      <c r="CT111">
        <v>398956.58199999999</v>
      </c>
      <c r="CU111" s="74">
        <v>80.965000000000003</v>
      </c>
      <c r="CW111" s="73">
        <v>-8536062.3049999997</v>
      </c>
      <c r="CX111">
        <v>398956.58199999999</v>
      </c>
      <c r="CY111" s="74">
        <v>80.965000000000003</v>
      </c>
      <c r="DI111" s="73">
        <v>-8529005.5779999997</v>
      </c>
      <c r="DJ111">
        <v>396432.005</v>
      </c>
      <c r="DK111" s="74">
        <v>120.217</v>
      </c>
      <c r="DM111">
        <v>-8533774.1150000002</v>
      </c>
      <c r="DN111">
        <v>395097.359</v>
      </c>
      <c r="DO111">
        <v>1.2E-2</v>
      </c>
      <c r="DQ111">
        <v>-8533774.1150000002</v>
      </c>
      <c r="DR111">
        <v>395097.359</v>
      </c>
      <c r="DS111">
        <v>1.2E-2</v>
      </c>
      <c r="DU111" s="73">
        <v>-8536062.3049999997</v>
      </c>
      <c r="DV111">
        <v>398956.58199999999</v>
      </c>
      <c r="DW111" s="74">
        <v>80.965000000000003</v>
      </c>
      <c r="FA111">
        <v>-8532911.977</v>
      </c>
      <c r="FB111">
        <v>398088.69699999999</v>
      </c>
      <c r="FC111">
        <v>6.9000000000000006E-2</v>
      </c>
      <c r="FM111">
        <v>-8530745.9269999992</v>
      </c>
      <c r="FN111">
        <v>396930.299</v>
      </c>
      <c r="FO111">
        <v>69.088999999999999</v>
      </c>
      <c r="FY111">
        <v>-8532380.2369999997</v>
      </c>
      <c r="FZ111">
        <v>397990.07699999999</v>
      </c>
      <c r="GA111">
        <v>5.8999999999999997E-2</v>
      </c>
    </row>
    <row r="112" spans="63:183" x14ac:dyDescent="0.3">
      <c r="BQ112" s="73">
        <v>-8533097.1429999992</v>
      </c>
      <c r="BR112">
        <v>394337.34100000001</v>
      </c>
      <c r="BS112" s="74">
        <v>4.2999999999999997E-2</v>
      </c>
      <c r="CC112" s="73">
        <v>-8532601.8780000005</v>
      </c>
      <c r="CD112">
        <v>391286.02</v>
      </c>
      <c r="CE112" s="74">
        <v>8.5999999999999993E-2</v>
      </c>
      <c r="CS112" s="73">
        <v>-8536097.8499999996</v>
      </c>
      <c r="CT112">
        <v>398956.58199999999</v>
      </c>
      <c r="CU112" s="74">
        <v>35.545000000000002</v>
      </c>
      <c r="CW112" s="73">
        <v>-8536097.8499999996</v>
      </c>
      <c r="CX112">
        <v>398956.58199999999</v>
      </c>
      <c r="CY112" s="74">
        <v>35.545000000000002</v>
      </c>
      <c r="DI112" s="73">
        <v>-8528920.3210000005</v>
      </c>
      <c r="DJ112">
        <v>396352.19</v>
      </c>
      <c r="DK112" s="74">
        <v>116.788</v>
      </c>
      <c r="DM112">
        <v>-8533761.8709999993</v>
      </c>
      <c r="DN112">
        <v>395098.266</v>
      </c>
      <c r="DO112">
        <v>1.2E-2</v>
      </c>
      <c r="DQ112">
        <v>-8533761.8709999993</v>
      </c>
      <c r="DR112">
        <v>395098.266</v>
      </c>
      <c r="DS112">
        <v>1.2E-2</v>
      </c>
      <c r="DU112" s="73">
        <v>-8536097.8499999996</v>
      </c>
      <c r="DV112">
        <v>398956.58199999999</v>
      </c>
      <c r="DW112" s="74">
        <v>35.545000000000002</v>
      </c>
      <c r="FA112">
        <v>-8532894.1170000006</v>
      </c>
      <c r="FB112">
        <v>398207.76</v>
      </c>
      <c r="FC112">
        <v>0.11899999999999999</v>
      </c>
      <c r="FM112">
        <v>-8530856.0590000004</v>
      </c>
      <c r="FN112">
        <v>396977.924</v>
      </c>
      <c r="FO112">
        <v>119.633</v>
      </c>
      <c r="FY112">
        <v>-8532443.3379999995</v>
      </c>
      <c r="FZ112">
        <v>397975.95</v>
      </c>
      <c r="GA112">
        <v>6.5000000000000002E-2</v>
      </c>
    </row>
    <row r="113" spans="69:183" ht="15" thickBot="1" x14ac:dyDescent="0.35">
      <c r="BQ113" s="73">
        <v>-8533151.5020000003</v>
      </c>
      <c r="BR113">
        <v>394299.89399999997</v>
      </c>
      <c r="BS113" s="74">
        <v>6.6000000000000003E-2</v>
      </c>
      <c r="CC113" s="73">
        <v>-8532479.8729999997</v>
      </c>
      <c r="CD113">
        <v>391165.223</v>
      </c>
      <c r="CE113" s="74">
        <v>0.17199999999999999</v>
      </c>
      <c r="CS113" s="75">
        <v>-8536496.875</v>
      </c>
      <c r="CT113" s="76">
        <v>398840.77299999999</v>
      </c>
      <c r="CU113" s="77"/>
      <c r="CW113" s="73">
        <v>-8536206.7789999992</v>
      </c>
      <c r="CX113">
        <v>399002.44699999999</v>
      </c>
      <c r="CY113" s="74">
        <v>118.191</v>
      </c>
      <c r="DI113" s="73">
        <v>-8528789.7129999995</v>
      </c>
      <c r="DJ113">
        <v>396295.95600000001</v>
      </c>
      <c r="DK113" s="74">
        <v>142.19900000000001</v>
      </c>
      <c r="DM113">
        <v>-8533722.8699999992</v>
      </c>
      <c r="DN113">
        <v>395100.53399999999</v>
      </c>
      <c r="DO113">
        <v>3.9E-2</v>
      </c>
      <c r="DQ113">
        <v>-8533722.8699999992</v>
      </c>
      <c r="DR113">
        <v>395100.53399999999</v>
      </c>
      <c r="DS113">
        <v>3.9E-2</v>
      </c>
      <c r="DU113" s="73">
        <v>-8536206.7789999992</v>
      </c>
      <c r="DV113">
        <v>399002.44699999999</v>
      </c>
      <c r="DW113" s="74">
        <v>118.191</v>
      </c>
      <c r="FA113">
        <v>-8532836.0739999991</v>
      </c>
      <c r="FB113">
        <v>398183.94699999999</v>
      </c>
      <c r="FC113">
        <v>6.3E-2</v>
      </c>
      <c r="FM113">
        <v>-8530933.4499999993</v>
      </c>
      <c r="FN113">
        <v>397052.33799999999</v>
      </c>
      <c r="FO113">
        <v>106.81399999999999</v>
      </c>
      <c r="FY113">
        <v>-8532490.4279999994</v>
      </c>
      <c r="FZ113">
        <v>397946.75400000002</v>
      </c>
      <c r="GA113">
        <v>5.5E-2</v>
      </c>
    </row>
    <row r="114" spans="69:183" x14ac:dyDescent="0.3">
      <c r="BQ114" s="73">
        <v>-8533166.2990000006</v>
      </c>
      <c r="BR114">
        <v>394289.022</v>
      </c>
      <c r="BS114" s="74">
        <v>1.7999999999999999E-2</v>
      </c>
      <c r="CC114" s="73">
        <v>-8532473.8330000006</v>
      </c>
      <c r="CD114">
        <v>391064.962</v>
      </c>
      <c r="CE114" s="74">
        <v>0.1</v>
      </c>
      <c r="CU114">
        <f>SUM(CU$3:CU113)/1000</f>
        <v>7.6033179999999998</v>
      </c>
      <c r="CW114" s="73">
        <v>-8536256.0840000007</v>
      </c>
      <c r="CX114">
        <v>398994.42</v>
      </c>
      <c r="CY114" s="74">
        <v>49.954000000000001</v>
      </c>
      <c r="DI114" s="73">
        <v>-8528776.1079999991</v>
      </c>
      <c r="DJ114">
        <v>396207.97700000001</v>
      </c>
      <c r="DK114" s="74">
        <v>89.024000000000001</v>
      </c>
      <c r="DM114">
        <v>-8533690.898</v>
      </c>
      <c r="DN114">
        <v>395097.58600000001</v>
      </c>
      <c r="DO114">
        <v>3.2000000000000001E-2</v>
      </c>
      <c r="DQ114">
        <v>-8533690.898</v>
      </c>
      <c r="DR114">
        <v>395097.58600000001</v>
      </c>
      <c r="DS114">
        <v>3.2000000000000001E-2</v>
      </c>
      <c r="DU114" s="73">
        <v>-8536256.0840000007</v>
      </c>
      <c r="DV114">
        <v>398994.42</v>
      </c>
      <c r="DW114" s="74">
        <v>49.954000000000001</v>
      </c>
      <c r="FA114">
        <v>-8528771.1600000001</v>
      </c>
      <c r="FB114">
        <v>395449.04399999999</v>
      </c>
      <c r="FM114">
        <v>-8531064.4189999998</v>
      </c>
      <c r="FN114">
        <v>397028.52500000002</v>
      </c>
      <c r="FO114">
        <v>132.83199999999999</v>
      </c>
      <c r="FY114">
        <v>-8532678.7880000006</v>
      </c>
      <c r="FZ114">
        <v>397910.02399999998</v>
      </c>
      <c r="GA114">
        <v>0.191</v>
      </c>
    </row>
    <row r="115" spans="69:183" ht="15" thickBot="1" x14ac:dyDescent="0.35">
      <c r="BQ115" s="73">
        <v>-8533212.2019999996</v>
      </c>
      <c r="BR115">
        <v>394263.95699999999</v>
      </c>
      <c r="BS115" s="74">
        <v>5.1999999999999998E-2</v>
      </c>
      <c r="CC115" s="73">
        <v>-8532475.0409999993</v>
      </c>
      <c r="CD115">
        <v>390962.28499999997</v>
      </c>
      <c r="CE115" s="74">
        <v>0.10299999999999999</v>
      </c>
      <c r="CW115" s="73">
        <v>-8536320.2949999999</v>
      </c>
      <c r="CX115">
        <v>398915.30300000001</v>
      </c>
      <c r="CY115" s="74">
        <v>101.895</v>
      </c>
      <c r="DI115" s="73">
        <v>-8528768.852</v>
      </c>
      <c r="DJ115">
        <v>396183.48800000001</v>
      </c>
      <c r="DK115" s="74">
        <v>25.541</v>
      </c>
      <c r="DM115">
        <v>-8533671.1710000001</v>
      </c>
      <c r="DN115">
        <v>395102.348</v>
      </c>
      <c r="DO115">
        <v>0.02</v>
      </c>
      <c r="DQ115">
        <v>-8533671.1710000001</v>
      </c>
      <c r="DR115">
        <v>395102.348</v>
      </c>
      <c r="DS115">
        <v>0.02</v>
      </c>
      <c r="DU115" s="73">
        <v>-8536320.2949999999</v>
      </c>
      <c r="DV115">
        <v>398915.30300000001</v>
      </c>
      <c r="DW115" s="74">
        <v>101.895</v>
      </c>
      <c r="FC115" s="77">
        <f>SUM(FC$3:FC114)</f>
        <v>6.9730000000000016</v>
      </c>
      <c r="FM115">
        <v>-8531177.5280000009</v>
      </c>
      <c r="FN115">
        <v>397108.89299999998</v>
      </c>
      <c r="FO115">
        <v>138.178</v>
      </c>
      <c r="FY115">
        <v>-8532744.7149999999</v>
      </c>
      <c r="FZ115">
        <v>397919.44199999998</v>
      </c>
      <c r="GA115">
        <v>6.6000000000000003E-2</v>
      </c>
    </row>
    <row r="116" spans="69:183" x14ac:dyDescent="0.3">
      <c r="BQ116" s="73">
        <v>-8533238.1730000004</v>
      </c>
      <c r="BR116">
        <v>394239.79800000001</v>
      </c>
      <c r="BS116" s="74">
        <v>3.5000000000000003E-2</v>
      </c>
      <c r="CC116" s="73">
        <v>-8532447.2579999994</v>
      </c>
      <c r="CD116">
        <v>390696.533</v>
      </c>
      <c r="CE116" s="74">
        <v>0.26700000000000002</v>
      </c>
      <c r="CW116" s="73">
        <v>-8536299.6559999995</v>
      </c>
      <c r="CX116">
        <v>398743.31</v>
      </c>
      <c r="CY116" s="74">
        <v>173.227</v>
      </c>
      <c r="DI116" s="73">
        <v>-8528720.7809999995</v>
      </c>
      <c r="DJ116">
        <v>396162.62699999998</v>
      </c>
      <c r="DK116" s="74">
        <v>52.402000000000001</v>
      </c>
      <c r="DM116">
        <v>-8533622.193</v>
      </c>
      <c r="DN116">
        <v>395145.43</v>
      </c>
      <c r="DO116">
        <v>6.5000000000000002E-2</v>
      </c>
      <c r="DQ116">
        <v>-8533622.193</v>
      </c>
      <c r="DR116">
        <v>395145.43</v>
      </c>
      <c r="DS116">
        <v>6.5000000000000002E-2</v>
      </c>
      <c r="DU116" s="73">
        <v>-8536299.6559999995</v>
      </c>
      <c r="DV116">
        <v>398743.31</v>
      </c>
      <c r="DW116" s="74">
        <v>173.227</v>
      </c>
      <c r="FM116">
        <v>-8531237.0590000004</v>
      </c>
      <c r="FN116">
        <v>397120.799</v>
      </c>
      <c r="FO116">
        <v>60.578000000000003</v>
      </c>
      <c r="FY116">
        <v>-8532709.3969999999</v>
      </c>
      <c r="FZ116">
        <v>398028.22</v>
      </c>
      <c r="GA116">
        <v>0.113</v>
      </c>
    </row>
    <row r="117" spans="69:183" ht="15" thickBot="1" x14ac:dyDescent="0.35">
      <c r="BQ117" s="75">
        <v>-8533095.9360000007</v>
      </c>
      <c r="BR117" s="76">
        <v>394251.27299999999</v>
      </c>
      <c r="BS117" s="77"/>
      <c r="CC117" s="75">
        <v>-8532950.9800000004</v>
      </c>
      <c r="CD117" s="76">
        <v>391017.85200000001</v>
      </c>
      <c r="CE117" s="77"/>
      <c r="CW117" s="73">
        <v>-8536551.9130000006</v>
      </c>
      <c r="CX117">
        <v>398549.53</v>
      </c>
      <c r="CY117" s="74">
        <v>318.09500000000003</v>
      </c>
      <c r="DI117" s="73">
        <v>-8528707.1760000009</v>
      </c>
      <c r="DJ117">
        <v>396145.39399999997</v>
      </c>
      <c r="DK117" s="74">
        <v>21.956</v>
      </c>
      <c r="DM117">
        <v>-8533614.9370000008</v>
      </c>
      <c r="DN117">
        <v>395129.10399999999</v>
      </c>
      <c r="DQ117">
        <v>-8533565.7329999991</v>
      </c>
      <c r="DR117">
        <v>395179.89600000001</v>
      </c>
      <c r="DS117">
        <v>6.6000000000000003E-2</v>
      </c>
      <c r="DU117" s="73">
        <v>-8536551.9130000006</v>
      </c>
      <c r="DV117">
        <v>398549.53</v>
      </c>
      <c r="DW117" s="74">
        <v>318.09500000000003</v>
      </c>
      <c r="FM117">
        <v>-8531362.0749999993</v>
      </c>
      <c r="FN117">
        <v>397272.60399999999</v>
      </c>
      <c r="FO117">
        <v>195.499</v>
      </c>
      <c r="FY117">
        <v>-8532725.4079999998</v>
      </c>
      <c r="FZ117">
        <v>398083.78700000001</v>
      </c>
      <c r="GA117">
        <v>5.7000000000000002E-2</v>
      </c>
    </row>
    <row r="118" spans="69:183" x14ac:dyDescent="0.3">
      <c r="BS118">
        <f>SUM(BS$3:BS117)</f>
        <v>6.7240000000000002</v>
      </c>
      <c r="CE118">
        <f>SUM(CE$3:CE117)</f>
        <v>9.4380000000000024</v>
      </c>
      <c r="CW118" s="73">
        <v>-8536569.1119999997</v>
      </c>
      <c r="CX118">
        <v>398499.07900000003</v>
      </c>
      <c r="CY118" s="74">
        <v>53.302999999999997</v>
      </c>
      <c r="DI118" s="73">
        <v>-8528633.7100000009</v>
      </c>
      <c r="DJ118">
        <v>396119.99800000002</v>
      </c>
      <c r="DK118" s="74">
        <v>77.731999999999999</v>
      </c>
      <c r="DO118">
        <f>DO97-SUM(DO98:DO117)</f>
        <v>5.4639999999999986</v>
      </c>
      <c r="DQ118">
        <v>-8533519.2489999998</v>
      </c>
      <c r="DR118">
        <v>395193.728</v>
      </c>
      <c r="DS118">
        <v>4.8000000000000001E-2</v>
      </c>
      <c r="DU118" s="73">
        <v>-8536569.1119999997</v>
      </c>
      <c r="DV118">
        <v>398499.07900000003</v>
      </c>
      <c r="DW118" s="74">
        <v>53.302999999999997</v>
      </c>
      <c r="FM118">
        <v>-8531439.466</v>
      </c>
      <c r="FN118">
        <v>397364.87699999998</v>
      </c>
      <c r="FO118">
        <v>119.73</v>
      </c>
      <c r="FY118">
        <v>-8532833.7149999999</v>
      </c>
      <c r="FZ118">
        <v>398096.03</v>
      </c>
      <c r="GA118">
        <v>0.109</v>
      </c>
    </row>
    <row r="119" spans="69:183" x14ac:dyDescent="0.3">
      <c r="CW119" s="73">
        <v>-8536688.3609999996</v>
      </c>
      <c r="CX119">
        <v>398382.12300000002</v>
      </c>
      <c r="CY119" s="74">
        <v>167.03</v>
      </c>
      <c r="DI119" s="73">
        <v>-8528627.3609999996</v>
      </c>
      <c r="DJ119">
        <v>396093.69500000001</v>
      </c>
      <c r="DK119" s="74">
        <v>27.058</v>
      </c>
      <c r="DQ119">
        <v>-8533499.9759999998</v>
      </c>
      <c r="DR119">
        <v>395206.87900000002</v>
      </c>
      <c r="DS119">
        <v>2.3E-2</v>
      </c>
      <c r="DU119" s="73">
        <v>-8536688.3609999996</v>
      </c>
      <c r="DV119">
        <v>398382.12300000002</v>
      </c>
      <c r="DW119" s="74">
        <v>167.03</v>
      </c>
      <c r="FM119">
        <v>-8531463.2780000009</v>
      </c>
      <c r="FN119">
        <v>397422.92</v>
      </c>
      <c r="FO119">
        <v>62.26</v>
      </c>
      <c r="FY119">
        <v>-8532828.0639999993</v>
      </c>
      <c r="FZ119">
        <v>398133.70199999999</v>
      </c>
      <c r="GA119">
        <v>3.7999999999999999E-2</v>
      </c>
    </row>
    <row r="120" spans="69:183" x14ac:dyDescent="0.3">
      <c r="CW120" s="73">
        <v>-8536777.7980000004</v>
      </c>
      <c r="CX120">
        <v>398259.435</v>
      </c>
      <c r="CY120" s="74">
        <v>151.827</v>
      </c>
      <c r="DI120" s="73">
        <v>-8528640.0590000004</v>
      </c>
      <c r="DJ120">
        <v>396060.136</v>
      </c>
      <c r="DK120" s="74">
        <v>35.881</v>
      </c>
      <c r="DQ120">
        <v>-8533462.7890000008</v>
      </c>
      <c r="DR120">
        <v>395242.70500000002</v>
      </c>
      <c r="DS120">
        <v>5.1999999999999998E-2</v>
      </c>
      <c r="DU120" s="73">
        <v>-8536777.7980000004</v>
      </c>
      <c r="DV120">
        <v>398259.435</v>
      </c>
      <c r="DW120" s="74">
        <v>151.827</v>
      </c>
      <c r="FM120">
        <v>-8531494.5319999997</v>
      </c>
      <c r="FN120">
        <v>397480.96299999999</v>
      </c>
      <c r="FO120">
        <v>65.456000000000003</v>
      </c>
      <c r="FY120">
        <v>-8532432.5069999993</v>
      </c>
      <c r="FZ120">
        <v>397935.924</v>
      </c>
    </row>
    <row r="121" spans="69:183" x14ac:dyDescent="0.3">
      <c r="CW121" s="73">
        <v>-8536870.6740000006</v>
      </c>
      <c r="CX121">
        <v>398275.48700000002</v>
      </c>
      <c r="CY121" s="74">
        <v>94.254000000000005</v>
      </c>
      <c r="DI121" s="73">
        <v>-8528619.1980000008</v>
      </c>
      <c r="DJ121">
        <v>396041.99699999997</v>
      </c>
      <c r="DK121" s="74">
        <v>27.645</v>
      </c>
      <c r="DQ121">
        <v>-8533446.0089999996</v>
      </c>
      <c r="DR121">
        <v>395245.42599999998</v>
      </c>
      <c r="DS121">
        <v>1.7000000000000001E-2</v>
      </c>
      <c r="DU121" s="73">
        <v>-8536870.6740000006</v>
      </c>
      <c r="DV121">
        <v>398275.48700000002</v>
      </c>
      <c r="DW121" s="74">
        <v>94.254000000000005</v>
      </c>
      <c r="FM121">
        <v>-8531652.2899999991</v>
      </c>
      <c r="FN121">
        <v>397570.26</v>
      </c>
      <c r="FO121">
        <v>180.636</v>
      </c>
      <c r="GA121">
        <f>SUM(GA3:GA119)</f>
        <v>5.3780000000000001</v>
      </c>
    </row>
    <row r="122" spans="69:183" x14ac:dyDescent="0.3">
      <c r="CW122" s="73">
        <v>-8537004.8289999999</v>
      </c>
      <c r="CX122">
        <v>398199.81</v>
      </c>
      <c r="CY122" s="74">
        <v>154.02799999999999</v>
      </c>
      <c r="DI122" s="73">
        <v>-8528556.6150000002</v>
      </c>
      <c r="DJ122">
        <v>396031.11300000001</v>
      </c>
      <c r="DK122" s="74">
        <v>63.521999999999998</v>
      </c>
      <c r="DQ122">
        <v>-8533398.8450000007</v>
      </c>
      <c r="DR122">
        <v>395224.565</v>
      </c>
      <c r="DS122">
        <v>5.1999999999999998E-2</v>
      </c>
      <c r="DU122" s="73">
        <v>-8537004.8289999999</v>
      </c>
      <c r="DV122">
        <v>398199.81</v>
      </c>
      <c r="DW122" s="74">
        <v>154.02799999999999</v>
      </c>
      <c r="FM122">
        <v>-8531658.2430000007</v>
      </c>
      <c r="FN122">
        <v>397662.533</v>
      </c>
      <c r="FO122">
        <v>91.674000000000007</v>
      </c>
    </row>
    <row r="123" spans="69:183" x14ac:dyDescent="0.3">
      <c r="CW123" s="73">
        <v>-8537078.2129999995</v>
      </c>
      <c r="CX123">
        <v>398186.05099999998</v>
      </c>
      <c r="CY123" s="74">
        <v>74.662999999999997</v>
      </c>
      <c r="DI123" s="73">
        <v>-8528482.2410000004</v>
      </c>
      <c r="DJ123">
        <v>395980.321</v>
      </c>
      <c r="DK123" s="74">
        <v>90.063000000000002</v>
      </c>
      <c r="DQ123">
        <v>-8533381.159</v>
      </c>
      <c r="DR123">
        <v>395228.19300000003</v>
      </c>
      <c r="DS123">
        <v>1.7999999999999999E-2</v>
      </c>
      <c r="DU123" s="73">
        <v>-8537078.2129999995</v>
      </c>
      <c r="DV123">
        <v>398186.05099999998</v>
      </c>
      <c r="DW123" s="74">
        <v>74.662999999999997</v>
      </c>
      <c r="FM123">
        <v>-8531690.9849999994</v>
      </c>
      <c r="FN123">
        <v>397680.39299999998</v>
      </c>
      <c r="FO123">
        <v>37.167999999999999</v>
      </c>
    </row>
    <row r="124" spans="69:183" x14ac:dyDescent="0.3">
      <c r="CW124" s="73">
        <v>-8537093.1190000009</v>
      </c>
      <c r="CX124">
        <v>398132.15899999999</v>
      </c>
      <c r="CY124" s="74">
        <v>55.914999999999999</v>
      </c>
      <c r="DI124" s="73">
        <v>-8528478.6129999999</v>
      </c>
      <c r="DJ124">
        <v>395956.739</v>
      </c>
      <c r="DK124" s="74">
        <v>23.859000000000002</v>
      </c>
      <c r="DQ124">
        <v>-8533313.5879999995</v>
      </c>
      <c r="DR124">
        <v>395311.18400000001</v>
      </c>
      <c r="DS124">
        <v>0.107</v>
      </c>
      <c r="DU124" s="73">
        <v>-8537093.1190000009</v>
      </c>
      <c r="DV124">
        <v>398132.15899999999</v>
      </c>
      <c r="DW124" s="74">
        <v>55.914999999999999</v>
      </c>
      <c r="FM124">
        <v>-8531759.4460000005</v>
      </c>
      <c r="FN124">
        <v>397647.65</v>
      </c>
      <c r="FO124">
        <v>75.647999999999996</v>
      </c>
    </row>
    <row r="125" spans="69:183" x14ac:dyDescent="0.3">
      <c r="CW125" s="73">
        <v>-8537106.8790000007</v>
      </c>
      <c r="CX125">
        <v>398061.06900000002</v>
      </c>
      <c r="CY125" s="74">
        <v>72.41</v>
      </c>
      <c r="DI125" s="73">
        <v>-8528492.2180000003</v>
      </c>
      <c r="DJ125">
        <v>395937.69199999998</v>
      </c>
      <c r="DK125" s="74">
        <v>23.407</v>
      </c>
      <c r="DQ125">
        <v>-8533234.2249999996</v>
      </c>
      <c r="DR125">
        <v>395372.40600000002</v>
      </c>
      <c r="DS125">
        <v>0.1</v>
      </c>
      <c r="DU125" s="73">
        <v>-8537106.8790000007</v>
      </c>
      <c r="DV125">
        <v>398061.06900000002</v>
      </c>
      <c r="DW125" s="74">
        <v>72.41</v>
      </c>
      <c r="FM125">
        <v>-8531777.3059999999</v>
      </c>
      <c r="FN125">
        <v>397683.36900000001</v>
      </c>
      <c r="FO125">
        <v>39.645000000000003</v>
      </c>
    </row>
    <row r="126" spans="69:183" x14ac:dyDescent="0.3">
      <c r="CW126" s="73">
        <v>-8537329.3239999991</v>
      </c>
      <c r="CX126">
        <v>397921.18099999998</v>
      </c>
      <c r="CY126" s="74">
        <v>262.774</v>
      </c>
      <c r="DI126" s="73">
        <v>-8528543.0099999998</v>
      </c>
      <c r="DJ126">
        <v>395934.06400000001</v>
      </c>
      <c r="DK126" s="74">
        <v>50.920999999999999</v>
      </c>
      <c r="DQ126">
        <v>-8533238.7599999998</v>
      </c>
      <c r="DR126">
        <v>395419.11599999998</v>
      </c>
      <c r="DS126">
        <v>4.7E-2</v>
      </c>
      <c r="DU126" s="73">
        <v>-8537329.3239999991</v>
      </c>
      <c r="DV126">
        <v>397921.18099999998</v>
      </c>
      <c r="DW126" s="74">
        <v>262.774</v>
      </c>
      <c r="FM126">
        <v>-8531804.0950000007</v>
      </c>
      <c r="FN126">
        <v>397716.11099999998</v>
      </c>
      <c r="FO126">
        <v>42.055</v>
      </c>
    </row>
    <row r="127" spans="69:183" x14ac:dyDescent="0.3">
      <c r="CW127" s="73">
        <v>-8537377.4820000008</v>
      </c>
      <c r="CX127">
        <v>397819.13099999999</v>
      </c>
      <c r="CY127" s="74">
        <v>112.842</v>
      </c>
      <c r="DI127" s="73">
        <v>-8528583.8249999993</v>
      </c>
      <c r="DJ127">
        <v>395906.85399999999</v>
      </c>
      <c r="DK127" s="74">
        <v>49.052999999999997</v>
      </c>
      <c r="DQ127">
        <v>-8533233.7719999999</v>
      </c>
      <c r="DR127">
        <v>395482.15299999999</v>
      </c>
      <c r="DS127">
        <v>6.3E-2</v>
      </c>
      <c r="DU127" s="73">
        <v>-8537377.4820000008</v>
      </c>
      <c r="DV127">
        <v>397819.13099999999</v>
      </c>
      <c r="DW127" s="74">
        <v>112.842</v>
      </c>
      <c r="FM127">
        <v>-8531878.5089999996</v>
      </c>
      <c r="FN127">
        <v>397742.9</v>
      </c>
      <c r="FO127">
        <v>78.876999999999995</v>
      </c>
    </row>
    <row r="128" spans="69:183" x14ac:dyDescent="0.3">
      <c r="CW128" s="73">
        <v>-8537414.1740000006</v>
      </c>
      <c r="CX128">
        <v>397795.05200000003</v>
      </c>
      <c r="CY128" s="74">
        <v>43.887</v>
      </c>
      <c r="DI128" s="73">
        <v>-8528616.477</v>
      </c>
      <c r="DJ128">
        <v>395914.11</v>
      </c>
      <c r="DK128" s="74">
        <v>33.448</v>
      </c>
      <c r="DQ128">
        <v>-8533216.0859999992</v>
      </c>
      <c r="DR128">
        <v>395536.11900000001</v>
      </c>
      <c r="DS128">
        <v>5.7000000000000002E-2</v>
      </c>
      <c r="DU128" s="73">
        <v>-8537414.1740000006</v>
      </c>
      <c r="DV128">
        <v>397795.05200000003</v>
      </c>
      <c r="DW128" s="74">
        <v>43.887</v>
      </c>
      <c r="FM128">
        <v>-8531917.2039999999</v>
      </c>
      <c r="FN128">
        <v>397796.47899999999</v>
      </c>
      <c r="FO128">
        <v>65.674000000000007</v>
      </c>
    </row>
    <row r="129" spans="101:171" ht="15" thickBot="1" x14ac:dyDescent="0.35">
      <c r="CW129" s="75">
        <v>-8543094.5460000001</v>
      </c>
      <c r="CX129" s="76">
        <v>398024.37699999998</v>
      </c>
      <c r="CY129" s="77"/>
      <c r="DI129" s="75">
        <v>-8528855.9240000006</v>
      </c>
      <c r="DJ129" s="76">
        <v>395941.32</v>
      </c>
      <c r="DK129" s="77"/>
      <c r="DQ129">
        <v>-8533216.0859999992</v>
      </c>
      <c r="DR129">
        <v>395573.30599999998</v>
      </c>
      <c r="DS129">
        <v>3.6999999999999998E-2</v>
      </c>
      <c r="DU129" s="75">
        <v>-8543094.5460000001</v>
      </c>
      <c r="DV129" s="76">
        <v>398024.37699999998</v>
      </c>
      <c r="DW129" s="77" cm="1">
        <f t="array" aca="1" ref="DW129" ca="1">DU3:DW129</f>
        <v>0</v>
      </c>
      <c r="FM129">
        <v>-8531958.8760000002</v>
      </c>
      <c r="FN129">
        <v>397864.94</v>
      </c>
      <c r="FO129">
        <v>79.602999999999994</v>
      </c>
    </row>
    <row r="130" spans="101:171" x14ac:dyDescent="0.3">
      <c r="CY130">
        <f>SUM(CY$3:CY129)/1000</f>
        <v>9.6076130000000024</v>
      </c>
      <c r="DK130">
        <f>SUM(DK$3:DK129)/1000</f>
        <v>6.4665800000000022</v>
      </c>
      <c r="DQ130">
        <v>-8533206.5620000008</v>
      </c>
      <c r="DR130">
        <v>395601.42300000001</v>
      </c>
      <c r="DS130">
        <v>0.03</v>
      </c>
      <c r="DW130">
        <f ca="1">SUM(DW$3:DW129)/1000</f>
        <v>9.6076130000000024</v>
      </c>
      <c r="FM130">
        <v>-8532036.2670000009</v>
      </c>
      <c r="FN130">
        <v>397831.45299999998</v>
      </c>
      <c r="FO130">
        <v>84.073999999999998</v>
      </c>
    </row>
    <row r="131" spans="101:171" x14ac:dyDescent="0.3">
      <c r="DQ131">
        <v>-8533179.352</v>
      </c>
      <c r="DR131">
        <v>395634.52799999999</v>
      </c>
      <c r="DS131">
        <v>4.2999999999999997E-2</v>
      </c>
      <c r="DU131">
        <v>-8537425.9120000005</v>
      </c>
      <c r="DV131">
        <v>397795.67499999999</v>
      </c>
      <c r="FM131">
        <v>-8532153.0969999991</v>
      </c>
      <c r="FN131">
        <v>397845.592</v>
      </c>
      <c r="FO131">
        <v>117.444</v>
      </c>
    </row>
    <row r="132" spans="101:171" x14ac:dyDescent="0.3">
      <c r="DQ132">
        <v>-8533166.6539999992</v>
      </c>
      <c r="DR132">
        <v>395657.65700000001</v>
      </c>
      <c r="DS132">
        <v>2.5999999999999999E-2</v>
      </c>
      <c r="DU132">
        <v>-8537669.8949999996</v>
      </c>
      <c r="DV132">
        <v>397827.42</v>
      </c>
      <c r="DW132">
        <v>0.246</v>
      </c>
      <c r="FM132">
        <v>-8532307.1339999996</v>
      </c>
      <c r="FN132">
        <v>397967.63099999999</v>
      </c>
      <c r="FO132">
        <v>195.64</v>
      </c>
    </row>
    <row r="133" spans="101:171" x14ac:dyDescent="0.3">
      <c r="DQ133">
        <v>-8533097.0419999994</v>
      </c>
      <c r="DR133">
        <v>395726.815</v>
      </c>
      <c r="DS133">
        <v>9.8000000000000004E-2</v>
      </c>
      <c r="DU133">
        <v>-8537723.4069999997</v>
      </c>
      <c r="DV133">
        <v>397827.42</v>
      </c>
      <c r="DW133">
        <v>5.3999999999999999E-2</v>
      </c>
      <c r="FM133">
        <v>-8532364.4330000002</v>
      </c>
      <c r="FN133">
        <v>397994.42</v>
      </c>
      <c r="FO133">
        <v>63.055</v>
      </c>
    </row>
    <row r="134" spans="101:171" x14ac:dyDescent="0.3">
      <c r="DQ134">
        <v>-8533073.0069999993</v>
      </c>
      <c r="DR134">
        <v>395740.42</v>
      </c>
      <c r="DS134">
        <v>2.8000000000000001E-2</v>
      </c>
      <c r="DU134">
        <v>-8537975.5529999994</v>
      </c>
      <c r="DV134">
        <v>397671.41700000002</v>
      </c>
      <c r="DW134">
        <v>0.29699999999999999</v>
      </c>
      <c r="FM134">
        <v>-8532438.102</v>
      </c>
      <c r="FN134">
        <v>397978.79300000001</v>
      </c>
      <c r="FO134">
        <v>75.141999999999996</v>
      </c>
    </row>
    <row r="135" spans="101:171" x14ac:dyDescent="0.3">
      <c r="DQ135">
        <v>-8533055.3200000003</v>
      </c>
      <c r="DR135">
        <v>395742.68800000002</v>
      </c>
      <c r="DS135">
        <v>1.7999999999999999E-2</v>
      </c>
      <c r="DU135">
        <v>-8537989.1579999998</v>
      </c>
      <c r="DV135">
        <v>397644.20699999999</v>
      </c>
      <c r="DW135">
        <v>0.03</v>
      </c>
      <c r="FM135">
        <v>-8532545.2589999996</v>
      </c>
      <c r="FN135">
        <v>397920.75</v>
      </c>
      <c r="FO135">
        <v>121.44799999999999</v>
      </c>
    </row>
    <row r="136" spans="101:171" x14ac:dyDescent="0.3">
      <c r="DQ136">
        <v>-8533008.1559999995</v>
      </c>
      <c r="DR136">
        <v>395729.08299999998</v>
      </c>
      <c r="DS136">
        <v>4.9000000000000002E-2</v>
      </c>
      <c r="DU136">
        <v>-8538016.3670000006</v>
      </c>
      <c r="DV136">
        <v>397435.598</v>
      </c>
      <c r="DW136">
        <v>0.21</v>
      </c>
      <c r="FM136">
        <v>-8532673.2510000002</v>
      </c>
      <c r="FN136">
        <v>397913.30900000001</v>
      </c>
      <c r="FO136">
        <v>127.958</v>
      </c>
    </row>
    <row r="137" spans="101:171" x14ac:dyDescent="0.3">
      <c r="DQ137">
        <v>-8532992.5109999999</v>
      </c>
      <c r="DR137">
        <v>395726.58799999999</v>
      </c>
      <c r="DS137">
        <v>1.6E-2</v>
      </c>
      <c r="DU137">
        <v>-8538037.2280000001</v>
      </c>
      <c r="DV137">
        <v>397394.783</v>
      </c>
      <c r="DW137">
        <v>4.5999999999999999E-2</v>
      </c>
      <c r="FM137">
        <v>-8532745.0600000005</v>
      </c>
      <c r="FN137">
        <v>397912.19199999998</v>
      </c>
      <c r="FO137">
        <v>71.680000000000007</v>
      </c>
    </row>
    <row r="138" spans="101:171" x14ac:dyDescent="0.3">
      <c r="DQ138">
        <v>-8532979.3589999992</v>
      </c>
      <c r="DR138">
        <v>395736.11200000002</v>
      </c>
      <c r="DS138">
        <v>1.6E-2</v>
      </c>
      <c r="DU138">
        <v>-8538262.1640000008</v>
      </c>
      <c r="DV138">
        <v>397185.266</v>
      </c>
      <c r="DW138">
        <v>0.307</v>
      </c>
      <c r="FM138">
        <v>-8532749.1530000009</v>
      </c>
      <c r="FN138">
        <v>397928.19099999999</v>
      </c>
      <c r="FO138">
        <v>16.379000000000001</v>
      </c>
    </row>
    <row r="139" spans="101:171" x14ac:dyDescent="0.3">
      <c r="DQ139">
        <v>-8532928.1140000001</v>
      </c>
      <c r="DR139">
        <v>395840.19</v>
      </c>
      <c r="DS139">
        <v>0.11600000000000001</v>
      </c>
      <c r="DU139">
        <v>-8538431.7719999999</v>
      </c>
      <c r="DV139">
        <v>397112.70699999999</v>
      </c>
      <c r="DW139">
        <v>0.184</v>
      </c>
      <c r="FM139">
        <v>-8532736.5030000005</v>
      </c>
      <c r="FN139">
        <v>397953.49200000003</v>
      </c>
      <c r="FO139">
        <v>28.082000000000001</v>
      </c>
    </row>
    <row r="140" spans="101:171" x14ac:dyDescent="0.3">
      <c r="DQ140">
        <v>-8532914.9629999995</v>
      </c>
      <c r="DR140">
        <v>395864.22499999998</v>
      </c>
      <c r="DS140">
        <v>2.7E-2</v>
      </c>
      <c r="DU140">
        <v>-8538531.5419999994</v>
      </c>
      <c r="DV140">
        <v>397132.66100000002</v>
      </c>
      <c r="DW140">
        <v>0.10199999999999999</v>
      </c>
      <c r="FM140">
        <v>-8532733.898</v>
      </c>
      <c r="FN140">
        <v>397982.886</v>
      </c>
      <c r="FO140">
        <v>29.257000000000001</v>
      </c>
    </row>
    <row r="141" spans="101:171" x14ac:dyDescent="0.3">
      <c r="DQ141">
        <v>-8532902.2650000006</v>
      </c>
      <c r="DR141">
        <v>395868.76</v>
      </c>
      <c r="DS141">
        <v>1.2999999999999999E-2</v>
      </c>
      <c r="DU141">
        <v>-8538654.8929999992</v>
      </c>
      <c r="DV141">
        <v>397119.96299999999</v>
      </c>
      <c r="DW141">
        <v>0.124</v>
      </c>
      <c r="FM141">
        <v>-8532752.5020000003</v>
      </c>
      <c r="FN141">
        <v>398009.30300000001</v>
      </c>
      <c r="FO141">
        <v>32.103999999999999</v>
      </c>
    </row>
    <row r="142" spans="101:171" x14ac:dyDescent="0.3">
      <c r="DQ142">
        <v>-8532887.2990000006</v>
      </c>
      <c r="DR142">
        <v>395820.46299999999</v>
      </c>
      <c r="DS142">
        <v>5.0999999999999997E-2</v>
      </c>
      <c r="DU142">
        <v>-8539213.6040000003</v>
      </c>
      <c r="DV142">
        <v>396795.25799999997</v>
      </c>
      <c r="DW142">
        <v>0.64600000000000002</v>
      </c>
      <c r="FM142">
        <v>-8532732.7819999997</v>
      </c>
      <c r="FN142">
        <v>398027.53399999999</v>
      </c>
      <c r="FO142">
        <v>26.722000000000001</v>
      </c>
    </row>
    <row r="143" spans="101:171" x14ac:dyDescent="0.3">
      <c r="DQ143">
        <v>-8532878.909</v>
      </c>
      <c r="DR143">
        <v>395776.02</v>
      </c>
      <c r="DS143">
        <v>4.4999999999999998E-2</v>
      </c>
      <c r="DU143">
        <v>-8539277.0930000003</v>
      </c>
      <c r="DV143">
        <v>396737.21</v>
      </c>
      <c r="DW143">
        <v>8.5999999999999993E-2</v>
      </c>
      <c r="FM143">
        <v>-8532730.9220000003</v>
      </c>
      <c r="FN143">
        <v>398041.67300000001</v>
      </c>
      <c r="FO143">
        <v>14.14</v>
      </c>
    </row>
    <row r="144" spans="101:171" x14ac:dyDescent="0.3">
      <c r="DQ144">
        <v>-8533020.1740000006</v>
      </c>
      <c r="DR144">
        <v>395792.34600000002</v>
      </c>
      <c r="DU144">
        <v>-8539389.5610000007</v>
      </c>
      <c r="DV144">
        <v>396713.62800000003</v>
      </c>
      <c r="DW144">
        <v>0.115</v>
      </c>
      <c r="FM144">
        <v>-8532727.9450000003</v>
      </c>
      <c r="FN144">
        <v>398050.41700000002</v>
      </c>
      <c r="FO144">
        <v>9.1639999999999997</v>
      </c>
    </row>
    <row r="145" spans="123:171" x14ac:dyDescent="0.3">
      <c r="DS145">
        <f>DS97-SUM(DS98:DS144)</f>
        <v>4.2009999999999987</v>
      </c>
      <c r="DU145">
        <v>-8539520.1689999998</v>
      </c>
      <c r="DV145">
        <v>396746.28</v>
      </c>
      <c r="DW145">
        <v>0.13500000000000001</v>
      </c>
      <c r="FM145">
        <v>-8532757.7109999992</v>
      </c>
      <c r="FN145">
        <v>398049.48599999998</v>
      </c>
      <c r="FO145">
        <v>29.722000000000001</v>
      </c>
    </row>
    <row r="146" spans="123:171" x14ac:dyDescent="0.3">
      <c r="DU146">
        <v>-8538645.8230000008</v>
      </c>
      <c r="DV146">
        <v>396619.3</v>
      </c>
      <c r="DW146">
        <v>0.88400000000000001</v>
      </c>
      <c r="FM146">
        <v>-8532910.0739999991</v>
      </c>
      <c r="FN146">
        <v>398090.41399999999</v>
      </c>
      <c r="FO146">
        <v>157.38900000000001</v>
      </c>
    </row>
    <row r="147" spans="123:171" x14ac:dyDescent="0.3">
      <c r="DW147">
        <f ca="1">DW130+SUM(DW131:DW146)</f>
        <v>13.073613000000002</v>
      </c>
      <c r="FM147">
        <v>-8532892.2139999997</v>
      </c>
      <c r="FN147">
        <v>398206.5</v>
      </c>
      <c r="FO147">
        <v>116.461</v>
      </c>
    </row>
    <row r="148" spans="123:171" x14ac:dyDescent="0.3">
      <c r="FM148">
        <v>-8532826.7300000004</v>
      </c>
      <c r="FN148">
        <v>398188.641</v>
      </c>
      <c r="FO148">
        <v>67.713999999999999</v>
      </c>
    </row>
    <row r="149" spans="123:171" x14ac:dyDescent="0.3">
      <c r="FM149">
        <v>-8531219.3859999999</v>
      </c>
      <c r="FN149">
        <v>397361.15600000002</v>
      </c>
    </row>
    <row r="150" spans="123:171" ht="15" thickBot="1" x14ac:dyDescent="0.35">
      <c r="FO150" s="77">
        <f>SUM(FO$3:FO149)/1000</f>
        <v>9.826848</v>
      </c>
    </row>
  </sheetData>
  <mergeCells count="63">
    <mergeCell ref="IK1:IM1"/>
    <mergeCell ref="IO1:IQ1"/>
    <mergeCell ref="HQ1:HS1"/>
    <mergeCell ref="HU1:HW1"/>
    <mergeCell ref="HY1:IA1"/>
    <mergeCell ref="IC1:IE1"/>
    <mergeCell ref="IG1:II1"/>
    <mergeCell ref="CW1:CY1"/>
    <mergeCell ref="AO1:AQ1"/>
    <mergeCell ref="BY1:CA1"/>
    <mergeCell ref="BU1:BW1"/>
    <mergeCell ref="CC1:CE1"/>
    <mergeCell ref="BM1:BO1"/>
    <mergeCell ref="BE1:BG1"/>
    <mergeCell ref="BA1:BC1"/>
    <mergeCell ref="AW1:AY1"/>
    <mergeCell ref="AS1:AU1"/>
    <mergeCell ref="BI1:BK1"/>
    <mergeCell ref="BQ1:BS1"/>
    <mergeCell ref="CG1:CI1"/>
    <mergeCell ref="CK1:CM1"/>
    <mergeCell ref="CO1:CQ1"/>
    <mergeCell ref="CS1:CU1"/>
    <mergeCell ref="AK1:AM1"/>
    <mergeCell ref="E1:G1"/>
    <mergeCell ref="A1:C1"/>
    <mergeCell ref="I1:K1"/>
    <mergeCell ref="M1:O1"/>
    <mergeCell ref="Q1:S1"/>
    <mergeCell ref="U1:W1"/>
    <mergeCell ref="Y1:AA1"/>
    <mergeCell ref="AC1:AE1"/>
    <mergeCell ref="AG1:AI1"/>
    <mergeCell ref="DU1:DW1"/>
    <mergeCell ref="DY1:EA1"/>
    <mergeCell ref="EC1:EE1"/>
    <mergeCell ref="DA1:DC1"/>
    <mergeCell ref="DE1:DG1"/>
    <mergeCell ref="DI1:DK1"/>
    <mergeCell ref="DM1:DO1"/>
    <mergeCell ref="DQ1:DS1"/>
    <mergeCell ref="EG1:EI1"/>
    <mergeCell ref="EK1:EM1"/>
    <mergeCell ref="EO1:EQ1"/>
    <mergeCell ref="ES1:EU1"/>
    <mergeCell ref="EW1:EY1"/>
    <mergeCell ref="FA1:FC1"/>
    <mergeCell ref="FE1:FG1"/>
    <mergeCell ref="FI1:FK1"/>
    <mergeCell ref="FM1:FO1"/>
    <mergeCell ref="FQ1:FS1"/>
    <mergeCell ref="FU1:FW1"/>
    <mergeCell ref="FY1:GA1"/>
    <mergeCell ref="GC1:GE1"/>
    <mergeCell ref="GG1:GI1"/>
    <mergeCell ref="GK1:GM1"/>
    <mergeCell ref="HI1:HK1"/>
    <mergeCell ref="HM1:HO1"/>
    <mergeCell ref="GO1:GQ1"/>
    <mergeCell ref="GS1:GU1"/>
    <mergeCell ref="GW1:GY1"/>
    <mergeCell ref="HA1:HC1"/>
    <mergeCell ref="HE1:H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8336-7EBB-44FC-A4B3-CF404A41DB7C}">
  <dimension ref="A1:O90"/>
  <sheetViews>
    <sheetView showOutlineSymbols="0" showWhiteSpace="0" workbookViewId="0"/>
  </sheetViews>
  <sheetFormatPr baseColWidth="10" defaultRowHeight="14.4" x14ac:dyDescent="0.3"/>
  <cols>
    <col min="3" max="3" width="12.88671875" customWidth="1"/>
    <col min="5" max="5" width="12.44140625" customWidth="1"/>
    <col min="6" max="8" width="13.88671875" customWidth="1"/>
    <col min="9" max="9" width="12.5546875" customWidth="1"/>
    <col min="10" max="10" width="11.88671875" customWidth="1"/>
    <col min="11" max="11" width="10.5546875" customWidth="1"/>
    <col min="12" max="13" width="14.77734375" customWidth="1"/>
    <col min="14" max="14" width="11.109375" customWidth="1"/>
    <col min="15" max="15" width="12.5546875" customWidth="1"/>
  </cols>
  <sheetData>
    <row r="1" spans="1:15" ht="56.25" customHeight="1" thickBot="1" x14ac:dyDescent="0.35">
      <c r="A1" s="30" t="s">
        <v>81</v>
      </c>
      <c r="B1" s="31" t="s">
        <v>82</v>
      </c>
      <c r="C1" s="31" t="s">
        <v>83</v>
      </c>
      <c r="D1" s="31" t="s">
        <v>84</v>
      </c>
      <c r="E1" s="31" t="s">
        <v>85</v>
      </c>
      <c r="F1" s="31" t="s">
        <v>3</v>
      </c>
      <c r="G1" s="31" t="s">
        <v>4</v>
      </c>
      <c r="H1" s="31" t="s">
        <v>336</v>
      </c>
      <c r="I1" s="31" t="s">
        <v>87</v>
      </c>
      <c r="J1" s="31" t="s">
        <v>88</v>
      </c>
      <c r="K1" s="31" t="s">
        <v>164</v>
      </c>
      <c r="L1" s="31" t="s">
        <v>90</v>
      </c>
      <c r="M1" s="31" t="s">
        <v>91</v>
      </c>
      <c r="N1" s="31" t="s">
        <v>92</v>
      </c>
      <c r="O1" s="32" t="s">
        <v>93</v>
      </c>
    </row>
    <row r="2" spans="1:15" ht="33.75" thickBot="1" x14ac:dyDescent="0.35">
      <c r="A2" s="26" t="s">
        <v>116</v>
      </c>
      <c r="B2" s="18">
        <v>45962</v>
      </c>
      <c r="C2" s="19" t="s">
        <v>94</v>
      </c>
      <c r="D2" s="19" t="s">
        <v>165</v>
      </c>
      <c r="E2" s="19" t="s">
        <v>166</v>
      </c>
      <c r="F2" s="20">
        <v>2</v>
      </c>
      <c r="G2" s="39" t="str">
        <f>_xlfn.XLOOKUP(Diego[[#This Row],[ID]],Tabla2[ID],Tabla2[Corregimiento],"NA")</f>
        <v>Borrero Ayerbe</v>
      </c>
      <c r="H2" s="20"/>
      <c r="I2" s="20"/>
      <c r="J2" s="41">
        <v>1</v>
      </c>
      <c r="K2" s="21">
        <v>40</v>
      </c>
      <c r="L2" s="21">
        <v>369</v>
      </c>
      <c r="M2" s="21">
        <v>329</v>
      </c>
      <c r="N2" s="19">
        <v>0</v>
      </c>
      <c r="O2" s="28" t="s">
        <v>100</v>
      </c>
    </row>
    <row r="3" spans="1:15" ht="18.75" thickBot="1" x14ac:dyDescent="0.35">
      <c r="A3" s="27">
        <v>46418</v>
      </c>
      <c r="B3" s="22">
        <v>45962</v>
      </c>
      <c r="C3" s="23" t="s">
        <v>94</v>
      </c>
      <c r="D3" s="23" t="s">
        <v>167</v>
      </c>
      <c r="E3" s="23" t="s">
        <v>168</v>
      </c>
      <c r="F3" s="24"/>
      <c r="G3" s="40" t="str">
        <f>_xlfn.XLOOKUP(Diego[[#This Row],[ID]],Tabla2[ID],Tabla2[Corregimiento],"NA")</f>
        <v>NA</v>
      </c>
      <c r="H3" s="24"/>
      <c r="I3" s="24"/>
      <c r="J3" s="42">
        <v>1</v>
      </c>
      <c r="K3" s="25">
        <v>40</v>
      </c>
      <c r="L3" s="25">
        <v>233</v>
      </c>
      <c r="M3" s="25">
        <v>193</v>
      </c>
      <c r="N3" s="23">
        <v>0</v>
      </c>
      <c r="O3" s="29" t="s">
        <v>96</v>
      </c>
    </row>
    <row r="4" spans="1:15" ht="18.75" thickBot="1" x14ac:dyDescent="0.35">
      <c r="A4" s="26">
        <v>46430</v>
      </c>
      <c r="B4" s="18">
        <v>45962</v>
      </c>
      <c r="C4" s="19" t="s">
        <v>94</v>
      </c>
      <c r="D4" s="19" t="s">
        <v>169</v>
      </c>
      <c r="E4" s="19" t="s">
        <v>170</v>
      </c>
      <c r="F4" s="19">
        <v>2</v>
      </c>
      <c r="G4" s="19" t="str">
        <f>_xlfn.XLOOKUP(Diego[[#This Row],[ID]],Tabla2[ID],Tabla2[Corregimiento],"NA")</f>
        <v>Borrero Ayerbe</v>
      </c>
      <c r="H4" s="19">
        <v>1</v>
      </c>
      <c r="I4" s="20"/>
      <c r="J4" s="41">
        <v>1</v>
      </c>
      <c r="K4" s="21">
        <v>30</v>
      </c>
      <c r="L4" s="21">
        <v>768</v>
      </c>
      <c r="M4" s="21">
        <v>738</v>
      </c>
      <c r="N4" s="19">
        <v>0</v>
      </c>
      <c r="O4" s="28" t="s">
        <v>96</v>
      </c>
    </row>
    <row r="5" spans="1:15" ht="33.75" thickBot="1" x14ac:dyDescent="0.35">
      <c r="A5" s="27">
        <v>52000</v>
      </c>
      <c r="B5" s="22">
        <v>45962</v>
      </c>
      <c r="C5" s="23" t="s">
        <v>94</v>
      </c>
      <c r="D5" s="23" t="s">
        <v>171</v>
      </c>
      <c r="E5" s="23" t="s">
        <v>172</v>
      </c>
      <c r="F5" s="23">
        <v>2</v>
      </c>
      <c r="G5" s="23" t="str">
        <f>_xlfn.XLOOKUP(Diego[[#This Row],[ID]],Tabla2[ID],Tabla2[Corregimiento],"NA")</f>
        <v>Borrero Ayerbe</v>
      </c>
      <c r="H5" s="23" t="s">
        <v>173</v>
      </c>
      <c r="I5" s="24"/>
      <c r="J5" s="42">
        <v>3</v>
      </c>
      <c r="K5" s="25">
        <v>120</v>
      </c>
      <c r="L5" s="23" t="s">
        <v>174</v>
      </c>
      <c r="M5" s="23" t="s">
        <v>175</v>
      </c>
      <c r="N5" s="23">
        <v>1</v>
      </c>
      <c r="O5" s="29" t="s">
        <v>96</v>
      </c>
    </row>
    <row r="6" spans="1:15" ht="18.75" thickBot="1" x14ac:dyDescent="0.35">
      <c r="A6" s="26">
        <v>46458</v>
      </c>
      <c r="B6" s="18">
        <v>45962</v>
      </c>
      <c r="C6" s="19" t="s">
        <v>94</v>
      </c>
      <c r="D6" s="19" t="s">
        <v>176</v>
      </c>
      <c r="E6" s="19" t="s">
        <v>177</v>
      </c>
      <c r="F6" s="19">
        <v>4</v>
      </c>
      <c r="G6" s="19" t="str">
        <f>_xlfn.XLOOKUP(Diego[[#This Row],[ID]],Tabla2[ID],Tabla2[Corregimiento],"NA")</f>
        <v>El Carmen</v>
      </c>
      <c r="H6" s="19">
        <v>5</v>
      </c>
      <c r="I6" s="20"/>
      <c r="J6" s="41">
        <v>1</v>
      </c>
      <c r="K6" s="21">
        <v>30</v>
      </c>
      <c r="L6" s="21">
        <v>994</v>
      </c>
      <c r="M6" s="21">
        <v>964</v>
      </c>
      <c r="N6" s="19">
        <v>0</v>
      </c>
      <c r="O6" s="28" t="s">
        <v>120</v>
      </c>
    </row>
    <row r="7" spans="1:15" ht="33.75" thickBot="1" x14ac:dyDescent="0.35">
      <c r="A7" s="27">
        <v>57636</v>
      </c>
      <c r="B7" s="22">
        <v>45962</v>
      </c>
      <c r="C7" s="23" t="s">
        <v>101</v>
      </c>
      <c r="D7" s="23" t="s">
        <v>178</v>
      </c>
      <c r="E7" s="23" t="s">
        <v>179</v>
      </c>
      <c r="F7" s="24"/>
      <c r="G7" s="40" t="str">
        <f>_xlfn.XLOOKUP(Diego[[#This Row],[ID]],Tabla2[ID],Tabla2[Corregimiento],"NA")</f>
        <v>NA</v>
      </c>
      <c r="H7" s="24"/>
      <c r="I7" s="24"/>
      <c r="J7" s="42">
        <v>1</v>
      </c>
      <c r="K7" s="25">
        <v>15</v>
      </c>
      <c r="L7" s="25">
        <v>526</v>
      </c>
      <c r="M7" s="25">
        <v>511</v>
      </c>
      <c r="N7" s="23">
        <v>0</v>
      </c>
      <c r="O7" s="29" t="s">
        <v>100</v>
      </c>
    </row>
    <row r="8" spans="1:15" ht="33.75" thickBot="1" x14ac:dyDescent="0.35">
      <c r="A8" s="26">
        <v>46903</v>
      </c>
      <c r="B8" s="18">
        <v>45967</v>
      </c>
      <c r="C8" s="19" t="s">
        <v>94</v>
      </c>
      <c r="D8" s="19" t="s">
        <v>180</v>
      </c>
      <c r="E8" s="19" t="s">
        <v>181</v>
      </c>
      <c r="F8" s="19">
        <v>4</v>
      </c>
      <c r="G8" s="19" t="str">
        <f>_xlfn.XLOOKUP(Diego[[#This Row],[ID]],Tabla2[ID],Tabla2[Corregimiento],"NA")</f>
        <v>El Carmen</v>
      </c>
      <c r="H8" s="19" t="s">
        <v>182</v>
      </c>
      <c r="I8" s="20"/>
      <c r="J8" s="41">
        <v>1</v>
      </c>
      <c r="K8" s="21">
        <v>50</v>
      </c>
      <c r="L8" s="21">
        <v>428</v>
      </c>
      <c r="M8" s="21">
        <v>378</v>
      </c>
      <c r="N8" s="19">
        <v>0</v>
      </c>
      <c r="O8" s="28" t="s">
        <v>96</v>
      </c>
    </row>
    <row r="9" spans="1:15" ht="18.75" thickBot="1" x14ac:dyDescent="0.35">
      <c r="A9" s="27">
        <v>46851</v>
      </c>
      <c r="B9" s="22">
        <v>45967</v>
      </c>
      <c r="C9" s="23" t="s">
        <v>94</v>
      </c>
      <c r="D9" s="23" t="s">
        <v>183</v>
      </c>
      <c r="E9" s="23" t="s">
        <v>149</v>
      </c>
      <c r="F9" s="23">
        <v>6</v>
      </c>
      <c r="G9" s="23" t="str">
        <f>_xlfn.XLOOKUP(Diego[[#This Row],[ID]],Tabla2[ID],Tabla2[Corregimiento],"NA")</f>
        <v>El Limonar</v>
      </c>
      <c r="H9" s="23" t="s">
        <v>150</v>
      </c>
      <c r="I9" s="24"/>
      <c r="J9" s="42">
        <v>1</v>
      </c>
      <c r="K9" s="25">
        <v>150</v>
      </c>
      <c r="L9" s="25">
        <v>562</v>
      </c>
      <c r="M9" s="25">
        <v>412</v>
      </c>
      <c r="N9" s="23">
        <v>1</v>
      </c>
      <c r="O9" s="29" t="s">
        <v>96</v>
      </c>
    </row>
    <row r="10" spans="1:15" ht="33.75" thickBot="1" x14ac:dyDescent="0.35">
      <c r="A10" s="26">
        <v>46906</v>
      </c>
      <c r="B10" s="18">
        <v>45966</v>
      </c>
      <c r="C10" s="19" t="s">
        <v>94</v>
      </c>
      <c r="D10" s="19" t="s">
        <v>184</v>
      </c>
      <c r="E10" s="19" t="s">
        <v>137</v>
      </c>
      <c r="F10" s="19">
        <v>4</v>
      </c>
      <c r="G10" s="19" t="str">
        <f>_xlfn.XLOOKUP(Diego[[#This Row],[ID]],Tabla2[ID],Tabla2[Corregimiento],"NA")</f>
        <v>El Carmen</v>
      </c>
      <c r="H10" s="19" t="s">
        <v>138</v>
      </c>
      <c r="I10" s="20"/>
      <c r="J10" s="41">
        <v>2</v>
      </c>
      <c r="K10" s="21">
        <v>160</v>
      </c>
      <c r="L10" s="19" t="s">
        <v>185</v>
      </c>
      <c r="M10" s="19" t="s">
        <v>186</v>
      </c>
      <c r="N10" s="19">
        <v>1</v>
      </c>
      <c r="O10" s="28" t="s">
        <v>96</v>
      </c>
    </row>
    <row r="11" spans="1:15" ht="33.75" thickBot="1" x14ac:dyDescent="0.35">
      <c r="A11" s="27">
        <v>46874</v>
      </c>
      <c r="B11" s="22">
        <v>45967</v>
      </c>
      <c r="C11" s="23" t="s">
        <v>94</v>
      </c>
      <c r="D11" s="23" t="s">
        <v>187</v>
      </c>
      <c r="E11" s="23" t="s">
        <v>188</v>
      </c>
      <c r="F11" s="23">
        <v>4</v>
      </c>
      <c r="G11" s="23" t="str">
        <f>_xlfn.XLOOKUP(Diego[[#This Row],[ID]],Tabla2[ID],Tabla2[Corregimiento],"NA")</f>
        <v>El Carmen</v>
      </c>
      <c r="H11" s="23" t="s">
        <v>189</v>
      </c>
      <c r="I11" s="24"/>
      <c r="J11" s="42">
        <v>1</v>
      </c>
      <c r="K11" s="25">
        <v>50</v>
      </c>
      <c r="L11" s="25">
        <v>119.3</v>
      </c>
      <c r="M11" s="25">
        <v>69.3</v>
      </c>
      <c r="N11" s="23">
        <v>1</v>
      </c>
      <c r="O11" s="29" t="s">
        <v>100</v>
      </c>
    </row>
    <row r="12" spans="1:15" ht="27" thickBot="1" x14ac:dyDescent="0.35">
      <c r="A12" s="26">
        <v>46527</v>
      </c>
      <c r="B12" s="18">
        <v>45967</v>
      </c>
      <c r="C12" s="19" t="s">
        <v>94</v>
      </c>
      <c r="D12" s="19" t="s">
        <v>190</v>
      </c>
      <c r="E12" s="19" t="s">
        <v>191</v>
      </c>
      <c r="F12" s="19"/>
      <c r="G12" s="19" t="str">
        <f>_xlfn.XLOOKUP(Diego[[#This Row],[ID]],Tabla2[ID],Tabla2[Corregimiento],"NA")</f>
        <v>NA</v>
      </c>
      <c r="H12" s="19">
        <v>7</v>
      </c>
      <c r="I12" s="20"/>
      <c r="J12" s="41">
        <v>2</v>
      </c>
      <c r="K12" s="21">
        <v>140</v>
      </c>
      <c r="L12" s="19" t="s">
        <v>192</v>
      </c>
      <c r="M12" s="19" t="s">
        <v>193</v>
      </c>
      <c r="N12" s="19">
        <v>0</v>
      </c>
      <c r="O12" s="28" t="s">
        <v>120</v>
      </c>
    </row>
    <row r="13" spans="1:15" ht="15" thickBot="1" x14ac:dyDescent="0.35">
      <c r="A13" s="27">
        <v>46592</v>
      </c>
      <c r="B13" s="22">
        <v>45964</v>
      </c>
      <c r="C13" s="23" t="s">
        <v>94</v>
      </c>
      <c r="D13" s="23" t="s">
        <v>194</v>
      </c>
      <c r="E13" s="23" t="s">
        <v>158</v>
      </c>
      <c r="F13" s="23"/>
      <c r="G13" s="23" t="str">
        <f>_xlfn.XLOOKUP(Diego[[#This Row],[ID]],Tabla2[ID],Tabla2[Corregimiento],"NA")</f>
        <v>NA</v>
      </c>
      <c r="H13" s="23">
        <v>6</v>
      </c>
      <c r="I13" s="24"/>
      <c r="J13" s="42">
        <v>1</v>
      </c>
      <c r="K13" s="25">
        <v>60</v>
      </c>
      <c r="L13" s="25">
        <v>846</v>
      </c>
      <c r="M13" s="25">
        <v>786</v>
      </c>
      <c r="N13" s="23">
        <v>1</v>
      </c>
      <c r="O13" s="29" t="s">
        <v>96</v>
      </c>
    </row>
    <row r="14" spans="1:15" ht="27" thickBot="1" x14ac:dyDescent="0.35">
      <c r="A14" s="26">
        <v>58024</v>
      </c>
      <c r="B14" s="18">
        <v>45964</v>
      </c>
      <c r="C14" s="19" t="s">
        <v>101</v>
      </c>
      <c r="D14" s="19" t="s">
        <v>195</v>
      </c>
      <c r="E14" s="19" t="s">
        <v>105</v>
      </c>
      <c r="F14" s="20">
        <v>4</v>
      </c>
      <c r="G14" s="39" t="str">
        <f>_xlfn.XLOOKUP(Diego[[#This Row],[ID]],Tabla2[ID],Tabla2[Corregimiento],"NA")</f>
        <v>El Carmen</v>
      </c>
      <c r="H14" s="20"/>
      <c r="I14" s="20"/>
      <c r="J14" s="41">
        <v>1</v>
      </c>
      <c r="K14" s="21">
        <v>60</v>
      </c>
      <c r="L14" s="21">
        <v>301.5</v>
      </c>
      <c r="M14" s="21">
        <v>241.5</v>
      </c>
      <c r="N14" s="19">
        <v>1</v>
      </c>
      <c r="O14" s="28" t="s">
        <v>100</v>
      </c>
    </row>
    <row r="15" spans="1:15" ht="27" thickBot="1" x14ac:dyDescent="0.35">
      <c r="A15" s="27">
        <v>46662</v>
      </c>
      <c r="B15" s="22">
        <v>45967</v>
      </c>
      <c r="C15" s="23" t="s">
        <v>94</v>
      </c>
      <c r="D15" s="23" t="s">
        <v>196</v>
      </c>
      <c r="E15" s="23" t="s">
        <v>197</v>
      </c>
      <c r="F15" s="23">
        <v>4</v>
      </c>
      <c r="G15" s="23" t="str">
        <f>_xlfn.XLOOKUP(Diego[[#This Row],[ID]],Tabla2[ID],Tabla2[Corregimiento],"NA")</f>
        <v>El Carmen</v>
      </c>
      <c r="H15" s="23" t="s">
        <v>198</v>
      </c>
      <c r="I15" s="24"/>
      <c r="J15" s="42">
        <v>1</v>
      </c>
      <c r="K15" s="25">
        <v>40</v>
      </c>
      <c r="L15" s="25">
        <v>169</v>
      </c>
      <c r="M15" s="25">
        <v>129</v>
      </c>
      <c r="N15" s="23">
        <v>1</v>
      </c>
      <c r="O15" s="29" t="s">
        <v>120</v>
      </c>
    </row>
    <row r="16" spans="1:15" ht="15" thickBot="1" x14ac:dyDescent="0.35">
      <c r="A16" s="26">
        <v>46693</v>
      </c>
      <c r="B16" s="18">
        <v>45967</v>
      </c>
      <c r="C16" s="19" t="s">
        <v>94</v>
      </c>
      <c r="D16" s="19" t="s">
        <v>199</v>
      </c>
      <c r="E16" s="19">
        <v>40</v>
      </c>
      <c r="F16" s="19"/>
      <c r="G16" s="19" t="str">
        <f>_xlfn.XLOOKUP(Diego[[#This Row],[ID]],Tabla2[ID],Tabla2[Corregimiento],"NA")</f>
        <v>NA</v>
      </c>
      <c r="H16" s="19">
        <v>10</v>
      </c>
      <c r="I16" s="20"/>
      <c r="J16" s="41">
        <v>1</v>
      </c>
      <c r="K16" s="21">
        <v>30</v>
      </c>
      <c r="L16" s="19" t="s">
        <v>200</v>
      </c>
      <c r="M16" s="19" t="s">
        <v>201</v>
      </c>
      <c r="N16" s="19">
        <v>0</v>
      </c>
      <c r="O16" s="28" t="s">
        <v>120</v>
      </c>
    </row>
    <row r="17" spans="1:15" ht="15" thickBot="1" x14ac:dyDescent="0.35">
      <c r="A17" s="27">
        <v>57685</v>
      </c>
      <c r="B17" s="22">
        <v>45962</v>
      </c>
      <c r="C17" s="23" t="s">
        <v>101</v>
      </c>
      <c r="D17" s="23" t="s">
        <v>202</v>
      </c>
      <c r="E17" s="23" t="s">
        <v>203</v>
      </c>
      <c r="F17" s="24"/>
      <c r="G17" s="40" t="str">
        <f>_xlfn.XLOOKUP(Diego[[#This Row],[ID]],Tabla2[ID],Tabla2[Corregimiento],"NA")</f>
        <v>NA</v>
      </c>
      <c r="H17" s="24"/>
      <c r="I17" s="24"/>
      <c r="J17" s="42">
        <v>1</v>
      </c>
      <c r="K17" s="25">
        <v>80</v>
      </c>
      <c r="L17" s="25">
        <v>415</v>
      </c>
      <c r="M17" s="25">
        <v>335</v>
      </c>
      <c r="N17" s="23">
        <v>0</v>
      </c>
      <c r="O17" s="29" t="s">
        <v>100</v>
      </c>
    </row>
    <row r="18" spans="1:15" ht="15" thickBot="1" x14ac:dyDescent="0.35">
      <c r="A18" s="26">
        <v>46700</v>
      </c>
      <c r="B18" s="18">
        <v>45965</v>
      </c>
      <c r="C18" s="19" t="s">
        <v>94</v>
      </c>
      <c r="D18" s="19" t="s">
        <v>204</v>
      </c>
      <c r="E18" s="19" t="s">
        <v>205</v>
      </c>
      <c r="F18" s="19"/>
      <c r="G18" s="19" t="str">
        <f>_xlfn.XLOOKUP(Diego[[#This Row],[ID]],Tabla2[ID],Tabla2[Corregimiento],"NA")</f>
        <v>NA</v>
      </c>
      <c r="H18" s="19" t="s">
        <v>114</v>
      </c>
      <c r="I18" s="20"/>
      <c r="J18" s="41">
        <v>1</v>
      </c>
      <c r="K18" s="21">
        <v>50</v>
      </c>
      <c r="L18" s="21">
        <v>138.5</v>
      </c>
      <c r="M18" s="21">
        <v>88.5</v>
      </c>
      <c r="N18" s="19">
        <v>0</v>
      </c>
      <c r="O18" s="28" t="s">
        <v>96</v>
      </c>
    </row>
    <row r="19" spans="1:15" ht="15" thickBot="1" x14ac:dyDescent="0.35">
      <c r="A19" s="27">
        <v>46605</v>
      </c>
      <c r="B19" s="22">
        <v>45963</v>
      </c>
      <c r="C19" s="23" t="s">
        <v>94</v>
      </c>
      <c r="D19" s="23" t="s">
        <v>206</v>
      </c>
      <c r="E19" s="23" t="s">
        <v>145</v>
      </c>
      <c r="F19" s="23">
        <v>20</v>
      </c>
      <c r="G19" s="23" t="str">
        <f>_xlfn.XLOOKUP(Diego[[#This Row],[ID]],Tabla2[ID],Tabla2[Corregimiento],"NA")</f>
        <v>Los Cristales</v>
      </c>
      <c r="H19" s="23" t="s">
        <v>189</v>
      </c>
      <c r="I19" s="24"/>
      <c r="J19" s="42">
        <v>1</v>
      </c>
      <c r="K19" s="25">
        <v>60</v>
      </c>
      <c r="L19" s="25">
        <v>419.5</v>
      </c>
      <c r="M19" s="25">
        <v>359.5</v>
      </c>
      <c r="N19" s="23">
        <v>1</v>
      </c>
      <c r="O19" s="29" t="s">
        <v>96</v>
      </c>
    </row>
    <row r="20" spans="1:15" ht="27" thickBot="1" x14ac:dyDescent="0.35">
      <c r="A20" s="26">
        <v>511</v>
      </c>
      <c r="B20" s="18">
        <v>45966</v>
      </c>
      <c r="C20" s="19" t="s">
        <v>94</v>
      </c>
      <c r="D20" s="19" t="s">
        <v>207</v>
      </c>
      <c r="E20" s="19" t="s">
        <v>156</v>
      </c>
      <c r="F20" s="19">
        <v>4</v>
      </c>
      <c r="G20" s="19" t="str">
        <f>_xlfn.XLOOKUP(Diego[[#This Row],[ID]],Tabla2[ID],Tabla2[Corregimiento],"NA")</f>
        <v>El Carmen</v>
      </c>
      <c r="H20" s="19">
        <v>3</v>
      </c>
      <c r="I20" s="20"/>
      <c r="J20" s="41">
        <v>1</v>
      </c>
      <c r="K20" s="21">
        <v>15</v>
      </c>
      <c r="L20" s="21">
        <v>189</v>
      </c>
      <c r="M20" s="21">
        <v>174</v>
      </c>
      <c r="N20" s="19">
        <v>0</v>
      </c>
      <c r="O20" s="28" t="s">
        <v>96</v>
      </c>
    </row>
    <row r="21" spans="1:15" ht="27" thickBot="1" x14ac:dyDescent="0.35">
      <c r="A21" s="27">
        <v>58104</v>
      </c>
      <c r="B21" s="22">
        <v>45966</v>
      </c>
      <c r="C21" s="23" t="s">
        <v>94</v>
      </c>
      <c r="D21" s="23" t="s">
        <v>208</v>
      </c>
      <c r="E21" s="23" t="s">
        <v>209</v>
      </c>
      <c r="F21" s="23">
        <v>4</v>
      </c>
      <c r="G21" s="23" t="str">
        <f>_xlfn.XLOOKUP(Diego[[#This Row],[ID]],Tabla2[ID],Tabla2[Corregimiento],"NA")</f>
        <v>El Carmen</v>
      </c>
      <c r="H21" s="23" t="s">
        <v>189</v>
      </c>
      <c r="I21" s="24"/>
      <c r="J21" s="42">
        <v>1</v>
      </c>
      <c r="K21" s="25">
        <v>70</v>
      </c>
      <c r="L21" s="25">
        <v>376</v>
      </c>
      <c r="M21" s="25">
        <v>306</v>
      </c>
      <c r="N21" s="23">
        <v>1</v>
      </c>
      <c r="O21" s="29" t="s">
        <v>100</v>
      </c>
    </row>
    <row r="22" spans="1:15" ht="27" thickBot="1" x14ac:dyDescent="0.35">
      <c r="A22" s="26">
        <v>57737</v>
      </c>
      <c r="B22" s="18">
        <v>45966</v>
      </c>
      <c r="C22" s="19" t="s">
        <v>94</v>
      </c>
      <c r="D22" s="19" t="s">
        <v>210</v>
      </c>
      <c r="E22" s="19" t="s">
        <v>211</v>
      </c>
      <c r="F22" s="19">
        <v>4</v>
      </c>
      <c r="G22" s="19" t="str">
        <f>_xlfn.XLOOKUP(Diego[[#This Row],[ID]],Tabla2[ID],Tabla2[Corregimiento],"NA")</f>
        <v>El Carmen</v>
      </c>
      <c r="H22" s="19" t="s">
        <v>212</v>
      </c>
      <c r="I22" s="20"/>
      <c r="J22" s="41">
        <v>1</v>
      </c>
      <c r="K22" s="21">
        <v>50</v>
      </c>
      <c r="L22" s="21">
        <v>304.5</v>
      </c>
      <c r="M22" s="21">
        <v>254.5</v>
      </c>
      <c r="N22" s="19">
        <v>1</v>
      </c>
      <c r="O22" s="28" t="s">
        <v>100</v>
      </c>
    </row>
    <row r="23" spans="1:15" ht="27" thickBot="1" x14ac:dyDescent="0.35">
      <c r="A23" s="27">
        <v>46751</v>
      </c>
      <c r="B23" s="22">
        <v>45966</v>
      </c>
      <c r="C23" s="23" t="s">
        <v>94</v>
      </c>
      <c r="D23" s="23" t="s">
        <v>213</v>
      </c>
      <c r="E23" s="23" t="s">
        <v>209</v>
      </c>
      <c r="F23" s="23">
        <v>4</v>
      </c>
      <c r="G23" s="23" t="str">
        <f>_xlfn.XLOOKUP(Diego[[#This Row],[ID]],Tabla2[ID],Tabla2[Corregimiento],"NA")</f>
        <v>El Carmen</v>
      </c>
      <c r="H23" s="23" t="s">
        <v>189</v>
      </c>
      <c r="I23" s="24"/>
      <c r="J23" s="42">
        <v>1</v>
      </c>
      <c r="K23" s="25">
        <v>60</v>
      </c>
      <c r="L23" s="25">
        <v>194.2</v>
      </c>
      <c r="M23" s="25">
        <v>134.19999999999999</v>
      </c>
      <c r="N23" s="23">
        <v>1</v>
      </c>
      <c r="O23" s="29" t="s">
        <v>96</v>
      </c>
    </row>
    <row r="24" spans="1:15" ht="27" thickBot="1" x14ac:dyDescent="0.35">
      <c r="A24" s="26">
        <v>30518</v>
      </c>
      <c r="B24" s="18">
        <v>45974</v>
      </c>
      <c r="C24" s="19" t="s">
        <v>101</v>
      </c>
      <c r="D24" s="19" t="s">
        <v>184</v>
      </c>
      <c r="E24" s="19" t="s">
        <v>214</v>
      </c>
      <c r="F24" s="19">
        <v>4</v>
      </c>
      <c r="G24" s="19" t="str">
        <f>_xlfn.XLOOKUP(Diego[[#This Row],[ID]],Tabla2[ID],Tabla2[Corregimiento],"NA")</f>
        <v>El Carmen</v>
      </c>
      <c r="H24" s="19" t="s">
        <v>215</v>
      </c>
      <c r="I24" s="20"/>
      <c r="J24" s="41">
        <v>1</v>
      </c>
      <c r="K24" s="21">
        <v>40</v>
      </c>
      <c r="L24" s="21">
        <v>192</v>
      </c>
      <c r="M24" s="21">
        <v>152</v>
      </c>
      <c r="N24" s="19">
        <v>0</v>
      </c>
      <c r="O24" s="28" t="s">
        <v>100</v>
      </c>
    </row>
    <row r="25" spans="1:15" ht="27" thickBot="1" x14ac:dyDescent="0.35">
      <c r="A25" s="27">
        <v>58449</v>
      </c>
      <c r="B25" s="22">
        <v>45975</v>
      </c>
      <c r="C25" s="23" t="s">
        <v>101</v>
      </c>
      <c r="D25" s="23" t="s">
        <v>216</v>
      </c>
      <c r="E25" s="23" t="s">
        <v>217</v>
      </c>
      <c r="F25" s="23">
        <v>4</v>
      </c>
      <c r="G25" s="23" t="str">
        <f>_xlfn.XLOOKUP(Diego[[#This Row],[ID]],Tabla2[ID],Tabla2[Corregimiento],"NA")</f>
        <v>El Carmen</v>
      </c>
      <c r="H25" s="23" t="s">
        <v>106</v>
      </c>
      <c r="I25" s="24"/>
      <c r="J25" s="42">
        <v>1</v>
      </c>
      <c r="K25" s="25">
        <v>60</v>
      </c>
      <c r="L25" s="25">
        <v>213</v>
      </c>
      <c r="M25" s="25">
        <v>153</v>
      </c>
      <c r="N25" s="23">
        <v>1</v>
      </c>
      <c r="O25" s="29" t="s">
        <v>100</v>
      </c>
    </row>
    <row r="26" spans="1:15" ht="15" thickBot="1" x14ac:dyDescent="0.35">
      <c r="A26" s="26">
        <v>47704</v>
      </c>
      <c r="B26" s="18">
        <v>45975</v>
      </c>
      <c r="C26" s="19" t="s">
        <v>94</v>
      </c>
      <c r="D26" s="19" t="s">
        <v>218</v>
      </c>
      <c r="E26" s="19" t="s">
        <v>219</v>
      </c>
      <c r="F26" s="19"/>
      <c r="G26" s="19" t="str">
        <f>_xlfn.XLOOKUP(Diego[[#This Row],[ID]],Tabla2[ID],Tabla2[Corregimiento],"NA")</f>
        <v>NA</v>
      </c>
      <c r="H26" s="19" t="s">
        <v>220</v>
      </c>
      <c r="I26" s="20"/>
      <c r="J26" s="41">
        <v>1</v>
      </c>
      <c r="K26" s="21">
        <v>35</v>
      </c>
      <c r="L26" s="21">
        <v>440.9</v>
      </c>
      <c r="M26" s="21">
        <v>405.9</v>
      </c>
      <c r="N26" s="19">
        <v>0</v>
      </c>
      <c r="O26" s="28" t="s">
        <v>96</v>
      </c>
    </row>
    <row r="27" spans="1:15" ht="15" thickBot="1" x14ac:dyDescent="0.35">
      <c r="A27" s="27">
        <v>47665</v>
      </c>
      <c r="B27" s="22">
        <v>45975</v>
      </c>
      <c r="C27" s="23" t="s">
        <v>94</v>
      </c>
      <c r="D27" s="23" t="s">
        <v>221</v>
      </c>
      <c r="E27" s="23" t="s">
        <v>222</v>
      </c>
      <c r="F27" s="24"/>
      <c r="G27" s="40" t="str">
        <f>_xlfn.XLOOKUP(Diego[[#This Row],[ID]],Tabla2[ID],Tabla2[Corregimiento],"NA")</f>
        <v>NA</v>
      </c>
      <c r="H27" s="24"/>
      <c r="I27" s="24"/>
      <c r="J27" s="42">
        <v>1</v>
      </c>
      <c r="K27" s="25">
        <v>30</v>
      </c>
      <c r="L27" s="25">
        <v>202</v>
      </c>
      <c r="M27" s="25">
        <v>172</v>
      </c>
      <c r="N27" s="23">
        <v>0</v>
      </c>
      <c r="O27" s="29" t="s">
        <v>96</v>
      </c>
    </row>
    <row r="28" spans="1:15" s="59" customFormat="1" ht="15" thickBot="1" x14ac:dyDescent="0.35">
      <c r="A28" s="51">
        <v>58524</v>
      </c>
      <c r="B28" s="52">
        <v>45976</v>
      </c>
      <c r="C28" s="53" t="s">
        <v>101</v>
      </c>
      <c r="D28" s="53" t="s">
        <v>223</v>
      </c>
      <c r="E28" s="53" t="s">
        <v>183</v>
      </c>
      <c r="F28" s="54"/>
      <c r="G28" s="55" t="str">
        <f>_xlfn.XLOOKUP(Diego[[#This Row],[ID]],Tabla2[ID],Tabla2[Corregimiento],"NA")</f>
        <v>NA</v>
      </c>
      <c r="H28" s="54"/>
      <c r="I28" s="54"/>
      <c r="J28" s="56">
        <v>1</v>
      </c>
      <c r="K28" s="57">
        <v>40</v>
      </c>
      <c r="L28" s="57">
        <v>288</v>
      </c>
      <c r="M28" s="57">
        <v>248</v>
      </c>
      <c r="N28" s="53">
        <v>0</v>
      </c>
      <c r="O28" s="58" t="s">
        <v>100</v>
      </c>
    </row>
    <row r="29" spans="1:15" ht="27" thickBot="1" x14ac:dyDescent="0.35">
      <c r="A29" s="27">
        <v>58517</v>
      </c>
      <c r="B29" s="22">
        <v>45976</v>
      </c>
      <c r="C29" s="23" t="s">
        <v>94</v>
      </c>
      <c r="D29" s="23" t="s">
        <v>224</v>
      </c>
      <c r="E29" s="23" t="s">
        <v>225</v>
      </c>
      <c r="F29" s="23">
        <v>4</v>
      </c>
      <c r="G29" s="23" t="str">
        <f>_xlfn.XLOOKUP(Diego[[#This Row],[ID]],Tabla2[ID],Tabla2[Corregimiento],"NA")</f>
        <v>El Carmen</v>
      </c>
      <c r="H29" s="23">
        <v>4</v>
      </c>
      <c r="I29" s="24"/>
      <c r="J29" s="42">
        <v>1</v>
      </c>
      <c r="K29" s="25">
        <v>30</v>
      </c>
      <c r="L29" s="25">
        <v>408.5</v>
      </c>
      <c r="M29" s="25">
        <v>378.5</v>
      </c>
      <c r="N29" s="23">
        <v>0</v>
      </c>
      <c r="O29" s="29" t="s">
        <v>96</v>
      </c>
    </row>
    <row r="30" spans="1:15" ht="15" thickBot="1" x14ac:dyDescent="0.35">
      <c r="A30" s="26">
        <v>47735</v>
      </c>
      <c r="B30" s="18">
        <v>45976</v>
      </c>
      <c r="C30" s="19" t="s">
        <v>94</v>
      </c>
      <c r="D30" s="19" t="s">
        <v>221</v>
      </c>
      <c r="E30" s="19" t="s">
        <v>222</v>
      </c>
      <c r="F30" s="20"/>
      <c r="G30" s="39" t="str">
        <f>_xlfn.XLOOKUP(Diego[[#This Row],[ID]],Tabla2[ID],Tabla2[Corregimiento],"NA")</f>
        <v>NA</v>
      </c>
      <c r="H30" s="20"/>
      <c r="I30" s="20"/>
      <c r="J30" s="41">
        <v>2</v>
      </c>
      <c r="K30" s="21">
        <v>80</v>
      </c>
      <c r="L30" s="21">
        <v>300</v>
      </c>
      <c r="M30" s="21">
        <v>140</v>
      </c>
      <c r="N30" s="19">
        <v>0</v>
      </c>
      <c r="O30" s="28" t="s">
        <v>96</v>
      </c>
    </row>
    <row r="31" spans="1:15" s="59" customFormat="1" ht="27" thickBot="1" x14ac:dyDescent="0.35">
      <c r="A31" s="60">
        <v>47727</v>
      </c>
      <c r="B31" s="61">
        <v>45975</v>
      </c>
      <c r="C31" s="62" t="s">
        <v>94</v>
      </c>
      <c r="D31" s="62" t="s">
        <v>226</v>
      </c>
      <c r="E31" s="62" t="s">
        <v>183</v>
      </c>
      <c r="F31" s="63"/>
      <c r="G31" s="64" t="str">
        <f>_xlfn.XLOOKUP(Diego[[#This Row],[ID]],Tabla2[ID],Tabla2[Corregimiento],"NA")</f>
        <v>NA</v>
      </c>
      <c r="H31" s="63"/>
      <c r="I31" s="63"/>
      <c r="J31" s="65">
        <v>1</v>
      </c>
      <c r="K31" s="66">
        <v>12</v>
      </c>
      <c r="L31" s="66">
        <v>39.6</v>
      </c>
      <c r="M31" s="66">
        <v>27.6</v>
      </c>
      <c r="N31" s="62">
        <v>0</v>
      </c>
      <c r="O31" s="58" t="s">
        <v>96</v>
      </c>
    </row>
    <row r="32" spans="1:15" ht="27" thickBot="1" x14ac:dyDescent="0.35">
      <c r="A32" s="26">
        <v>47566</v>
      </c>
      <c r="B32" s="18">
        <v>45974</v>
      </c>
      <c r="C32" s="19" t="s">
        <v>94</v>
      </c>
      <c r="D32" s="19" t="s">
        <v>227</v>
      </c>
      <c r="E32" s="19">
        <v>40</v>
      </c>
      <c r="F32" s="19"/>
      <c r="G32" s="19" t="str">
        <f>_xlfn.XLOOKUP(Diego[[#This Row],[ID]],Tabla2[ID],Tabla2[Corregimiento],"NA")</f>
        <v>NA</v>
      </c>
      <c r="H32" s="19">
        <v>10</v>
      </c>
      <c r="I32" s="20"/>
      <c r="J32" s="41">
        <v>1</v>
      </c>
      <c r="K32" s="21">
        <v>30</v>
      </c>
      <c r="L32" s="21">
        <v>372</v>
      </c>
      <c r="M32" s="21">
        <v>342</v>
      </c>
      <c r="N32" s="19">
        <v>0</v>
      </c>
      <c r="O32" s="28" t="s">
        <v>120</v>
      </c>
    </row>
    <row r="33" spans="1:15" ht="15" thickBot="1" x14ac:dyDescent="0.35">
      <c r="A33" s="27">
        <v>47609</v>
      </c>
      <c r="B33" s="22">
        <v>45974</v>
      </c>
      <c r="C33" s="23" t="s">
        <v>94</v>
      </c>
      <c r="D33" s="23" t="s">
        <v>228</v>
      </c>
      <c r="E33" s="23" t="s">
        <v>229</v>
      </c>
      <c r="F33" s="23"/>
      <c r="G33" s="23" t="str">
        <f>_xlfn.XLOOKUP(Diego[[#This Row],[ID]],Tabla2[ID],Tabla2[Corregimiento],"NA")</f>
        <v>NA</v>
      </c>
      <c r="H33" s="23" t="s">
        <v>230</v>
      </c>
      <c r="I33" s="24"/>
      <c r="J33" s="42">
        <v>1</v>
      </c>
      <c r="K33" s="25">
        <v>15</v>
      </c>
      <c r="L33" s="25">
        <v>300</v>
      </c>
      <c r="M33" s="25">
        <v>285</v>
      </c>
      <c r="N33" s="23">
        <v>0</v>
      </c>
      <c r="O33" s="29" t="s">
        <v>120</v>
      </c>
    </row>
    <row r="34" spans="1:15" ht="27" thickBot="1" x14ac:dyDescent="0.35">
      <c r="A34" s="26">
        <v>58466</v>
      </c>
      <c r="B34" s="18">
        <v>45974</v>
      </c>
      <c r="C34" s="19" t="s">
        <v>101</v>
      </c>
      <c r="D34" s="19" t="s">
        <v>169</v>
      </c>
      <c r="E34" s="19" t="s">
        <v>231</v>
      </c>
      <c r="F34" s="19">
        <v>2</v>
      </c>
      <c r="G34" s="19" t="str">
        <f>_xlfn.XLOOKUP(Diego[[#This Row],[ID]],Tabla2[ID],Tabla2[Corregimiento],"NA")</f>
        <v>Borrero Ayerbe</v>
      </c>
      <c r="H34" s="19" t="s">
        <v>232</v>
      </c>
      <c r="I34" s="20"/>
      <c r="J34" s="41">
        <v>1</v>
      </c>
      <c r="K34" s="21">
        <v>15</v>
      </c>
      <c r="L34" s="21">
        <v>246</v>
      </c>
      <c r="M34" s="21">
        <v>231</v>
      </c>
      <c r="N34" s="19">
        <v>0</v>
      </c>
      <c r="O34" s="28" t="s">
        <v>100</v>
      </c>
    </row>
    <row r="35" spans="1:15" ht="27" thickBot="1" x14ac:dyDescent="0.35">
      <c r="A35" s="27">
        <v>58457</v>
      </c>
      <c r="B35" s="22">
        <v>45974</v>
      </c>
      <c r="C35" s="23" t="s">
        <v>101</v>
      </c>
      <c r="D35" s="23" t="s">
        <v>233</v>
      </c>
      <c r="E35" s="23" t="s">
        <v>231</v>
      </c>
      <c r="F35" s="23">
        <v>2</v>
      </c>
      <c r="G35" s="23" t="str">
        <f>_xlfn.XLOOKUP(Diego[[#This Row],[ID]],Tabla2[ID],Tabla2[Corregimiento],"NA")</f>
        <v>Borrero Ayerbe</v>
      </c>
      <c r="H35" s="23">
        <v>1</v>
      </c>
      <c r="I35" s="24"/>
      <c r="J35" s="42">
        <v>1</v>
      </c>
      <c r="K35" s="25">
        <v>30</v>
      </c>
      <c r="L35" s="25">
        <v>210</v>
      </c>
      <c r="M35" s="25">
        <v>180</v>
      </c>
      <c r="N35" s="23">
        <v>1</v>
      </c>
      <c r="O35" s="29" t="s">
        <v>100</v>
      </c>
    </row>
    <row r="36" spans="1:15" ht="27" thickBot="1" x14ac:dyDescent="0.35">
      <c r="A36" s="26">
        <v>57979</v>
      </c>
      <c r="B36" s="18">
        <v>45974</v>
      </c>
      <c r="C36" s="19" t="s">
        <v>101</v>
      </c>
      <c r="D36" s="19" t="s">
        <v>234</v>
      </c>
      <c r="E36" s="19" t="s">
        <v>235</v>
      </c>
      <c r="F36" s="19"/>
      <c r="G36" s="19" t="str">
        <f>_xlfn.XLOOKUP(Diego[[#This Row],[ID]],Tabla2[ID],Tabla2[Corregimiento],"NA")</f>
        <v>NA</v>
      </c>
      <c r="H36" s="19" t="s">
        <v>111</v>
      </c>
      <c r="I36" s="20"/>
      <c r="J36" s="41">
        <v>1</v>
      </c>
      <c r="K36" s="21">
        <v>15</v>
      </c>
      <c r="L36" s="21">
        <v>377.8</v>
      </c>
      <c r="M36" s="21">
        <v>362.8</v>
      </c>
      <c r="N36" s="19">
        <v>0</v>
      </c>
      <c r="O36" s="28" t="s">
        <v>100</v>
      </c>
    </row>
    <row r="37" spans="1:15" ht="15" thickBot="1" x14ac:dyDescent="0.35">
      <c r="A37" s="27">
        <v>47595</v>
      </c>
      <c r="B37" s="22">
        <v>45974</v>
      </c>
      <c r="C37" s="23" t="s">
        <v>94</v>
      </c>
      <c r="D37" s="23" t="s">
        <v>183</v>
      </c>
      <c r="E37" s="23" t="s">
        <v>217</v>
      </c>
      <c r="F37" s="23">
        <v>4</v>
      </c>
      <c r="G37" s="23" t="str">
        <f>_xlfn.XLOOKUP(Diego[[#This Row],[ID]],Tabla2[ID],Tabla2[Corregimiento],"NA")</f>
        <v>El Carmen</v>
      </c>
      <c r="H37" s="23" t="s">
        <v>236</v>
      </c>
      <c r="I37" s="24"/>
      <c r="J37" s="42">
        <v>1</v>
      </c>
      <c r="K37" s="25">
        <v>30</v>
      </c>
      <c r="L37" s="23" t="s">
        <v>237</v>
      </c>
      <c r="M37" s="23" t="s">
        <v>238</v>
      </c>
      <c r="N37" s="23">
        <v>0</v>
      </c>
      <c r="O37" s="29" t="s">
        <v>96</v>
      </c>
    </row>
    <row r="38" spans="1:15" ht="15" thickBot="1" x14ac:dyDescent="0.35">
      <c r="A38" s="26">
        <v>47598</v>
      </c>
      <c r="B38" s="18">
        <v>45974</v>
      </c>
      <c r="C38" s="19" t="s">
        <v>94</v>
      </c>
      <c r="D38" s="19" t="s">
        <v>239</v>
      </c>
      <c r="E38" s="19" t="s">
        <v>183</v>
      </c>
      <c r="F38" s="20"/>
      <c r="G38" s="39" t="str">
        <f>_xlfn.XLOOKUP(Diego[[#This Row],[ID]],Tabla2[ID],Tabla2[Corregimiento],"NA")</f>
        <v>NA</v>
      </c>
      <c r="H38" s="20"/>
      <c r="I38" s="20"/>
      <c r="J38" s="41">
        <v>1</v>
      </c>
      <c r="K38" s="21">
        <v>50</v>
      </c>
      <c r="L38" s="21">
        <v>404.4</v>
      </c>
      <c r="M38" s="21">
        <v>354.4</v>
      </c>
      <c r="N38" s="19">
        <v>0</v>
      </c>
      <c r="O38" s="28" t="s">
        <v>96</v>
      </c>
    </row>
    <row r="39" spans="1:15" ht="15" thickBot="1" x14ac:dyDescent="0.35">
      <c r="A39" s="27">
        <v>47595</v>
      </c>
      <c r="B39" s="22">
        <v>45974</v>
      </c>
      <c r="C39" s="23" t="s">
        <v>94</v>
      </c>
      <c r="D39" s="23" t="s">
        <v>240</v>
      </c>
      <c r="E39" s="23" t="s">
        <v>217</v>
      </c>
      <c r="F39" s="23">
        <v>4</v>
      </c>
      <c r="G39" s="23" t="str">
        <f>_xlfn.XLOOKUP(Diego[[#This Row],[ID]],Tabla2[ID],Tabla2[Corregimiento],"NA")</f>
        <v>El Carmen</v>
      </c>
      <c r="H39" s="23" t="s">
        <v>106</v>
      </c>
      <c r="I39" s="24"/>
      <c r="J39" s="42">
        <v>1</v>
      </c>
      <c r="K39" s="25">
        <v>40</v>
      </c>
      <c r="L39" s="25">
        <v>880.5</v>
      </c>
      <c r="M39" s="25">
        <v>840.5</v>
      </c>
      <c r="N39" s="23">
        <v>0</v>
      </c>
      <c r="O39" s="29" t="s">
        <v>96</v>
      </c>
    </row>
    <row r="40" spans="1:15" ht="15" thickBot="1" x14ac:dyDescent="0.35">
      <c r="A40" s="26">
        <v>47501</v>
      </c>
      <c r="B40" s="18">
        <v>45974</v>
      </c>
      <c r="C40" s="19" t="s">
        <v>94</v>
      </c>
      <c r="D40" s="19" t="s">
        <v>241</v>
      </c>
      <c r="E40" s="19" t="s">
        <v>158</v>
      </c>
      <c r="F40" s="19"/>
      <c r="G40" s="19" t="str">
        <f>_xlfn.XLOOKUP(Diego[[#This Row],[ID]],Tabla2[ID],Tabla2[Corregimiento],"NA")</f>
        <v>NA</v>
      </c>
      <c r="H40" s="19">
        <v>6</v>
      </c>
      <c r="I40" s="20"/>
      <c r="J40" s="41">
        <v>1</v>
      </c>
      <c r="K40" s="21">
        <v>30</v>
      </c>
      <c r="L40" s="21">
        <v>74</v>
      </c>
      <c r="M40" s="21">
        <v>44</v>
      </c>
      <c r="N40" s="19">
        <v>0</v>
      </c>
      <c r="O40" s="28" t="s">
        <v>96</v>
      </c>
    </row>
    <row r="41" spans="1:15" ht="27" thickBot="1" x14ac:dyDescent="0.35">
      <c r="A41" s="27">
        <v>47572</v>
      </c>
      <c r="B41" s="22">
        <v>45974</v>
      </c>
      <c r="C41" s="23" t="s">
        <v>94</v>
      </c>
      <c r="D41" s="23" t="s">
        <v>242</v>
      </c>
      <c r="E41" s="23" t="s">
        <v>108</v>
      </c>
      <c r="F41" s="23"/>
      <c r="G41" s="23" t="str">
        <f>_xlfn.XLOOKUP(Diego[[#This Row],[ID]],Tabla2[ID],Tabla2[Corregimiento],"NA")</f>
        <v>NA</v>
      </c>
      <c r="H41" s="23">
        <v>4</v>
      </c>
      <c r="I41" s="24"/>
      <c r="J41" s="42">
        <v>1</v>
      </c>
      <c r="K41" s="25">
        <v>30</v>
      </c>
      <c r="L41" s="25">
        <v>164</v>
      </c>
      <c r="M41" s="25">
        <v>134</v>
      </c>
      <c r="N41" s="23">
        <v>0</v>
      </c>
      <c r="O41" s="29" t="s">
        <v>96</v>
      </c>
    </row>
    <row r="42" spans="1:15" ht="40.200000000000003" thickBot="1" x14ac:dyDescent="0.35">
      <c r="A42" s="26">
        <v>57923</v>
      </c>
      <c r="B42" s="18">
        <v>45962</v>
      </c>
      <c r="C42" s="19" t="s">
        <v>101</v>
      </c>
      <c r="D42" s="19" t="s">
        <v>243</v>
      </c>
      <c r="E42" s="19" t="s">
        <v>244</v>
      </c>
      <c r="F42" s="19"/>
      <c r="G42" s="19" t="str">
        <f>_xlfn.XLOOKUP(Diego[[#This Row],[ID]],Tabla2[ID],Tabla2[Corregimiento],"NA")</f>
        <v>NA</v>
      </c>
      <c r="H42" s="19" t="s">
        <v>173</v>
      </c>
      <c r="I42" s="20"/>
      <c r="J42" s="41">
        <v>1</v>
      </c>
      <c r="K42" s="21">
        <v>40</v>
      </c>
      <c r="L42" s="21">
        <v>341</v>
      </c>
      <c r="M42" s="21">
        <v>341</v>
      </c>
      <c r="N42" s="19">
        <v>1</v>
      </c>
      <c r="O42" s="28" t="s">
        <v>100</v>
      </c>
    </row>
    <row r="43" spans="1:15" ht="40.200000000000003" thickBot="1" x14ac:dyDescent="0.35">
      <c r="A43" s="27">
        <v>47439</v>
      </c>
      <c r="B43" s="22">
        <v>45972</v>
      </c>
      <c r="C43" s="23" t="s">
        <v>94</v>
      </c>
      <c r="D43" s="23" t="s">
        <v>245</v>
      </c>
      <c r="E43" s="23" t="s">
        <v>246</v>
      </c>
      <c r="F43" s="23">
        <v>4</v>
      </c>
      <c r="G43" s="23" t="str">
        <f>_xlfn.XLOOKUP(Diego[[#This Row],[ID]],Tabla2[ID],Tabla2[Corregimiento],"NA")</f>
        <v>El Carmen</v>
      </c>
      <c r="H43" s="23" t="s">
        <v>138</v>
      </c>
      <c r="I43" s="24"/>
      <c r="J43" s="42">
        <v>1</v>
      </c>
      <c r="K43" s="25">
        <v>70</v>
      </c>
      <c r="L43" s="25">
        <v>420.4</v>
      </c>
      <c r="M43" s="25">
        <v>350.4</v>
      </c>
      <c r="N43" s="23">
        <v>1</v>
      </c>
      <c r="O43" s="29" t="s">
        <v>120</v>
      </c>
    </row>
    <row r="44" spans="1:15" ht="27" thickBot="1" x14ac:dyDescent="0.35">
      <c r="A44" s="26">
        <v>47495</v>
      </c>
      <c r="B44" s="18">
        <v>45971</v>
      </c>
      <c r="C44" s="19" t="s">
        <v>94</v>
      </c>
      <c r="D44" s="19" t="s">
        <v>247</v>
      </c>
      <c r="E44" s="19" t="s">
        <v>248</v>
      </c>
      <c r="F44" s="19"/>
      <c r="G44" s="19" t="str">
        <f>_xlfn.XLOOKUP(Diego[[#This Row],[ID]],Tabla2[ID],Tabla2[Corregimiento],"NA")</f>
        <v>NA</v>
      </c>
      <c r="H44" s="19" t="s">
        <v>212</v>
      </c>
      <c r="I44" s="20"/>
      <c r="J44" s="41">
        <v>2</v>
      </c>
      <c r="K44" s="21">
        <v>100</v>
      </c>
      <c r="L44" s="19" t="s">
        <v>249</v>
      </c>
      <c r="M44" s="19" t="s">
        <v>250</v>
      </c>
      <c r="N44" s="19">
        <v>0</v>
      </c>
      <c r="O44" s="28" t="s">
        <v>251</v>
      </c>
    </row>
    <row r="45" spans="1:15" ht="27" thickBot="1" x14ac:dyDescent="0.35">
      <c r="A45" s="27">
        <v>30506</v>
      </c>
      <c r="B45" s="22">
        <v>45973</v>
      </c>
      <c r="C45" s="23" t="s">
        <v>94</v>
      </c>
      <c r="D45" s="23" t="s">
        <v>252</v>
      </c>
      <c r="E45" s="23" t="s">
        <v>253</v>
      </c>
      <c r="F45" s="23">
        <v>2</v>
      </c>
      <c r="G45" s="23" t="str">
        <f>_xlfn.XLOOKUP(Diego[[#This Row],[ID]],Tabla2[ID],Tabla2[Corregimiento],"NA")</f>
        <v>Borrero Ayerbe</v>
      </c>
      <c r="H45" s="23">
        <v>7</v>
      </c>
      <c r="I45" s="24"/>
      <c r="J45" s="42">
        <v>1</v>
      </c>
      <c r="K45" s="25">
        <v>60</v>
      </c>
      <c r="L45" s="25">
        <v>524</v>
      </c>
      <c r="M45" s="25">
        <v>464</v>
      </c>
      <c r="N45" s="23">
        <v>0</v>
      </c>
      <c r="O45" s="29" t="s">
        <v>254</v>
      </c>
    </row>
    <row r="46" spans="1:15" ht="27" thickBot="1" x14ac:dyDescent="0.35">
      <c r="A46" s="26">
        <v>30503</v>
      </c>
      <c r="B46" s="18">
        <v>45973</v>
      </c>
      <c r="C46" s="19" t="s">
        <v>94</v>
      </c>
      <c r="D46" s="19" t="s">
        <v>255</v>
      </c>
      <c r="E46" s="19" t="s">
        <v>116</v>
      </c>
      <c r="F46" s="20"/>
      <c r="G46" s="39" t="str">
        <f>_xlfn.XLOOKUP(Diego[[#This Row],[ID]],Tabla2[ID],Tabla2[Corregimiento],"NA")</f>
        <v>NA</v>
      </c>
      <c r="H46" s="20"/>
      <c r="I46" s="20"/>
      <c r="J46" s="41">
        <v>1</v>
      </c>
      <c r="K46" s="21">
        <v>60</v>
      </c>
      <c r="L46" s="21">
        <v>750</v>
      </c>
      <c r="M46" s="21">
        <v>690</v>
      </c>
      <c r="N46" s="19">
        <v>0</v>
      </c>
      <c r="O46" s="28" t="s">
        <v>251</v>
      </c>
    </row>
    <row r="47" spans="1:15" ht="27" thickBot="1" x14ac:dyDescent="0.35">
      <c r="A47" s="27">
        <v>57099</v>
      </c>
      <c r="B47" s="22">
        <v>45943</v>
      </c>
      <c r="C47" s="23" t="s">
        <v>94</v>
      </c>
      <c r="D47" s="23" t="s">
        <v>256</v>
      </c>
      <c r="E47" s="23" t="s">
        <v>116</v>
      </c>
      <c r="F47" s="24"/>
      <c r="G47" s="40" t="str">
        <f>_xlfn.XLOOKUP(Diego[[#This Row],[ID]],Tabla2[ID],Tabla2[Corregimiento],"NA")</f>
        <v>NA</v>
      </c>
      <c r="H47" s="24"/>
      <c r="I47" s="24"/>
      <c r="J47" s="42">
        <v>2</v>
      </c>
      <c r="K47" s="25">
        <v>120</v>
      </c>
      <c r="L47" s="23" t="s">
        <v>257</v>
      </c>
      <c r="M47" s="23" t="s">
        <v>258</v>
      </c>
      <c r="N47" s="23">
        <v>0</v>
      </c>
      <c r="O47" s="29" t="s">
        <v>251</v>
      </c>
    </row>
    <row r="48" spans="1:15" ht="27" thickBot="1" x14ac:dyDescent="0.35">
      <c r="A48" s="26">
        <v>30441</v>
      </c>
      <c r="B48" s="18">
        <v>45971</v>
      </c>
      <c r="C48" s="19" t="s">
        <v>94</v>
      </c>
      <c r="D48" s="19" t="s">
        <v>259</v>
      </c>
      <c r="E48" s="19" t="s">
        <v>145</v>
      </c>
      <c r="F48" s="19"/>
      <c r="G48" s="19" t="str">
        <f>_xlfn.XLOOKUP(Diego[[#This Row],[ID]],Tabla2[ID],Tabla2[Corregimiento],"NA")</f>
        <v>NA</v>
      </c>
      <c r="H48" s="19" t="s">
        <v>189</v>
      </c>
      <c r="I48" s="20"/>
      <c r="J48" s="41">
        <v>1</v>
      </c>
      <c r="K48" s="21">
        <v>60</v>
      </c>
      <c r="L48" s="21">
        <v>258</v>
      </c>
      <c r="M48" s="21">
        <v>198</v>
      </c>
      <c r="N48" s="19">
        <v>1</v>
      </c>
      <c r="O48" s="28" t="s">
        <v>251</v>
      </c>
    </row>
    <row r="49" spans="1:15" ht="15" thickBot="1" x14ac:dyDescent="0.35">
      <c r="A49" s="27">
        <v>57849</v>
      </c>
      <c r="B49" s="22">
        <v>45972</v>
      </c>
      <c r="C49" s="23" t="s">
        <v>94</v>
      </c>
      <c r="D49" s="23" t="s">
        <v>260</v>
      </c>
      <c r="E49" s="23" t="s">
        <v>145</v>
      </c>
      <c r="F49" s="23"/>
      <c r="G49" s="23" t="str">
        <f>_xlfn.XLOOKUP(Diego[[#This Row],[ID]],Tabla2[ID],Tabla2[Corregimiento],"NA")</f>
        <v>NA</v>
      </c>
      <c r="H49" s="23" t="s">
        <v>189</v>
      </c>
      <c r="I49" s="24"/>
      <c r="J49" s="42">
        <v>1</v>
      </c>
      <c r="K49" s="25">
        <v>60</v>
      </c>
      <c r="L49" s="25">
        <v>400</v>
      </c>
      <c r="M49" s="25">
        <v>340</v>
      </c>
      <c r="N49" s="23">
        <v>1</v>
      </c>
      <c r="O49" s="29" t="s">
        <v>254</v>
      </c>
    </row>
    <row r="50" spans="1:15" ht="27" thickBot="1" x14ac:dyDescent="0.35">
      <c r="A50" s="26">
        <v>58313</v>
      </c>
      <c r="B50" s="18">
        <v>45972</v>
      </c>
      <c r="C50" s="19" t="s">
        <v>94</v>
      </c>
      <c r="D50" s="19" t="s">
        <v>261</v>
      </c>
      <c r="E50" s="19" t="s">
        <v>108</v>
      </c>
      <c r="F50" s="19"/>
      <c r="G50" s="19" t="str">
        <f>_xlfn.XLOOKUP(Diego[[#This Row],[ID]],Tabla2[ID],Tabla2[Corregimiento],"NA")</f>
        <v>NA</v>
      </c>
      <c r="H50" s="19" t="s">
        <v>138</v>
      </c>
      <c r="I50" s="20"/>
      <c r="J50" s="41">
        <v>1</v>
      </c>
      <c r="K50" s="21">
        <v>60</v>
      </c>
      <c r="L50" s="19" t="s">
        <v>262</v>
      </c>
      <c r="M50" s="19" t="s">
        <v>263</v>
      </c>
      <c r="N50" s="19">
        <v>1</v>
      </c>
      <c r="O50" s="28" t="s">
        <v>100</v>
      </c>
    </row>
    <row r="51" spans="1:15" ht="27" thickBot="1" x14ac:dyDescent="0.35">
      <c r="A51" s="27">
        <v>58549</v>
      </c>
      <c r="B51" s="22">
        <v>45978</v>
      </c>
      <c r="C51" s="23" t="s">
        <v>94</v>
      </c>
      <c r="D51" s="23" t="s">
        <v>264</v>
      </c>
      <c r="E51" s="23" t="s">
        <v>265</v>
      </c>
      <c r="F51" s="23">
        <v>4</v>
      </c>
      <c r="G51" s="23" t="str">
        <f>_xlfn.XLOOKUP(Diego[[#This Row],[ID]],Tabla2[ID],Tabla2[Corregimiento],"NA")</f>
        <v>El Carmen</v>
      </c>
      <c r="H51" s="23">
        <v>4</v>
      </c>
      <c r="I51" s="24"/>
      <c r="J51" s="42">
        <v>1</v>
      </c>
      <c r="K51" s="25">
        <v>50</v>
      </c>
      <c r="L51" s="23" t="s">
        <v>266</v>
      </c>
      <c r="M51" s="23" t="s">
        <v>267</v>
      </c>
      <c r="N51" s="23">
        <v>1</v>
      </c>
      <c r="O51" s="29" t="s">
        <v>120</v>
      </c>
    </row>
    <row r="52" spans="1:15" ht="40.200000000000003" thickBot="1" x14ac:dyDescent="0.35">
      <c r="A52" s="26">
        <v>58539</v>
      </c>
      <c r="B52" s="18">
        <v>45978</v>
      </c>
      <c r="C52" s="19" t="s">
        <v>94</v>
      </c>
      <c r="D52" s="19" t="s">
        <v>243</v>
      </c>
      <c r="E52" s="19" t="s">
        <v>244</v>
      </c>
      <c r="F52" s="19"/>
      <c r="G52" s="19" t="str">
        <f>_xlfn.XLOOKUP(Diego[[#This Row],[ID]],Tabla2[ID],Tabla2[Corregimiento],"NA")</f>
        <v>NA</v>
      </c>
      <c r="H52" s="19" t="s">
        <v>268</v>
      </c>
      <c r="I52" s="20"/>
      <c r="J52" s="41">
        <v>1</v>
      </c>
      <c r="K52" s="21">
        <v>40</v>
      </c>
      <c r="L52" s="21">
        <v>162</v>
      </c>
      <c r="M52" s="21">
        <v>122</v>
      </c>
      <c r="N52" s="19">
        <v>1</v>
      </c>
      <c r="O52" s="28" t="s">
        <v>100</v>
      </c>
    </row>
    <row r="53" spans="1:15" ht="15" thickBot="1" x14ac:dyDescent="0.35">
      <c r="A53" s="27">
        <v>30562</v>
      </c>
      <c r="B53" s="23" t="s">
        <v>116</v>
      </c>
      <c r="C53" s="23" t="s">
        <v>94</v>
      </c>
      <c r="D53" s="23" t="s">
        <v>116</v>
      </c>
      <c r="E53" s="23" t="s">
        <v>269</v>
      </c>
      <c r="F53" s="23">
        <v>10</v>
      </c>
      <c r="G53" s="23" t="str">
        <f>_xlfn.XLOOKUP(Diego[[#This Row],[ID]],Tabla2[ID],Tabla2[Corregimiento],"NA")</f>
        <v>El Queremal</v>
      </c>
      <c r="H53" s="23" t="s">
        <v>270</v>
      </c>
      <c r="I53" s="24"/>
      <c r="J53" s="42">
        <v>1</v>
      </c>
      <c r="K53" s="25">
        <v>80</v>
      </c>
      <c r="L53" s="23" t="s">
        <v>271</v>
      </c>
      <c r="M53" s="23" t="s">
        <v>272</v>
      </c>
      <c r="N53" s="23">
        <v>0</v>
      </c>
      <c r="O53" s="29" t="s">
        <v>120</v>
      </c>
    </row>
    <row r="54" spans="1:15" ht="15" thickBot="1" x14ac:dyDescent="0.35">
      <c r="A54" s="26">
        <v>58415</v>
      </c>
      <c r="B54" s="18">
        <v>45974</v>
      </c>
      <c r="C54" s="19" t="s">
        <v>94</v>
      </c>
      <c r="D54" s="19" t="s">
        <v>273</v>
      </c>
      <c r="E54" s="19" t="s">
        <v>246</v>
      </c>
      <c r="F54" s="19">
        <v>4</v>
      </c>
      <c r="G54" s="19" t="str">
        <f>_xlfn.XLOOKUP(Diego[[#This Row],[ID]],Tabla2[ID],Tabla2[Corregimiento],"NA")</f>
        <v>El Carmen</v>
      </c>
      <c r="H54" s="19" t="s">
        <v>138</v>
      </c>
      <c r="I54" s="20"/>
      <c r="J54" s="41">
        <v>1</v>
      </c>
      <c r="K54" s="21">
        <v>60</v>
      </c>
      <c r="L54" s="21">
        <v>955.8</v>
      </c>
      <c r="M54" s="21">
        <v>895.8</v>
      </c>
      <c r="N54" s="19">
        <v>1</v>
      </c>
      <c r="O54" s="28" t="s">
        <v>100</v>
      </c>
    </row>
    <row r="55" spans="1:15" ht="27" thickBot="1" x14ac:dyDescent="0.35">
      <c r="A55" s="27">
        <v>58584</v>
      </c>
      <c r="B55" s="22">
        <v>45979</v>
      </c>
      <c r="C55" s="23" t="s">
        <v>94</v>
      </c>
      <c r="D55" s="23" t="s">
        <v>274</v>
      </c>
      <c r="E55" s="23" t="s">
        <v>275</v>
      </c>
      <c r="F55" s="24"/>
      <c r="G55" s="40" t="str">
        <f>_xlfn.XLOOKUP(Diego[[#This Row],[ID]],Tabla2[ID],Tabla2[Corregimiento],"NA")</f>
        <v>NA</v>
      </c>
      <c r="H55" s="24"/>
      <c r="I55" s="24"/>
      <c r="J55" s="42">
        <v>1</v>
      </c>
      <c r="K55" s="25">
        <v>40</v>
      </c>
      <c r="L55" s="25">
        <v>396</v>
      </c>
      <c r="M55" s="25">
        <v>356</v>
      </c>
      <c r="N55" s="23">
        <v>0</v>
      </c>
      <c r="O55" s="29" t="s">
        <v>120</v>
      </c>
    </row>
    <row r="56" spans="1:15" ht="15" thickBot="1" x14ac:dyDescent="0.35">
      <c r="A56" s="26">
        <v>58574</v>
      </c>
      <c r="B56" s="18">
        <v>45979</v>
      </c>
      <c r="C56" s="19" t="s">
        <v>94</v>
      </c>
      <c r="D56" s="19" t="s">
        <v>274</v>
      </c>
      <c r="E56" s="19" t="s">
        <v>248</v>
      </c>
      <c r="F56" s="19"/>
      <c r="G56" s="19" t="str">
        <f>_xlfn.XLOOKUP(Diego[[#This Row],[ID]],Tabla2[ID],Tabla2[Corregimiento],"NA")</f>
        <v>NA</v>
      </c>
      <c r="H56" s="19" t="s">
        <v>212</v>
      </c>
      <c r="I56" s="20"/>
      <c r="J56" s="41">
        <v>1</v>
      </c>
      <c r="K56" s="21">
        <v>40</v>
      </c>
      <c r="L56" s="21">
        <v>482.4</v>
      </c>
      <c r="M56" s="21">
        <v>442.4</v>
      </c>
      <c r="N56" s="19">
        <v>0</v>
      </c>
      <c r="O56" s="28" t="s">
        <v>254</v>
      </c>
    </row>
    <row r="57" spans="1:15" ht="15" thickBot="1" x14ac:dyDescent="0.35">
      <c r="A57" s="27">
        <v>58571</v>
      </c>
      <c r="B57" s="23" t="s">
        <v>116</v>
      </c>
      <c r="C57" s="23" t="s">
        <v>94</v>
      </c>
      <c r="D57" s="23" t="s">
        <v>276</v>
      </c>
      <c r="E57" s="23" t="s">
        <v>137</v>
      </c>
      <c r="F57" s="23">
        <v>4</v>
      </c>
      <c r="G57" s="23" t="str">
        <f>_xlfn.XLOOKUP(Diego[[#This Row],[ID]],Tabla2[ID],Tabla2[Corregimiento],"NA")</f>
        <v>El Carmen</v>
      </c>
      <c r="H57" s="23" t="s">
        <v>138</v>
      </c>
      <c r="I57" s="24"/>
      <c r="J57" s="42">
        <v>1</v>
      </c>
      <c r="K57" s="25">
        <v>60</v>
      </c>
      <c r="L57" s="23" t="s">
        <v>277</v>
      </c>
      <c r="M57" s="25">
        <v>985</v>
      </c>
      <c r="N57" s="23">
        <v>1</v>
      </c>
      <c r="O57" s="29" t="s">
        <v>251</v>
      </c>
    </row>
    <row r="58" spans="1:15" ht="15" thickBot="1" x14ac:dyDescent="0.35">
      <c r="A58" s="26">
        <v>30535</v>
      </c>
      <c r="B58" s="19" t="s">
        <v>116</v>
      </c>
      <c r="C58" s="19" t="s">
        <v>94</v>
      </c>
      <c r="D58" s="19" t="s">
        <v>116</v>
      </c>
      <c r="E58" s="19" t="s">
        <v>278</v>
      </c>
      <c r="F58" s="19"/>
      <c r="G58" s="19" t="str">
        <f>_xlfn.XLOOKUP(Diego[[#This Row],[ID]],Tabla2[ID],Tabla2[Corregimiento],"NA")</f>
        <v>NA</v>
      </c>
      <c r="H58" s="19">
        <v>1</v>
      </c>
      <c r="I58" s="20"/>
      <c r="J58" s="41">
        <v>1</v>
      </c>
      <c r="K58" s="21">
        <v>30</v>
      </c>
      <c r="L58" s="19" t="s">
        <v>279</v>
      </c>
      <c r="M58" s="19" t="s">
        <v>280</v>
      </c>
      <c r="N58" s="19">
        <v>0</v>
      </c>
      <c r="O58" s="28" t="s">
        <v>251</v>
      </c>
    </row>
    <row r="59" spans="1:15" ht="27" thickBot="1" x14ac:dyDescent="0.35">
      <c r="A59" s="27">
        <v>30532</v>
      </c>
      <c r="B59" s="22">
        <v>45975</v>
      </c>
      <c r="C59" s="23" t="s">
        <v>94</v>
      </c>
      <c r="D59" s="23" t="s">
        <v>281</v>
      </c>
      <c r="E59" s="23" t="s">
        <v>160</v>
      </c>
      <c r="F59" s="23"/>
      <c r="G59" s="23" t="str">
        <f>_xlfn.XLOOKUP(Diego[[#This Row],[ID]],Tabla2[ID],Tabla2[Corregimiento],"NA")</f>
        <v>NA</v>
      </c>
      <c r="H59" s="23" t="s">
        <v>161</v>
      </c>
      <c r="I59" s="24"/>
      <c r="J59" s="42">
        <v>1</v>
      </c>
      <c r="K59" s="25">
        <v>40</v>
      </c>
      <c r="L59" s="25">
        <v>634.9</v>
      </c>
      <c r="M59" s="25">
        <v>594.9</v>
      </c>
      <c r="N59" s="23">
        <v>0</v>
      </c>
      <c r="O59" s="29" t="s">
        <v>254</v>
      </c>
    </row>
    <row r="60" spans="1:15" ht="27" thickBot="1" x14ac:dyDescent="0.35">
      <c r="A60" s="26">
        <v>30513</v>
      </c>
      <c r="B60" s="18">
        <v>45973</v>
      </c>
      <c r="C60" s="19" t="s">
        <v>94</v>
      </c>
      <c r="D60" s="19" t="s">
        <v>282</v>
      </c>
      <c r="E60" s="19" t="s">
        <v>283</v>
      </c>
      <c r="F60" s="19"/>
      <c r="G60" s="19" t="str">
        <f>_xlfn.XLOOKUP(Diego[[#This Row],[ID]],Tabla2[ID],Tabla2[Corregimiento],"NA")</f>
        <v>NA</v>
      </c>
      <c r="H60" s="19">
        <v>7</v>
      </c>
      <c r="I60" s="20"/>
      <c r="J60" s="41">
        <v>2</v>
      </c>
      <c r="K60" s="21">
        <v>160</v>
      </c>
      <c r="L60" s="19" t="s">
        <v>186</v>
      </c>
      <c r="M60" s="19" t="s">
        <v>284</v>
      </c>
      <c r="N60" s="19">
        <v>1</v>
      </c>
      <c r="O60" s="28" t="s">
        <v>254</v>
      </c>
    </row>
    <row r="61" spans="1:15" ht="15" thickBot="1" x14ac:dyDescent="0.35">
      <c r="A61" s="27">
        <v>30560</v>
      </c>
      <c r="B61" s="22">
        <v>45979</v>
      </c>
      <c r="C61" s="23" t="s">
        <v>94</v>
      </c>
      <c r="D61" s="23" t="s">
        <v>116</v>
      </c>
      <c r="E61" s="23" t="s">
        <v>285</v>
      </c>
      <c r="F61" s="23">
        <v>4</v>
      </c>
      <c r="G61" s="23" t="str">
        <f>_xlfn.XLOOKUP(Diego[[#This Row],[ID]],Tabla2[ID],Tabla2[Corregimiento],"NA")</f>
        <v>El Carmen</v>
      </c>
      <c r="H61" s="23" t="s">
        <v>286</v>
      </c>
      <c r="I61" s="24"/>
      <c r="J61" s="42">
        <v>1</v>
      </c>
      <c r="K61" s="25">
        <v>60</v>
      </c>
      <c r="L61" s="23" t="s">
        <v>287</v>
      </c>
      <c r="M61" s="23" t="s">
        <v>288</v>
      </c>
      <c r="N61" s="23">
        <v>0</v>
      </c>
      <c r="O61" s="29" t="s">
        <v>254</v>
      </c>
    </row>
    <row r="62" spans="1:15" ht="27" thickBot="1" x14ac:dyDescent="0.35">
      <c r="A62" s="26">
        <v>58563</v>
      </c>
      <c r="B62" s="18">
        <v>45978</v>
      </c>
      <c r="C62" s="19" t="s">
        <v>94</v>
      </c>
      <c r="D62" s="19" t="s">
        <v>247</v>
      </c>
      <c r="E62" s="19" t="s">
        <v>116</v>
      </c>
      <c r="F62" s="20"/>
      <c r="G62" s="39" t="str">
        <f>_xlfn.XLOOKUP(Diego[[#This Row],[ID]],Tabla2[ID],Tabla2[Corregimiento],"NA")</f>
        <v>NA</v>
      </c>
      <c r="H62" s="20"/>
      <c r="I62" s="20"/>
      <c r="J62" s="41">
        <v>1</v>
      </c>
      <c r="K62" s="21">
        <v>240</v>
      </c>
      <c r="L62" s="19" t="s">
        <v>289</v>
      </c>
      <c r="M62" s="21">
        <v>804.5</v>
      </c>
      <c r="N62" s="19">
        <v>1</v>
      </c>
      <c r="O62" s="28" t="s">
        <v>290</v>
      </c>
    </row>
    <row r="63" spans="1:15" ht="27" thickBot="1" x14ac:dyDescent="0.35">
      <c r="A63" s="27">
        <v>30574</v>
      </c>
      <c r="B63" s="22">
        <v>45980</v>
      </c>
      <c r="C63" s="23" t="s">
        <v>94</v>
      </c>
      <c r="D63" s="23" t="s">
        <v>291</v>
      </c>
      <c r="E63" s="23" t="s">
        <v>292</v>
      </c>
      <c r="F63" s="23">
        <v>4</v>
      </c>
      <c r="G63" s="23" t="str">
        <f>_xlfn.XLOOKUP(Diego[[#This Row],[ID]],Tabla2[ID],Tabla2[Corregimiento],"NA")</f>
        <v>El Carmen</v>
      </c>
      <c r="H63" s="23">
        <v>5</v>
      </c>
      <c r="I63" s="24"/>
      <c r="J63" s="42">
        <v>1</v>
      </c>
      <c r="K63" s="25">
        <v>20</v>
      </c>
      <c r="L63" s="25">
        <v>240</v>
      </c>
      <c r="M63" s="25">
        <v>220</v>
      </c>
      <c r="N63" s="23">
        <v>0</v>
      </c>
      <c r="O63" s="29" t="s">
        <v>254</v>
      </c>
    </row>
    <row r="64" spans="1:15" ht="27" thickBot="1" x14ac:dyDescent="0.35">
      <c r="A64" s="26">
        <v>30586</v>
      </c>
      <c r="B64" s="18">
        <v>45980</v>
      </c>
      <c r="C64" s="19" t="s">
        <v>94</v>
      </c>
      <c r="D64" s="19" t="s">
        <v>293</v>
      </c>
      <c r="E64" s="19" t="s">
        <v>108</v>
      </c>
      <c r="F64" s="19"/>
      <c r="G64" s="19" t="str">
        <f>_xlfn.XLOOKUP(Diego[[#This Row],[ID]],Tabla2[ID],Tabla2[Corregimiento],"NA")</f>
        <v>NA</v>
      </c>
      <c r="H64" s="19">
        <v>4</v>
      </c>
      <c r="I64" s="20"/>
      <c r="J64" s="41">
        <v>1</v>
      </c>
      <c r="K64" s="21">
        <v>50</v>
      </c>
      <c r="L64" s="21">
        <v>303</v>
      </c>
      <c r="M64" s="21">
        <v>253</v>
      </c>
      <c r="N64" s="19">
        <v>0</v>
      </c>
      <c r="O64" s="28" t="s">
        <v>251</v>
      </c>
    </row>
    <row r="65" spans="1:15" ht="27" thickBot="1" x14ac:dyDescent="0.35">
      <c r="A65" s="27">
        <v>30495</v>
      </c>
      <c r="B65" s="22">
        <v>45981</v>
      </c>
      <c r="C65" s="23" t="s">
        <v>94</v>
      </c>
      <c r="D65" s="23" t="s">
        <v>294</v>
      </c>
      <c r="E65" s="23" t="s">
        <v>295</v>
      </c>
      <c r="F65" s="23"/>
      <c r="G65" s="23" t="str">
        <f>_xlfn.XLOOKUP(Diego[[#This Row],[ID]],Tabla2[ID],Tabla2[Corregimiento],"NA")</f>
        <v>NA</v>
      </c>
      <c r="H65" s="23" t="s">
        <v>296</v>
      </c>
      <c r="I65" s="24"/>
      <c r="J65" s="42">
        <v>1</v>
      </c>
      <c r="K65" s="25">
        <v>70</v>
      </c>
      <c r="L65" s="23" t="s">
        <v>297</v>
      </c>
      <c r="M65" s="23" t="s">
        <v>298</v>
      </c>
      <c r="N65" s="23">
        <v>1</v>
      </c>
      <c r="O65" s="29" t="s">
        <v>254</v>
      </c>
    </row>
    <row r="66" spans="1:15" ht="27" thickBot="1" x14ac:dyDescent="0.35">
      <c r="A66" s="26">
        <v>30602</v>
      </c>
      <c r="B66" s="18">
        <v>45981</v>
      </c>
      <c r="C66" s="19" t="s">
        <v>94</v>
      </c>
      <c r="D66" s="19" t="s">
        <v>299</v>
      </c>
      <c r="E66" s="19" t="s">
        <v>172</v>
      </c>
      <c r="F66" s="19">
        <v>2</v>
      </c>
      <c r="G66" s="19" t="str">
        <f>_xlfn.XLOOKUP(Diego[[#This Row],[ID]],Tabla2[ID],Tabla2[Corregimiento],"NA")</f>
        <v>Borrero Ayerbe</v>
      </c>
      <c r="H66" s="19">
        <v>3</v>
      </c>
      <c r="I66" s="20"/>
      <c r="J66" s="41">
        <v>1</v>
      </c>
      <c r="K66" s="21">
        <v>40</v>
      </c>
      <c r="L66" s="19" t="s">
        <v>300</v>
      </c>
      <c r="M66" s="19" t="s">
        <v>301</v>
      </c>
      <c r="N66" s="19">
        <v>0</v>
      </c>
      <c r="O66" s="28" t="s">
        <v>120</v>
      </c>
    </row>
    <row r="67" spans="1:15" ht="40.200000000000003" thickBot="1" x14ac:dyDescent="0.35">
      <c r="A67" s="27">
        <v>30489</v>
      </c>
      <c r="B67" s="22">
        <v>45981</v>
      </c>
      <c r="C67" s="23" t="s">
        <v>94</v>
      </c>
      <c r="D67" s="23" t="s">
        <v>302</v>
      </c>
      <c r="E67" s="23" t="s">
        <v>108</v>
      </c>
      <c r="F67" s="23"/>
      <c r="G67" s="23" t="str">
        <f>_xlfn.XLOOKUP(Diego[[#This Row],[ID]],Tabla2[ID],Tabla2[Corregimiento],"NA")</f>
        <v>NA</v>
      </c>
      <c r="H67" s="23">
        <v>4</v>
      </c>
      <c r="I67" s="24"/>
      <c r="J67" s="42">
        <v>1</v>
      </c>
      <c r="K67" s="25">
        <v>30</v>
      </c>
      <c r="L67" s="25">
        <v>220.3</v>
      </c>
      <c r="M67" s="25">
        <v>190.3</v>
      </c>
      <c r="N67" s="23">
        <v>0</v>
      </c>
      <c r="O67" s="29" t="s">
        <v>120</v>
      </c>
    </row>
    <row r="68" spans="1:15" ht="27" thickBot="1" x14ac:dyDescent="0.35">
      <c r="A68" s="26">
        <v>58947</v>
      </c>
      <c r="B68" s="18">
        <v>45981</v>
      </c>
      <c r="C68" s="19" t="s">
        <v>94</v>
      </c>
      <c r="D68" s="19" t="s">
        <v>303</v>
      </c>
      <c r="E68" s="19" t="s">
        <v>304</v>
      </c>
      <c r="F68" s="19">
        <v>4</v>
      </c>
      <c r="G68" s="19" t="str">
        <f>_xlfn.XLOOKUP(Diego[[#This Row],[ID]],Tabla2[ID],Tabla2[Corregimiento],"NA")</f>
        <v>El Carmen</v>
      </c>
      <c r="H68" s="19" t="s">
        <v>305</v>
      </c>
      <c r="I68" s="20"/>
      <c r="J68" s="41">
        <v>1</v>
      </c>
      <c r="K68" s="21">
        <v>50</v>
      </c>
      <c r="L68" s="19" t="s">
        <v>306</v>
      </c>
      <c r="M68" s="19" t="s">
        <v>307</v>
      </c>
      <c r="N68" s="19">
        <v>0</v>
      </c>
      <c r="O68" s="28" t="s">
        <v>251</v>
      </c>
    </row>
    <row r="69" spans="1:15" ht="15" thickBot="1" x14ac:dyDescent="0.35">
      <c r="A69" s="27">
        <v>30486</v>
      </c>
      <c r="B69" s="23" t="s">
        <v>116</v>
      </c>
      <c r="C69" s="23" t="s">
        <v>94</v>
      </c>
      <c r="D69" s="23" t="s">
        <v>308</v>
      </c>
      <c r="E69" s="23" t="s">
        <v>309</v>
      </c>
      <c r="F69" s="24"/>
      <c r="G69" s="40" t="str">
        <f>_xlfn.XLOOKUP(Diego[[#This Row],[ID]],Tabla2[ID],Tabla2[Corregimiento],"NA")</f>
        <v>NA</v>
      </c>
      <c r="H69" s="24"/>
      <c r="I69" s="24"/>
      <c r="J69" s="42">
        <v>1</v>
      </c>
      <c r="K69" s="25">
        <v>25</v>
      </c>
      <c r="L69" s="25">
        <v>108.1</v>
      </c>
      <c r="M69" s="25">
        <v>83.1</v>
      </c>
      <c r="N69" s="23">
        <v>0</v>
      </c>
      <c r="O69" s="29" t="s">
        <v>251</v>
      </c>
    </row>
    <row r="70" spans="1:15" ht="27" thickBot="1" x14ac:dyDescent="0.35">
      <c r="A70" s="26">
        <v>58760</v>
      </c>
      <c r="B70" s="18">
        <v>45981</v>
      </c>
      <c r="C70" s="19" t="s">
        <v>94</v>
      </c>
      <c r="D70" s="19" t="s">
        <v>310</v>
      </c>
      <c r="E70" s="19" t="s">
        <v>222</v>
      </c>
      <c r="F70" s="20"/>
      <c r="G70" s="39" t="str">
        <f>_xlfn.XLOOKUP(Diego[[#This Row],[ID]],Tabla2[ID],Tabla2[Corregimiento],"NA")</f>
        <v>NA</v>
      </c>
      <c r="H70" s="20"/>
      <c r="I70" s="20"/>
      <c r="J70" s="41">
        <v>1</v>
      </c>
      <c r="K70" s="21">
        <v>80</v>
      </c>
      <c r="L70" s="21">
        <v>284</v>
      </c>
      <c r="M70" s="21">
        <v>204</v>
      </c>
      <c r="N70" s="19">
        <v>1</v>
      </c>
      <c r="O70" s="28" t="s">
        <v>251</v>
      </c>
    </row>
    <row r="71" spans="1:15" ht="27" thickBot="1" x14ac:dyDescent="0.35">
      <c r="A71" s="27">
        <v>58646</v>
      </c>
      <c r="B71" s="22">
        <v>45981</v>
      </c>
      <c r="C71" s="23" t="s">
        <v>94</v>
      </c>
      <c r="D71" s="23" t="s">
        <v>311</v>
      </c>
      <c r="E71" s="23" t="s">
        <v>312</v>
      </c>
      <c r="F71" s="23"/>
      <c r="G71" s="23" t="str">
        <f>_xlfn.XLOOKUP(Diego[[#This Row],[ID]],Tabla2[ID],Tabla2[Corregimiento],"NA")</f>
        <v>NA</v>
      </c>
      <c r="H71" s="23" t="s">
        <v>268</v>
      </c>
      <c r="I71" s="24"/>
      <c r="J71" s="42">
        <v>1</v>
      </c>
      <c r="K71" s="25">
        <v>60</v>
      </c>
      <c r="L71" s="25">
        <v>733</v>
      </c>
      <c r="M71" s="25">
        <v>673</v>
      </c>
      <c r="N71" s="23">
        <v>1</v>
      </c>
      <c r="O71" s="29" t="s">
        <v>100</v>
      </c>
    </row>
    <row r="72" spans="1:15" ht="27" thickBot="1" x14ac:dyDescent="0.35">
      <c r="A72" s="26">
        <v>58703</v>
      </c>
      <c r="B72" s="18">
        <v>45980</v>
      </c>
      <c r="C72" s="19" t="s">
        <v>94</v>
      </c>
      <c r="D72" s="19" t="s">
        <v>216</v>
      </c>
      <c r="E72" s="19" t="s">
        <v>217</v>
      </c>
      <c r="F72" s="19">
        <v>4</v>
      </c>
      <c r="G72" s="19" t="str">
        <f>_xlfn.XLOOKUP(Diego[[#This Row],[ID]],Tabla2[ID],Tabla2[Corregimiento],"NA")</f>
        <v>El Carmen</v>
      </c>
      <c r="H72" s="19" t="s">
        <v>106</v>
      </c>
      <c r="I72" s="20"/>
      <c r="J72" s="41">
        <v>1</v>
      </c>
      <c r="K72" s="21">
        <v>40</v>
      </c>
      <c r="L72" s="21">
        <v>729.9</v>
      </c>
      <c r="M72" s="21">
        <v>689.9</v>
      </c>
      <c r="N72" s="19">
        <v>1</v>
      </c>
      <c r="O72" s="28" t="s">
        <v>100</v>
      </c>
    </row>
    <row r="73" spans="1:15" ht="15" thickBot="1" x14ac:dyDescent="0.35">
      <c r="A73" s="27">
        <v>59198</v>
      </c>
      <c r="B73" s="22">
        <v>45991</v>
      </c>
      <c r="C73" s="23" t="s">
        <v>94</v>
      </c>
      <c r="D73" s="23" t="s">
        <v>313</v>
      </c>
      <c r="E73" s="23" t="s">
        <v>253</v>
      </c>
      <c r="F73" s="23"/>
      <c r="G73" s="23" t="str">
        <f>_xlfn.XLOOKUP(Diego[[#This Row],[ID]],Tabla2[ID],Tabla2[Corregimiento],"NA")</f>
        <v>NA</v>
      </c>
      <c r="H73" s="23">
        <v>7</v>
      </c>
      <c r="I73" s="24"/>
      <c r="J73" s="42">
        <v>1</v>
      </c>
      <c r="K73" s="25">
        <v>40</v>
      </c>
      <c r="L73" s="25">
        <v>380</v>
      </c>
      <c r="M73" s="25">
        <v>340</v>
      </c>
      <c r="N73" s="23">
        <v>0</v>
      </c>
      <c r="O73" s="29" t="s">
        <v>100</v>
      </c>
    </row>
    <row r="74" spans="1:15" ht="27" thickBot="1" x14ac:dyDescent="0.35">
      <c r="A74" s="26">
        <v>59273</v>
      </c>
      <c r="B74" s="18">
        <v>45991</v>
      </c>
      <c r="C74" s="19" t="s">
        <v>94</v>
      </c>
      <c r="D74" s="19" t="s">
        <v>314</v>
      </c>
      <c r="E74" s="19" t="s">
        <v>315</v>
      </c>
      <c r="F74" s="19"/>
      <c r="G74" s="19" t="str">
        <f>_xlfn.XLOOKUP(Diego[[#This Row],[ID]],Tabla2[ID],Tabla2[Corregimiento],"NA")</f>
        <v>NA</v>
      </c>
      <c r="H74" s="19">
        <v>4</v>
      </c>
      <c r="I74" s="20"/>
      <c r="J74" s="41">
        <v>1</v>
      </c>
      <c r="K74" s="21">
        <v>30</v>
      </c>
      <c r="L74" s="21">
        <v>190</v>
      </c>
      <c r="M74" s="21">
        <v>160</v>
      </c>
      <c r="N74" s="19">
        <v>0</v>
      </c>
      <c r="O74" s="28" t="s">
        <v>100</v>
      </c>
    </row>
    <row r="75" spans="1:15" ht="27" thickBot="1" x14ac:dyDescent="0.35">
      <c r="A75" s="27">
        <v>30764</v>
      </c>
      <c r="B75" s="22">
        <v>45984</v>
      </c>
      <c r="C75" s="23" t="s">
        <v>94</v>
      </c>
      <c r="D75" s="23" t="s">
        <v>316</v>
      </c>
      <c r="E75" s="23" t="s">
        <v>309</v>
      </c>
      <c r="F75" s="24"/>
      <c r="G75" s="40" t="str">
        <f>_xlfn.XLOOKUP(Diego[[#This Row],[ID]],Tabla2[ID],Tabla2[Corregimiento],"NA")</f>
        <v>NA</v>
      </c>
      <c r="H75" s="24"/>
      <c r="I75" s="24"/>
      <c r="J75" s="42">
        <v>1</v>
      </c>
      <c r="K75" s="25">
        <v>40</v>
      </c>
      <c r="L75" s="23" t="s">
        <v>317</v>
      </c>
      <c r="M75" s="23" t="s">
        <v>318</v>
      </c>
      <c r="N75" s="23">
        <v>0</v>
      </c>
      <c r="O75" s="29" t="s">
        <v>251</v>
      </c>
    </row>
    <row r="76" spans="1:15" ht="27" thickBot="1" x14ac:dyDescent="0.35">
      <c r="A76" s="26">
        <v>59254</v>
      </c>
      <c r="B76" s="18">
        <v>45990</v>
      </c>
      <c r="C76" s="19" t="s">
        <v>94</v>
      </c>
      <c r="D76" s="19" t="s">
        <v>319</v>
      </c>
      <c r="E76" s="19" t="s">
        <v>283</v>
      </c>
      <c r="F76" s="19"/>
      <c r="G76" s="19" t="str">
        <f>_xlfn.XLOOKUP(Diego[[#This Row],[ID]],Tabla2[ID],Tabla2[Corregimiento],"NA")</f>
        <v>NA</v>
      </c>
      <c r="H76" s="19">
        <v>7</v>
      </c>
      <c r="I76" s="20"/>
      <c r="J76" s="41">
        <v>1</v>
      </c>
      <c r="K76" s="21">
        <v>80</v>
      </c>
      <c r="L76" s="21">
        <v>932.2</v>
      </c>
      <c r="M76" s="21">
        <v>852.2</v>
      </c>
      <c r="N76" s="19">
        <v>0</v>
      </c>
      <c r="O76" s="28" t="s">
        <v>100</v>
      </c>
    </row>
    <row r="77" spans="1:15" ht="15" thickBot="1" x14ac:dyDescent="0.35">
      <c r="A77" s="27">
        <v>30747</v>
      </c>
      <c r="B77" s="22">
        <v>45990</v>
      </c>
      <c r="C77" s="23" t="s">
        <v>94</v>
      </c>
      <c r="D77" s="23" t="s">
        <v>116</v>
      </c>
      <c r="E77" s="23" t="s">
        <v>312</v>
      </c>
      <c r="F77" s="23"/>
      <c r="G77" s="23" t="str">
        <f>_xlfn.XLOOKUP(Diego[[#This Row],[ID]],Tabla2[ID],Tabla2[Corregimiento],"NA")</f>
        <v>NA</v>
      </c>
      <c r="H77" s="23" t="s">
        <v>268</v>
      </c>
      <c r="I77" s="24"/>
      <c r="J77" s="42">
        <v>1</v>
      </c>
      <c r="K77" s="25">
        <v>30</v>
      </c>
      <c r="L77" s="25">
        <v>231.7</v>
      </c>
      <c r="M77" s="25">
        <v>201.7</v>
      </c>
      <c r="N77" s="23">
        <v>0</v>
      </c>
      <c r="O77" s="29" t="s">
        <v>251</v>
      </c>
    </row>
    <row r="78" spans="1:15" ht="15" thickBot="1" x14ac:dyDescent="0.35">
      <c r="A78" s="26">
        <v>59252</v>
      </c>
      <c r="B78" s="18">
        <v>45990</v>
      </c>
      <c r="C78" s="19" t="s">
        <v>94</v>
      </c>
      <c r="D78" s="19" t="s">
        <v>260</v>
      </c>
      <c r="E78" s="19" t="s">
        <v>145</v>
      </c>
      <c r="F78" s="19"/>
      <c r="G78" s="19" t="str">
        <f>_xlfn.XLOOKUP(Diego[[#This Row],[ID]],Tabla2[ID],Tabla2[Corregimiento],"NA")</f>
        <v>NA</v>
      </c>
      <c r="H78" s="19" t="s">
        <v>189</v>
      </c>
      <c r="I78" s="20"/>
      <c r="J78" s="41">
        <v>1</v>
      </c>
      <c r="K78" s="21">
        <v>60</v>
      </c>
      <c r="L78" s="21">
        <v>122.5</v>
      </c>
      <c r="M78" s="21">
        <v>62.5</v>
      </c>
      <c r="N78" s="19">
        <v>1</v>
      </c>
      <c r="O78" s="28" t="s">
        <v>120</v>
      </c>
    </row>
    <row r="79" spans="1:15" ht="15" thickBot="1" x14ac:dyDescent="0.35">
      <c r="A79" s="27">
        <v>57102</v>
      </c>
      <c r="B79" s="23" t="s">
        <v>116</v>
      </c>
      <c r="C79" s="23" t="s">
        <v>94</v>
      </c>
      <c r="D79" s="23" t="s">
        <v>320</v>
      </c>
      <c r="E79" s="23" t="s">
        <v>116</v>
      </c>
      <c r="F79" s="24"/>
      <c r="G79" s="40" t="str">
        <f>_xlfn.XLOOKUP(Diego[[#This Row],[ID]],Tabla2[ID],Tabla2[Corregimiento],"NA")</f>
        <v>NA</v>
      </c>
      <c r="H79" s="24"/>
      <c r="I79" s="24"/>
      <c r="J79" s="42">
        <v>1</v>
      </c>
      <c r="K79" s="25">
        <v>60</v>
      </c>
      <c r="L79" s="23" t="s">
        <v>321</v>
      </c>
      <c r="M79" s="23" t="s">
        <v>322</v>
      </c>
      <c r="N79" s="23">
        <v>0</v>
      </c>
      <c r="O79" s="29" t="s">
        <v>100</v>
      </c>
    </row>
    <row r="80" spans="1:15" ht="27" thickBot="1" x14ac:dyDescent="0.35">
      <c r="A80" s="26">
        <v>59184</v>
      </c>
      <c r="B80" s="19" t="s">
        <v>116</v>
      </c>
      <c r="C80" s="19" t="s">
        <v>94</v>
      </c>
      <c r="D80" s="19" t="s">
        <v>323</v>
      </c>
      <c r="E80" s="19" t="s">
        <v>324</v>
      </c>
      <c r="F80" s="20"/>
      <c r="G80" s="39" t="str">
        <f>_xlfn.XLOOKUP(Diego[[#This Row],[ID]],Tabla2[ID],Tabla2[Corregimiento],"NA")</f>
        <v>NA</v>
      </c>
      <c r="H80" s="20"/>
      <c r="I80" s="20"/>
      <c r="J80" s="41">
        <v>1</v>
      </c>
      <c r="K80" s="21">
        <v>40</v>
      </c>
      <c r="L80" s="19" t="s">
        <v>325</v>
      </c>
      <c r="M80" s="19" t="s">
        <v>326</v>
      </c>
      <c r="N80" s="19">
        <v>0</v>
      </c>
      <c r="O80" s="28" t="s">
        <v>100</v>
      </c>
    </row>
    <row r="81" spans="1:15" ht="27" thickBot="1" x14ac:dyDescent="0.35">
      <c r="A81" s="27">
        <v>59175</v>
      </c>
      <c r="B81" s="22">
        <v>45969</v>
      </c>
      <c r="C81" s="23" t="s">
        <v>94</v>
      </c>
      <c r="D81" s="23" t="s">
        <v>327</v>
      </c>
      <c r="E81" s="23" t="s">
        <v>156</v>
      </c>
      <c r="F81" s="23"/>
      <c r="G81" s="23" t="str">
        <f>_xlfn.XLOOKUP(Diego[[#This Row],[ID]],Tabla2[ID],Tabla2[Corregimiento],"NA")</f>
        <v>NA</v>
      </c>
      <c r="H81" s="23">
        <v>3</v>
      </c>
      <c r="I81" s="24"/>
      <c r="J81" s="42">
        <v>1</v>
      </c>
      <c r="K81" s="25">
        <v>40</v>
      </c>
      <c r="L81" s="25">
        <v>280</v>
      </c>
      <c r="M81" s="25">
        <v>240</v>
      </c>
      <c r="N81" s="23">
        <v>0</v>
      </c>
      <c r="O81" s="29" t="s">
        <v>100</v>
      </c>
    </row>
    <row r="82" spans="1:15" ht="27" thickBot="1" x14ac:dyDescent="0.35">
      <c r="A82" s="26">
        <v>58924</v>
      </c>
      <c r="B82" s="18">
        <v>45980</v>
      </c>
      <c r="C82" s="19" t="s">
        <v>94</v>
      </c>
      <c r="D82" s="19" t="s">
        <v>328</v>
      </c>
      <c r="E82" s="19" t="s">
        <v>137</v>
      </c>
      <c r="F82" s="19"/>
      <c r="G82" s="19" t="str">
        <f>_xlfn.XLOOKUP(Diego[[#This Row],[ID]],Tabla2[ID],Tabla2[Corregimiento],"NA")</f>
        <v>NA</v>
      </c>
      <c r="H82" s="19" t="s">
        <v>138</v>
      </c>
      <c r="I82" s="20"/>
      <c r="J82" s="41">
        <v>1</v>
      </c>
      <c r="K82" s="21">
        <v>50</v>
      </c>
      <c r="L82" s="21">
        <v>242</v>
      </c>
      <c r="M82" s="21">
        <v>192</v>
      </c>
      <c r="N82" s="19">
        <v>0</v>
      </c>
      <c r="O82" s="28" t="s">
        <v>100</v>
      </c>
    </row>
    <row r="83" spans="1:15" ht="27" thickBot="1" x14ac:dyDescent="0.35">
      <c r="A83" s="27">
        <v>59047</v>
      </c>
      <c r="B83" s="23" t="s">
        <v>116</v>
      </c>
      <c r="C83" s="23" t="s">
        <v>94</v>
      </c>
      <c r="D83" s="23" t="s">
        <v>328</v>
      </c>
      <c r="E83" s="23" t="s">
        <v>137</v>
      </c>
      <c r="F83" s="23"/>
      <c r="G83" s="23" t="str">
        <f>_xlfn.XLOOKUP(Diego[[#This Row],[ID]],Tabla2[ID],Tabla2[Corregimiento],"NA")</f>
        <v>NA</v>
      </c>
      <c r="H83" s="23" t="s">
        <v>138</v>
      </c>
      <c r="I83" s="24"/>
      <c r="J83" s="42">
        <v>1</v>
      </c>
      <c r="K83" s="25">
        <v>160</v>
      </c>
      <c r="L83" s="23" t="s">
        <v>329</v>
      </c>
      <c r="M83" s="23" t="s">
        <v>330</v>
      </c>
      <c r="N83" s="23">
        <v>1</v>
      </c>
      <c r="O83" s="29" t="s">
        <v>100</v>
      </c>
    </row>
    <row r="84" spans="1:15" ht="27" thickBot="1" x14ac:dyDescent="0.35">
      <c r="A84" s="26">
        <v>58326</v>
      </c>
      <c r="B84" s="18">
        <v>45986</v>
      </c>
      <c r="C84" s="19" t="s">
        <v>94</v>
      </c>
      <c r="D84" s="19" t="s">
        <v>331</v>
      </c>
      <c r="E84" s="19" t="s">
        <v>332</v>
      </c>
      <c r="F84" s="20"/>
      <c r="G84" s="39" t="str">
        <f>_xlfn.XLOOKUP(Diego[[#This Row],[ID]],Tabla2[ID],Tabla2[Corregimiento],"NA")</f>
        <v>NA</v>
      </c>
      <c r="H84" s="20"/>
      <c r="I84" s="20"/>
      <c r="J84" s="41">
        <v>1</v>
      </c>
      <c r="K84" s="21">
        <v>40</v>
      </c>
      <c r="L84" s="21">
        <v>436</v>
      </c>
      <c r="M84" s="21">
        <v>396</v>
      </c>
      <c r="N84" s="19">
        <v>1</v>
      </c>
      <c r="O84" s="28" t="s">
        <v>100</v>
      </c>
    </row>
    <row r="85" spans="1:15" ht="27" thickBot="1" x14ac:dyDescent="0.35">
      <c r="A85" s="27">
        <v>59071</v>
      </c>
      <c r="B85" s="22">
        <v>45987</v>
      </c>
      <c r="C85" s="23" t="s">
        <v>94</v>
      </c>
      <c r="D85" s="23" t="s">
        <v>291</v>
      </c>
      <c r="E85" s="23" t="s">
        <v>131</v>
      </c>
      <c r="F85" s="23">
        <v>4</v>
      </c>
      <c r="G85" s="23" t="str">
        <f>_xlfn.XLOOKUP(Diego[[#This Row],[ID]],Tabla2[ID],Tabla2[Corregimiento],"NA")</f>
        <v>El Carmen</v>
      </c>
      <c r="H85" s="23">
        <v>5</v>
      </c>
      <c r="I85" s="24"/>
      <c r="J85" s="42">
        <v>1</v>
      </c>
      <c r="K85" s="25">
        <v>50</v>
      </c>
      <c r="L85" s="25">
        <v>666</v>
      </c>
      <c r="M85" s="25">
        <v>616</v>
      </c>
      <c r="N85" s="23">
        <v>0</v>
      </c>
      <c r="O85" s="29" t="s">
        <v>251</v>
      </c>
    </row>
    <row r="86" spans="1:15" ht="15" thickBot="1" x14ac:dyDescent="0.35">
      <c r="A86" s="26">
        <v>59128</v>
      </c>
      <c r="B86" s="18">
        <v>45988</v>
      </c>
      <c r="C86" s="19" t="s">
        <v>94</v>
      </c>
      <c r="D86" s="19" t="s">
        <v>116</v>
      </c>
      <c r="E86" s="19" t="s">
        <v>333</v>
      </c>
      <c r="F86" s="19"/>
      <c r="G86" s="19" t="str">
        <f>_xlfn.XLOOKUP(Diego[[#This Row],[ID]],Tabla2[ID],Tabla2[Corregimiento],"NA")</f>
        <v>NA</v>
      </c>
      <c r="H86" s="19">
        <v>3</v>
      </c>
      <c r="I86" s="20"/>
      <c r="J86" s="41">
        <v>1</v>
      </c>
      <c r="K86" s="21">
        <v>40</v>
      </c>
      <c r="L86" s="21">
        <v>665</v>
      </c>
      <c r="M86" s="21">
        <v>625</v>
      </c>
      <c r="N86" s="19">
        <v>0</v>
      </c>
      <c r="O86" s="28" t="s">
        <v>251</v>
      </c>
    </row>
    <row r="87" spans="1:15" ht="15" thickBot="1" x14ac:dyDescent="0.35">
      <c r="A87" s="27">
        <v>59040</v>
      </c>
      <c r="B87" s="22">
        <v>45987</v>
      </c>
      <c r="C87" s="23" t="s">
        <v>94</v>
      </c>
      <c r="D87" s="23" t="s">
        <v>116</v>
      </c>
      <c r="E87" s="23" t="s">
        <v>116</v>
      </c>
      <c r="F87" s="24"/>
      <c r="G87" s="40" t="str">
        <f>_xlfn.XLOOKUP(Diego[[#This Row],[ID]],Tabla2[ID],Tabla2[Corregimiento],"NA")</f>
        <v>NA</v>
      </c>
      <c r="H87" s="24"/>
      <c r="I87" s="24"/>
      <c r="J87" s="42">
        <v>1</v>
      </c>
      <c r="K87" s="25">
        <v>10</v>
      </c>
      <c r="L87" s="25">
        <v>207</v>
      </c>
      <c r="M87" s="25">
        <v>197</v>
      </c>
      <c r="N87" s="23">
        <v>0</v>
      </c>
      <c r="O87" s="29" t="s">
        <v>251</v>
      </c>
    </row>
    <row r="88" spans="1:15" ht="27" thickBot="1" x14ac:dyDescent="0.35">
      <c r="A88" s="26">
        <v>58345</v>
      </c>
      <c r="B88" s="18">
        <v>45987</v>
      </c>
      <c r="C88" s="19" t="s">
        <v>94</v>
      </c>
      <c r="D88" s="19" t="s">
        <v>334</v>
      </c>
      <c r="E88" s="19" t="s">
        <v>304</v>
      </c>
      <c r="F88" s="19">
        <v>4</v>
      </c>
      <c r="G88" s="19" t="str">
        <f>_xlfn.XLOOKUP(Diego[[#This Row],[ID]],Tabla2[ID],Tabla2[Corregimiento],"NA")</f>
        <v>El Carmen</v>
      </c>
      <c r="H88" s="19" t="s">
        <v>305</v>
      </c>
      <c r="I88" s="20"/>
      <c r="J88" s="41">
        <v>1</v>
      </c>
      <c r="K88" s="21">
        <v>50</v>
      </c>
      <c r="L88" s="21">
        <v>694</v>
      </c>
      <c r="M88" s="21">
        <v>644</v>
      </c>
      <c r="N88" s="19">
        <v>0</v>
      </c>
      <c r="O88" s="28" t="s">
        <v>120</v>
      </c>
    </row>
    <row r="89" spans="1:15" ht="27" thickBot="1" x14ac:dyDescent="0.35">
      <c r="A89" s="27">
        <v>58352</v>
      </c>
      <c r="B89" s="22">
        <v>45987</v>
      </c>
      <c r="C89" s="23" t="s">
        <v>94</v>
      </c>
      <c r="D89" s="23" t="s">
        <v>299</v>
      </c>
      <c r="E89" s="23" t="s">
        <v>333</v>
      </c>
      <c r="F89" s="23"/>
      <c r="G89" s="23" t="str">
        <f>_xlfn.XLOOKUP(Diego[[#This Row],[ID]],Tabla2[ID],Tabla2[Corregimiento],"NA")</f>
        <v>NA</v>
      </c>
      <c r="H89" s="23">
        <v>3</v>
      </c>
      <c r="I89" s="24"/>
      <c r="J89" s="42">
        <v>1</v>
      </c>
      <c r="K89" s="25">
        <v>40</v>
      </c>
      <c r="L89" s="25">
        <v>532.79999999999995</v>
      </c>
      <c r="M89" s="25">
        <v>492.8</v>
      </c>
      <c r="N89" s="23">
        <v>1</v>
      </c>
      <c r="O89" s="29" t="s">
        <v>251</v>
      </c>
    </row>
    <row r="90" spans="1:15" x14ac:dyDescent="0.3">
      <c r="A90" s="33">
        <v>47578</v>
      </c>
      <c r="B90" s="34">
        <v>45972</v>
      </c>
      <c r="C90" s="35" t="s">
        <v>94</v>
      </c>
      <c r="D90" s="35" t="s">
        <v>335</v>
      </c>
      <c r="E90" s="35" t="s">
        <v>248</v>
      </c>
      <c r="F90" s="35"/>
      <c r="G90" s="35" t="str">
        <f>_xlfn.XLOOKUP(Diego[[#This Row],[ID]],Tabla2[ID],Tabla2[Corregimiento],"NA")</f>
        <v>NA</v>
      </c>
      <c r="H90" s="35" t="s">
        <v>212</v>
      </c>
      <c r="I90" s="36"/>
      <c r="J90" s="43">
        <v>1</v>
      </c>
      <c r="K90" s="37">
        <v>25</v>
      </c>
      <c r="L90" s="37">
        <v>510.3</v>
      </c>
      <c r="M90" s="37">
        <v>485.3</v>
      </c>
      <c r="N90" s="35">
        <v>0</v>
      </c>
      <c r="O90" s="38" t="s">
        <v>251</v>
      </c>
    </row>
  </sheetData>
  <dataValidations count="1">
    <dataValidation type="whole" allowBlank="1" showInputMessage="1" showErrorMessage="1" sqref="F2:F90" xr:uid="{A27E05DD-D556-4DC4-BFCA-36D1DC7DAEB5}">
      <formula1>1</formula1>
      <formula2>27</formula2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D28B-7AE5-4C2A-A469-7414E9533BC7}">
  <dimension ref="A1:J184"/>
  <sheetViews>
    <sheetView showOutlineSymbols="0" showWhiteSpace="0" workbookViewId="0"/>
  </sheetViews>
  <sheetFormatPr baseColWidth="10" defaultRowHeight="14.4" x14ac:dyDescent="0.3"/>
  <cols>
    <col min="4" max="4" width="10.88671875" customWidth="1"/>
    <col min="5" max="5" width="22.5546875" bestFit="1" customWidth="1"/>
    <col min="6" max="6" width="12.44140625" bestFit="1" customWidth="1"/>
    <col min="8" max="8" width="14" bestFit="1" customWidth="1"/>
  </cols>
  <sheetData>
    <row r="1" spans="1:8" ht="38.25" customHeight="1" x14ac:dyDescent="0.3">
      <c r="A1" s="44" t="s">
        <v>81</v>
      </c>
      <c r="B1" s="44" t="s">
        <v>82</v>
      </c>
      <c r="C1" s="47" t="s">
        <v>358</v>
      </c>
      <c r="D1" s="44" t="s">
        <v>342</v>
      </c>
      <c r="E1" s="48" t="s">
        <v>337</v>
      </c>
      <c r="F1" s="49" t="s">
        <v>339</v>
      </c>
      <c r="G1" s="49" t="s">
        <v>340</v>
      </c>
      <c r="H1" s="49" t="s">
        <v>341</v>
      </c>
    </row>
    <row r="2" spans="1:8" ht="18" x14ac:dyDescent="0.3">
      <c r="A2">
        <v>57376</v>
      </c>
      <c r="B2" s="17">
        <v>45950</v>
      </c>
      <c r="C2" s="17" t="str">
        <f>_xlfn.XLOOKUP(Tabla5[[#This Row],[N° FACTURA]],Tabla3[N° FACTURA],Tabla3[Corregimiento],"NA")</f>
        <v>Borrero Ayerbe</v>
      </c>
      <c r="D2" s="17"/>
      <c r="E2" t="s">
        <v>338</v>
      </c>
      <c r="F2" s="45">
        <v>600</v>
      </c>
      <c r="G2">
        <v>25</v>
      </c>
      <c r="H2" s="45">
        <f t="shared" ref="H2:H47" si="0">F2*G2</f>
        <v>15000</v>
      </c>
    </row>
    <row r="3" spans="1:8" ht="18" x14ac:dyDescent="0.3">
      <c r="A3">
        <v>57376</v>
      </c>
      <c r="B3" s="17">
        <v>45950</v>
      </c>
      <c r="C3" s="17" t="str">
        <f>_xlfn.XLOOKUP(Tabla5[[#This Row],[N° FACTURA]],Tabla3[N° FACTURA],Tabla3[Corregimiento],"NA")</f>
        <v>Borrero Ayerbe</v>
      </c>
      <c r="D3" s="17"/>
      <c r="E3" t="s">
        <v>343</v>
      </c>
      <c r="F3" s="45">
        <v>800</v>
      </c>
      <c r="G3">
        <v>10</v>
      </c>
      <c r="H3" s="45">
        <f t="shared" si="0"/>
        <v>8000</v>
      </c>
    </row>
    <row r="4" spans="1:8" ht="18" x14ac:dyDescent="0.3">
      <c r="A4">
        <v>57376</v>
      </c>
      <c r="B4" s="17">
        <v>45950</v>
      </c>
      <c r="C4" s="17" t="str">
        <f>_xlfn.XLOOKUP(Tabla5[[#This Row],[N° FACTURA]],Tabla3[N° FACTURA],Tabla3[Corregimiento],"NA")</f>
        <v>Borrero Ayerbe</v>
      </c>
      <c r="D4" s="17"/>
      <c r="E4" t="s">
        <v>344</v>
      </c>
      <c r="F4" s="45">
        <v>600</v>
      </c>
      <c r="G4">
        <v>10</v>
      </c>
      <c r="H4" s="45">
        <f t="shared" si="0"/>
        <v>6000</v>
      </c>
    </row>
    <row r="5" spans="1:8" ht="18" x14ac:dyDescent="0.3">
      <c r="A5">
        <v>57376</v>
      </c>
      <c r="B5" s="17">
        <v>45950</v>
      </c>
      <c r="C5" s="17" t="str">
        <f>_xlfn.XLOOKUP(Tabla5[[#This Row],[N° FACTURA]],Tabla3[N° FACTURA],Tabla3[Corregimiento],"NA")</f>
        <v>Borrero Ayerbe</v>
      </c>
      <c r="D5" s="17"/>
      <c r="E5" t="s">
        <v>345</v>
      </c>
      <c r="F5" s="45">
        <v>800</v>
      </c>
      <c r="G5">
        <v>10</v>
      </c>
      <c r="H5" s="45">
        <f t="shared" si="0"/>
        <v>8000</v>
      </c>
    </row>
    <row r="6" spans="1:8" ht="18" x14ac:dyDescent="0.3">
      <c r="A6">
        <v>57376</v>
      </c>
      <c r="B6" s="17">
        <v>45950</v>
      </c>
      <c r="C6" s="17" t="str">
        <f>_xlfn.XLOOKUP(Tabla5[[#This Row],[N° FACTURA]],Tabla3[N° FACTURA],Tabla3[Corregimiento],"NA")</f>
        <v>Borrero Ayerbe</v>
      </c>
      <c r="D6" s="17"/>
      <c r="E6" t="s">
        <v>346</v>
      </c>
      <c r="F6" s="45">
        <v>600</v>
      </c>
      <c r="G6">
        <v>15</v>
      </c>
      <c r="H6" s="45">
        <f t="shared" si="0"/>
        <v>9000</v>
      </c>
    </row>
    <row r="7" spans="1:8" ht="18" x14ac:dyDescent="0.3">
      <c r="A7">
        <v>57376</v>
      </c>
      <c r="B7" s="17">
        <v>45950</v>
      </c>
      <c r="C7" s="17" t="str">
        <f>_xlfn.XLOOKUP(Tabla5[[#This Row],[N° FACTURA]],Tabla3[N° FACTURA],Tabla3[Corregimiento],"NA")</f>
        <v>Borrero Ayerbe</v>
      </c>
      <c r="D7" s="17"/>
      <c r="E7" t="s">
        <v>347</v>
      </c>
      <c r="F7" s="45">
        <v>1500</v>
      </c>
      <c r="G7">
        <v>25</v>
      </c>
      <c r="H7" s="45">
        <f t="shared" si="0"/>
        <v>37500</v>
      </c>
    </row>
    <row r="8" spans="1:8" ht="18" x14ac:dyDescent="0.3">
      <c r="A8">
        <v>57376</v>
      </c>
      <c r="B8" s="17">
        <v>45950</v>
      </c>
      <c r="C8" s="17" t="str">
        <f>_xlfn.XLOOKUP(Tabla5[[#This Row],[N° FACTURA]],Tabla3[N° FACTURA],Tabla3[Corregimiento],"NA")</f>
        <v>Borrero Ayerbe</v>
      </c>
      <c r="D8" s="17"/>
      <c r="E8" t="s">
        <v>348</v>
      </c>
      <c r="F8" s="45">
        <v>2300</v>
      </c>
      <c r="G8">
        <v>10</v>
      </c>
      <c r="H8" s="45">
        <f t="shared" si="0"/>
        <v>23000</v>
      </c>
    </row>
    <row r="9" spans="1:8" ht="18" x14ac:dyDescent="0.3">
      <c r="A9">
        <v>57376</v>
      </c>
      <c r="B9" s="17">
        <v>45950</v>
      </c>
      <c r="C9" s="17" t="str">
        <f>_xlfn.XLOOKUP(Tabla5[[#This Row],[N° FACTURA]],Tabla3[N° FACTURA],Tabla3[Corregimiento],"NA")</f>
        <v>Borrero Ayerbe</v>
      </c>
      <c r="D9" s="17"/>
      <c r="E9" t="s">
        <v>349</v>
      </c>
      <c r="F9" s="45">
        <v>1000</v>
      </c>
      <c r="G9">
        <v>10</v>
      </c>
      <c r="H9" s="45">
        <f t="shared" si="0"/>
        <v>10000</v>
      </c>
    </row>
    <row r="10" spans="1:8" ht="18" x14ac:dyDescent="0.3">
      <c r="A10">
        <v>57376</v>
      </c>
      <c r="B10" s="17">
        <v>45950</v>
      </c>
      <c r="C10" s="17" t="str">
        <f>_xlfn.XLOOKUP(Tabla5[[#This Row],[N° FACTURA]],Tabla3[N° FACTURA],Tabla3[Corregimiento],"NA")</f>
        <v>Borrero Ayerbe</v>
      </c>
      <c r="D10" s="17"/>
      <c r="E10" t="s">
        <v>350</v>
      </c>
      <c r="F10" s="45">
        <v>1700</v>
      </c>
      <c r="G10">
        <v>10</v>
      </c>
      <c r="H10" s="45">
        <f t="shared" si="0"/>
        <v>17000</v>
      </c>
    </row>
    <row r="11" spans="1:8" ht="18" x14ac:dyDescent="0.3">
      <c r="A11">
        <v>57376</v>
      </c>
      <c r="B11" s="17">
        <v>45950</v>
      </c>
      <c r="C11" s="17" t="str">
        <f>_xlfn.XLOOKUP(Tabla5[[#This Row],[N° FACTURA]],Tabla3[N° FACTURA],Tabla3[Corregimiento],"NA")</f>
        <v>Borrero Ayerbe</v>
      </c>
      <c r="D11" s="17"/>
      <c r="E11" t="s">
        <v>384</v>
      </c>
      <c r="F11" s="45">
        <v>1500</v>
      </c>
      <c r="G11">
        <v>20</v>
      </c>
      <c r="H11" s="45">
        <f t="shared" si="0"/>
        <v>30000</v>
      </c>
    </row>
    <row r="12" spans="1:8" ht="18" x14ac:dyDescent="0.3">
      <c r="A12">
        <v>57376</v>
      </c>
      <c r="B12" s="17">
        <v>45950</v>
      </c>
      <c r="C12" s="17" t="str">
        <f>_xlfn.XLOOKUP(Tabla5[[#This Row],[N° FACTURA]],Tabla3[N° FACTURA],Tabla3[Corregimiento],"NA")</f>
        <v>Borrero Ayerbe</v>
      </c>
      <c r="D12" s="17"/>
      <c r="E12" t="s">
        <v>351</v>
      </c>
      <c r="F12" s="45">
        <v>19200</v>
      </c>
      <c r="G12">
        <v>20</v>
      </c>
      <c r="H12" s="45">
        <f t="shared" si="0"/>
        <v>384000</v>
      </c>
    </row>
    <row r="13" spans="1:8" ht="18" x14ac:dyDescent="0.3">
      <c r="A13">
        <v>57376</v>
      </c>
      <c r="B13" s="17">
        <v>45950</v>
      </c>
      <c r="C13" s="17" t="str">
        <f>_xlfn.XLOOKUP(Tabla5[[#This Row],[N° FACTURA]],Tabla3[N° FACTURA],Tabla3[Corregimiento],"NA")</f>
        <v>Borrero Ayerbe</v>
      </c>
      <c r="D13" s="17"/>
      <c r="E13" t="s">
        <v>352</v>
      </c>
      <c r="F13" s="45">
        <v>2800</v>
      </c>
      <c r="G13">
        <v>4</v>
      </c>
      <c r="H13" s="45">
        <f t="shared" si="0"/>
        <v>11200</v>
      </c>
    </row>
    <row r="14" spans="1:8" ht="18" x14ac:dyDescent="0.3">
      <c r="A14">
        <v>57376</v>
      </c>
      <c r="B14" s="17">
        <v>45950</v>
      </c>
      <c r="C14" s="17" t="str">
        <f>_xlfn.XLOOKUP(Tabla5[[#This Row],[N° FACTURA]],Tabla3[N° FACTURA],Tabla3[Corregimiento],"NA")</f>
        <v>Borrero Ayerbe</v>
      </c>
      <c r="D14" s="17"/>
      <c r="E14" t="s">
        <v>353</v>
      </c>
      <c r="F14" s="45">
        <v>800</v>
      </c>
      <c r="G14">
        <v>12</v>
      </c>
      <c r="H14" s="45">
        <f t="shared" si="0"/>
        <v>9600</v>
      </c>
    </row>
    <row r="15" spans="1:8" ht="18" x14ac:dyDescent="0.3">
      <c r="A15">
        <v>57376</v>
      </c>
      <c r="B15" s="17">
        <v>45950</v>
      </c>
      <c r="C15" s="17" t="str">
        <f>_xlfn.XLOOKUP(Tabla5[[#This Row],[N° FACTURA]],Tabla3[N° FACTURA],Tabla3[Corregimiento],"NA")</f>
        <v>Borrero Ayerbe</v>
      </c>
      <c r="D15" s="17"/>
      <c r="E15" t="s">
        <v>354</v>
      </c>
      <c r="F15" s="45">
        <v>47000</v>
      </c>
      <c r="G15">
        <v>1</v>
      </c>
      <c r="H15" s="45">
        <f t="shared" si="0"/>
        <v>47000</v>
      </c>
    </row>
    <row r="16" spans="1:8" ht="18" x14ac:dyDescent="0.3">
      <c r="A16">
        <v>57377</v>
      </c>
      <c r="B16" s="17">
        <v>45950</v>
      </c>
      <c r="C16" s="17" t="str">
        <f>_xlfn.XLOOKUP(Tabla5[[#This Row],[N° FACTURA]],Tabla3[N° FACTURA],Tabla3[Corregimiento],"NA")</f>
        <v>NA</v>
      </c>
      <c r="D16" s="17"/>
      <c r="E16" t="s">
        <v>355</v>
      </c>
      <c r="F16" s="45">
        <v>38500</v>
      </c>
      <c r="G16" s="46">
        <v>2</v>
      </c>
      <c r="H16" s="45">
        <f t="shared" si="0"/>
        <v>77000</v>
      </c>
    </row>
    <row r="17" spans="1:10" ht="18" x14ac:dyDescent="0.3">
      <c r="A17">
        <v>57377</v>
      </c>
      <c r="B17" s="17">
        <v>45950</v>
      </c>
      <c r="C17" s="17" t="str">
        <f>_xlfn.XLOOKUP(Tabla5[[#This Row],[N° FACTURA]],Tabla3[N° FACTURA],Tabla3[Corregimiento],"NA")</f>
        <v>NA</v>
      </c>
      <c r="D17" s="17"/>
      <c r="E17" t="s">
        <v>356</v>
      </c>
      <c r="F17" s="45">
        <v>6000</v>
      </c>
      <c r="G17">
        <v>50</v>
      </c>
      <c r="H17" s="45">
        <f t="shared" si="0"/>
        <v>300000</v>
      </c>
    </row>
    <row r="18" spans="1:10" x14ac:dyDescent="0.3">
      <c r="A18">
        <v>57377</v>
      </c>
      <c r="B18" s="17">
        <v>45950</v>
      </c>
      <c r="C18" s="17" t="str">
        <f>_xlfn.XLOOKUP(Tabla5[[#This Row],[N° FACTURA]],Tabla3[N° FACTURA],Tabla3[Corregimiento],"NA")</f>
        <v>NA</v>
      </c>
      <c r="D18" s="17"/>
      <c r="E18" t="s">
        <v>357</v>
      </c>
      <c r="F18" s="45">
        <v>32000</v>
      </c>
      <c r="G18">
        <v>30</v>
      </c>
      <c r="H18" s="45">
        <f t="shared" si="0"/>
        <v>960000</v>
      </c>
    </row>
    <row r="19" spans="1:10" x14ac:dyDescent="0.3">
      <c r="A19">
        <v>57395</v>
      </c>
      <c r="B19" s="17">
        <v>45950</v>
      </c>
      <c r="C19" s="17" t="str">
        <f>_xlfn.XLOOKUP(Tabla5[[#This Row],[N° FACTURA]],Tabla3[N° FACTURA],Tabla3[Corregimiento],"NA")</f>
        <v>NA</v>
      </c>
      <c r="D19" s="17"/>
      <c r="E19" t="s">
        <v>357</v>
      </c>
      <c r="F19" s="45">
        <v>32000</v>
      </c>
      <c r="G19">
        <v>15</v>
      </c>
      <c r="H19" s="45">
        <f t="shared" si="0"/>
        <v>480000</v>
      </c>
    </row>
    <row r="20" spans="1:10" x14ac:dyDescent="0.3">
      <c r="A20">
        <v>57656</v>
      </c>
      <c r="B20" s="17">
        <v>45962</v>
      </c>
      <c r="C20" s="17" t="str">
        <f>_xlfn.XLOOKUP(Tabla5[[#This Row],[N° FACTURA]],Tabla3[N° FACTURA],Tabla3[Corregimiento],"NA")</f>
        <v>NA</v>
      </c>
      <c r="D20" s="17"/>
      <c r="E20" t="s">
        <v>360</v>
      </c>
      <c r="F20" s="45">
        <v>102000</v>
      </c>
      <c r="G20">
        <v>2</v>
      </c>
      <c r="H20" s="45">
        <f t="shared" si="0"/>
        <v>204000</v>
      </c>
      <c r="J20" s="50"/>
    </row>
    <row r="21" spans="1:10" x14ac:dyDescent="0.3">
      <c r="A21">
        <v>57907</v>
      </c>
      <c r="B21" s="17">
        <v>45961</v>
      </c>
      <c r="C21" s="17" t="str">
        <f>_xlfn.XLOOKUP(Tabla5[[#This Row],[N° FACTURA]],Tabla3[N° FACTURA],Tabla3[Corregimiento],"NA")</f>
        <v>NA</v>
      </c>
      <c r="D21" s="17"/>
      <c r="E21" t="s">
        <v>361</v>
      </c>
      <c r="F21" s="45">
        <v>6000</v>
      </c>
      <c r="G21">
        <v>6</v>
      </c>
      <c r="H21" s="45">
        <f t="shared" si="0"/>
        <v>36000</v>
      </c>
    </row>
    <row r="22" spans="1:10" x14ac:dyDescent="0.3">
      <c r="A22">
        <v>57907</v>
      </c>
      <c r="B22" s="17">
        <v>45961</v>
      </c>
      <c r="C22" s="17" t="str">
        <f>_xlfn.XLOOKUP(Tabla5[[#This Row],[N° FACTURA]],Tabla3[N° FACTURA],Tabla3[Corregimiento],"NA")</f>
        <v>NA</v>
      </c>
      <c r="D22" s="17"/>
      <c r="E22" t="s">
        <v>357</v>
      </c>
      <c r="F22" s="45">
        <v>32000</v>
      </c>
      <c r="G22">
        <v>1</v>
      </c>
      <c r="H22" s="45">
        <f t="shared" si="0"/>
        <v>32000</v>
      </c>
    </row>
    <row r="23" spans="1:10" x14ac:dyDescent="0.3">
      <c r="A23">
        <v>57907</v>
      </c>
      <c r="B23" s="17">
        <v>45961</v>
      </c>
      <c r="C23" s="17" t="str">
        <f>_xlfn.XLOOKUP(Tabla5[[#This Row],[N° FACTURA]],Tabla3[N° FACTURA],Tabla3[Corregimiento],"NA")</f>
        <v>NA</v>
      </c>
      <c r="D23" s="17"/>
      <c r="E23" t="s">
        <v>362</v>
      </c>
      <c r="F23" s="45">
        <v>4700</v>
      </c>
      <c r="G23">
        <v>2</v>
      </c>
      <c r="H23" s="45">
        <f t="shared" si="0"/>
        <v>9400</v>
      </c>
    </row>
    <row r="24" spans="1:10" x14ac:dyDescent="0.3">
      <c r="A24">
        <v>57907</v>
      </c>
      <c r="B24" s="17">
        <v>45961</v>
      </c>
      <c r="C24" s="17" t="str">
        <f>_xlfn.XLOOKUP(Tabla5[[#This Row],[N° FACTURA]],Tabla3[N° FACTURA],Tabla3[Corregimiento],"NA")</f>
        <v>NA</v>
      </c>
      <c r="D24" s="17"/>
      <c r="E24" t="s">
        <v>363</v>
      </c>
      <c r="F24" s="45">
        <v>5700</v>
      </c>
      <c r="G24">
        <v>2</v>
      </c>
      <c r="H24" s="45">
        <f t="shared" si="0"/>
        <v>11400</v>
      </c>
    </row>
    <row r="25" spans="1:10" x14ac:dyDescent="0.3">
      <c r="A25">
        <v>57907</v>
      </c>
      <c r="B25" s="17">
        <v>45961</v>
      </c>
      <c r="C25" s="17" t="str">
        <f>_xlfn.XLOOKUP(Tabla5[[#This Row],[N° FACTURA]],Tabla3[N° FACTURA],Tabla3[Corregimiento],"NA")</f>
        <v>NA</v>
      </c>
      <c r="D25" s="17"/>
      <c r="E25" t="s">
        <v>364</v>
      </c>
      <c r="F25" s="45">
        <v>14000</v>
      </c>
      <c r="G25">
        <v>2</v>
      </c>
      <c r="H25" s="45">
        <f t="shared" si="0"/>
        <v>28000</v>
      </c>
    </row>
    <row r="26" spans="1:10" x14ac:dyDescent="0.3">
      <c r="A26">
        <v>57907</v>
      </c>
      <c r="B26" s="17">
        <v>45961</v>
      </c>
      <c r="C26" s="17" t="str">
        <f>_xlfn.XLOOKUP(Tabla5[[#This Row],[N° FACTURA]],Tabla3[N° FACTURA],Tabla3[Corregimiento],"NA")</f>
        <v>NA</v>
      </c>
      <c r="D26" s="17"/>
      <c r="E26" t="s">
        <v>365</v>
      </c>
      <c r="F26" s="45">
        <v>6000</v>
      </c>
      <c r="G26">
        <v>6</v>
      </c>
      <c r="H26" s="45">
        <f t="shared" si="0"/>
        <v>36000</v>
      </c>
    </row>
    <row r="27" spans="1:10" x14ac:dyDescent="0.3">
      <c r="A27">
        <v>57907</v>
      </c>
      <c r="B27" s="17">
        <v>45961</v>
      </c>
      <c r="C27" s="17" t="str">
        <f>_xlfn.XLOOKUP(Tabla5[[#This Row],[N° FACTURA]],Tabla3[N° FACTURA],Tabla3[Corregimiento],"NA")</f>
        <v>NA</v>
      </c>
      <c r="D27" s="17"/>
      <c r="E27" t="s">
        <v>366</v>
      </c>
      <c r="F27" s="45">
        <v>600</v>
      </c>
      <c r="G27">
        <v>80</v>
      </c>
      <c r="H27" s="45">
        <f t="shared" si="0"/>
        <v>48000</v>
      </c>
    </row>
    <row r="28" spans="1:10" x14ac:dyDescent="0.3">
      <c r="A28">
        <v>58001</v>
      </c>
      <c r="B28" s="17">
        <v>45962</v>
      </c>
      <c r="C28" s="17" t="str">
        <f>_xlfn.XLOOKUP(Tabla5[[#This Row],[N° FACTURA]],Tabla3[N° FACTURA],Tabla3[Corregimiento],"NA")</f>
        <v>NA</v>
      </c>
      <c r="D28" s="17"/>
      <c r="E28" t="s">
        <v>360</v>
      </c>
      <c r="F28" s="45">
        <v>102000</v>
      </c>
      <c r="G28">
        <v>3</v>
      </c>
      <c r="H28" s="45">
        <f t="shared" si="0"/>
        <v>306000</v>
      </c>
    </row>
    <row r="29" spans="1:10" x14ac:dyDescent="0.3">
      <c r="A29">
        <v>58001</v>
      </c>
      <c r="B29" s="17">
        <v>45962</v>
      </c>
      <c r="C29" s="17" t="str">
        <f>_xlfn.XLOOKUP(Tabla5[[#This Row],[N° FACTURA]],Tabla3[N° FACTURA],Tabla3[Corregimiento],"NA")</f>
        <v>NA</v>
      </c>
      <c r="D29" s="17"/>
      <c r="E29" t="s">
        <v>357</v>
      </c>
      <c r="F29" s="45">
        <v>32000</v>
      </c>
      <c r="G29">
        <v>8</v>
      </c>
      <c r="H29" s="45">
        <f t="shared" si="0"/>
        <v>256000</v>
      </c>
    </row>
    <row r="30" spans="1:10" x14ac:dyDescent="0.3">
      <c r="A30">
        <v>58001</v>
      </c>
      <c r="B30" s="17">
        <v>45962</v>
      </c>
      <c r="C30" s="17" t="str">
        <f>_xlfn.XLOOKUP(Tabla5[[#This Row],[N° FACTURA]],Tabla3[N° FACTURA],Tabla3[Corregimiento],"NA")</f>
        <v>NA</v>
      </c>
      <c r="D30" s="17"/>
      <c r="E30" t="s">
        <v>367</v>
      </c>
      <c r="F30" s="45">
        <v>112600</v>
      </c>
      <c r="G30">
        <v>0.5</v>
      </c>
      <c r="H30" s="45">
        <f t="shared" si="0"/>
        <v>56300</v>
      </c>
    </row>
    <row r="31" spans="1:10" x14ac:dyDescent="0.3">
      <c r="A31">
        <v>58001</v>
      </c>
      <c r="B31" s="17">
        <v>45962</v>
      </c>
      <c r="C31" s="17" t="str">
        <f>_xlfn.XLOOKUP(Tabla5[[#This Row],[N° FACTURA]],Tabla3[N° FACTURA],Tabla3[Corregimiento],"NA")</f>
        <v>NA</v>
      </c>
      <c r="D31" s="17"/>
      <c r="E31" t="s">
        <v>368</v>
      </c>
      <c r="F31" s="45">
        <v>107000</v>
      </c>
      <c r="G31">
        <v>1</v>
      </c>
      <c r="H31" s="45">
        <f t="shared" si="0"/>
        <v>107000</v>
      </c>
    </row>
    <row r="32" spans="1:10" x14ac:dyDescent="0.3">
      <c r="A32">
        <v>30253</v>
      </c>
      <c r="B32" s="17">
        <v>45962</v>
      </c>
      <c r="C32" s="17" t="str">
        <f>_xlfn.XLOOKUP(Tabla5[[#This Row],[N° FACTURA]],Tabla3[N° FACTURA],Tabla3[Corregimiento],"NA")</f>
        <v>NA</v>
      </c>
      <c r="D32" s="17"/>
      <c r="E32" t="s">
        <v>369</v>
      </c>
      <c r="F32" s="45">
        <v>67000</v>
      </c>
      <c r="G32">
        <v>4</v>
      </c>
      <c r="H32" s="45">
        <f t="shared" si="0"/>
        <v>268000</v>
      </c>
    </row>
    <row r="33" spans="1:8" x14ac:dyDescent="0.3">
      <c r="A33">
        <v>30253</v>
      </c>
      <c r="B33" s="17">
        <v>45962</v>
      </c>
      <c r="C33" s="17" t="str">
        <f>_xlfn.XLOOKUP(Tabla5[[#This Row],[N° FACTURA]],Tabla3[N° FACTURA],Tabla3[Corregimiento],"NA")</f>
        <v>NA</v>
      </c>
      <c r="D33" s="17"/>
      <c r="E33" t="s">
        <v>370</v>
      </c>
      <c r="F33" s="45">
        <v>112500</v>
      </c>
      <c r="G33">
        <v>1</v>
      </c>
      <c r="H33" s="45">
        <f t="shared" si="0"/>
        <v>112500</v>
      </c>
    </row>
    <row r="34" spans="1:8" x14ac:dyDescent="0.3">
      <c r="A34">
        <v>30253</v>
      </c>
      <c r="B34" s="17">
        <v>45962</v>
      </c>
      <c r="C34" s="17" t="str">
        <f>_xlfn.XLOOKUP(Tabla5[[#This Row],[N° FACTURA]],Tabla3[N° FACTURA],Tabla3[Corregimiento],"NA")</f>
        <v>NA</v>
      </c>
      <c r="D34" s="17"/>
      <c r="E34" t="s">
        <v>371</v>
      </c>
      <c r="F34" s="45">
        <v>1750</v>
      </c>
      <c r="G34">
        <v>270</v>
      </c>
      <c r="H34" s="45">
        <f t="shared" si="0"/>
        <v>472500</v>
      </c>
    </row>
    <row r="35" spans="1:8" x14ac:dyDescent="0.3">
      <c r="A35">
        <v>30253</v>
      </c>
      <c r="B35" s="17">
        <v>45962</v>
      </c>
      <c r="C35" s="17" t="str">
        <f>_xlfn.XLOOKUP(Tabla5[[#This Row],[N° FACTURA]],Tabla3[N° FACTURA],Tabla3[Corregimiento],"NA")</f>
        <v>NA</v>
      </c>
      <c r="D35" s="17"/>
      <c r="E35" t="s">
        <v>372</v>
      </c>
      <c r="F35" s="45">
        <v>29600</v>
      </c>
      <c r="G35">
        <v>45</v>
      </c>
      <c r="H35" s="45">
        <f t="shared" si="0"/>
        <v>1332000</v>
      </c>
    </row>
    <row r="36" spans="1:8" x14ac:dyDescent="0.3">
      <c r="A36">
        <v>30253</v>
      </c>
      <c r="B36" s="17">
        <v>45962</v>
      </c>
      <c r="C36" s="17" t="str">
        <f>_xlfn.XLOOKUP(Tabla5[[#This Row],[N° FACTURA]],Tabla3[N° FACTURA],Tabla3[Corregimiento],"NA")</f>
        <v>NA</v>
      </c>
      <c r="D36" s="17"/>
      <c r="E36" t="s">
        <v>373</v>
      </c>
      <c r="F36" s="45">
        <v>21800</v>
      </c>
      <c r="G36">
        <v>1</v>
      </c>
      <c r="H36" s="45">
        <f t="shared" si="0"/>
        <v>21800</v>
      </c>
    </row>
    <row r="37" spans="1:8" x14ac:dyDescent="0.3">
      <c r="A37">
        <v>30253</v>
      </c>
      <c r="B37" s="17">
        <v>45962</v>
      </c>
      <c r="C37" s="17" t="str">
        <f>_xlfn.XLOOKUP(Tabla5[[#This Row],[N° FACTURA]],Tabla3[N° FACTURA],Tabla3[Corregimiento],"NA")</f>
        <v>NA</v>
      </c>
      <c r="D37" s="17"/>
      <c r="E37" t="s">
        <v>374</v>
      </c>
      <c r="F37" s="45">
        <v>102000</v>
      </c>
      <c r="G37">
        <v>4</v>
      </c>
      <c r="H37" s="45">
        <f t="shared" si="0"/>
        <v>408000</v>
      </c>
    </row>
    <row r="38" spans="1:8" x14ac:dyDescent="0.3">
      <c r="A38">
        <v>30253</v>
      </c>
      <c r="B38" s="17">
        <v>45962</v>
      </c>
      <c r="C38" s="17" t="str">
        <f>_xlfn.XLOOKUP(Tabla5[[#This Row],[N° FACTURA]],Tabla3[N° FACTURA],Tabla3[Corregimiento],"NA")</f>
        <v>NA</v>
      </c>
      <c r="D38" s="17"/>
      <c r="E38" t="s">
        <v>375</v>
      </c>
      <c r="F38" s="45">
        <v>31000</v>
      </c>
      <c r="G38">
        <v>30</v>
      </c>
      <c r="H38" s="45">
        <f t="shared" si="0"/>
        <v>930000</v>
      </c>
    </row>
    <row r="39" spans="1:8" x14ac:dyDescent="0.3">
      <c r="A39">
        <v>30253</v>
      </c>
      <c r="B39" s="17">
        <v>45962</v>
      </c>
      <c r="C39" s="17" t="str">
        <f>_xlfn.XLOOKUP(Tabla5[[#This Row],[N° FACTURA]],Tabla3[N° FACTURA],Tabla3[Corregimiento],"NA")</f>
        <v>NA</v>
      </c>
      <c r="D39" s="17"/>
      <c r="E39" t="s">
        <v>376</v>
      </c>
      <c r="F39" s="45">
        <v>15000</v>
      </c>
      <c r="G39">
        <v>60</v>
      </c>
      <c r="H39" s="45">
        <f t="shared" si="0"/>
        <v>900000</v>
      </c>
    </row>
    <row r="40" spans="1:8" x14ac:dyDescent="0.3">
      <c r="A40">
        <v>57971</v>
      </c>
      <c r="B40" s="17">
        <v>45962</v>
      </c>
      <c r="C40" s="17" t="str">
        <f>_xlfn.XLOOKUP(Tabla5[[#This Row],[N° FACTURA]],Tabla3[N° FACTURA],Tabla3[Corregimiento],"NA")</f>
        <v>NA</v>
      </c>
      <c r="D40" s="17"/>
      <c r="E40" t="s">
        <v>377</v>
      </c>
      <c r="F40" s="45">
        <v>22000</v>
      </c>
      <c r="G40">
        <v>21</v>
      </c>
      <c r="H40" s="45">
        <f t="shared" si="0"/>
        <v>462000</v>
      </c>
    </row>
    <row r="41" spans="1:8" x14ac:dyDescent="0.3">
      <c r="A41">
        <v>57971</v>
      </c>
      <c r="B41" s="17">
        <v>45962</v>
      </c>
      <c r="C41" s="17" t="str">
        <f>_xlfn.XLOOKUP(Tabla5[[#This Row],[N° FACTURA]],Tabla3[N° FACTURA],Tabla3[Corregimiento],"NA")</f>
        <v>NA</v>
      </c>
      <c r="D41" s="17"/>
      <c r="E41" t="s">
        <v>378</v>
      </c>
      <c r="F41" s="45">
        <v>24700</v>
      </c>
      <c r="G41">
        <v>12</v>
      </c>
      <c r="H41" s="45">
        <f t="shared" si="0"/>
        <v>296400</v>
      </c>
    </row>
    <row r="42" spans="1:8" x14ac:dyDescent="0.3">
      <c r="A42">
        <v>57971</v>
      </c>
      <c r="B42" s="17">
        <v>45962</v>
      </c>
      <c r="C42" s="17" t="str">
        <f>_xlfn.XLOOKUP(Tabla5[[#This Row],[N° FACTURA]],Tabla3[N° FACTURA],Tabla3[Corregimiento],"NA")</f>
        <v>NA</v>
      </c>
      <c r="D42" s="17"/>
      <c r="E42" t="s">
        <v>379</v>
      </c>
      <c r="F42" s="45">
        <v>51400</v>
      </c>
      <c r="G42">
        <v>4</v>
      </c>
      <c r="H42" s="45">
        <f t="shared" si="0"/>
        <v>205600</v>
      </c>
    </row>
    <row r="43" spans="1:8" x14ac:dyDescent="0.3">
      <c r="A43">
        <v>57669</v>
      </c>
      <c r="B43" s="17">
        <v>45962</v>
      </c>
      <c r="C43" s="17" t="str">
        <f>_xlfn.XLOOKUP(Tabla5[[#This Row],[N° FACTURA]],Tabla3[N° FACTURA],Tabla3[Corregimiento],"NA")</f>
        <v>NA</v>
      </c>
      <c r="D43" s="17"/>
      <c r="E43" t="s">
        <v>378</v>
      </c>
      <c r="F43" s="45">
        <v>24700</v>
      </c>
      <c r="G43">
        <v>2</v>
      </c>
      <c r="H43" s="45">
        <f t="shared" si="0"/>
        <v>49400</v>
      </c>
    </row>
    <row r="44" spans="1:8" x14ac:dyDescent="0.3">
      <c r="A44">
        <v>57669</v>
      </c>
      <c r="B44" s="17">
        <v>45962</v>
      </c>
      <c r="C44" s="17" t="str">
        <f>_xlfn.XLOOKUP(Tabla5[[#This Row],[N° FACTURA]],Tabla3[N° FACTURA],Tabla3[Corregimiento],"NA")</f>
        <v>NA</v>
      </c>
      <c r="D44" s="17"/>
      <c r="E44" t="s">
        <v>380</v>
      </c>
      <c r="F44" s="45">
        <v>230000</v>
      </c>
      <c r="G44">
        <v>1</v>
      </c>
      <c r="H44" s="45">
        <f t="shared" si="0"/>
        <v>230000</v>
      </c>
    </row>
    <row r="45" spans="1:8" x14ac:dyDescent="0.3">
      <c r="A45">
        <v>57669</v>
      </c>
      <c r="B45" s="17">
        <v>45963</v>
      </c>
      <c r="C45" s="17" t="str">
        <f>_xlfn.XLOOKUP(Tabla5[[#This Row],[N° FACTURA]],Tabla3[N° FACTURA],Tabla3[Corregimiento],"NA")</f>
        <v>NA</v>
      </c>
      <c r="D45" s="17"/>
      <c r="E45" t="s">
        <v>381</v>
      </c>
      <c r="F45" s="45">
        <v>7900</v>
      </c>
      <c r="G45">
        <v>2</v>
      </c>
      <c r="H45" s="45">
        <f t="shared" si="0"/>
        <v>15800</v>
      </c>
    </row>
    <row r="46" spans="1:8" x14ac:dyDescent="0.3">
      <c r="A46">
        <v>57669</v>
      </c>
      <c r="B46" s="17">
        <v>45964</v>
      </c>
      <c r="C46" s="17" t="str">
        <f>_xlfn.XLOOKUP(Tabla5[[#This Row],[N° FACTURA]],Tabla3[N° FACTURA],Tabla3[Corregimiento],"NA")</f>
        <v>NA</v>
      </c>
      <c r="D46" s="17"/>
      <c r="E46" t="s">
        <v>382</v>
      </c>
      <c r="F46" s="45">
        <v>155900</v>
      </c>
      <c r="G46">
        <v>1</v>
      </c>
      <c r="H46" s="45">
        <f t="shared" si="0"/>
        <v>155900</v>
      </c>
    </row>
    <row r="47" spans="1:8" x14ac:dyDescent="0.3">
      <c r="A47">
        <v>57669</v>
      </c>
      <c r="B47" s="17">
        <v>45965</v>
      </c>
      <c r="C47" s="17" t="str">
        <f>_xlfn.XLOOKUP(Tabla5[[#This Row],[N° FACTURA]],Tabla3[N° FACTURA],Tabla3[Corregimiento],"NA")</f>
        <v>NA</v>
      </c>
      <c r="D47" s="17"/>
      <c r="E47" t="s">
        <v>383</v>
      </c>
      <c r="F47" s="45">
        <v>20000</v>
      </c>
      <c r="G47">
        <v>3</v>
      </c>
      <c r="H47" s="45">
        <f t="shared" si="0"/>
        <v>60000</v>
      </c>
    </row>
    <row r="48" spans="1:8" x14ac:dyDescent="0.3">
      <c r="A48">
        <v>58124</v>
      </c>
      <c r="B48" s="17">
        <v>45967</v>
      </c>
      <c r="C48" s="17" t="str">
        <f>_xlfn.XLOOKUP(Tabla5[[#This Row],[N° FACTURA]],Tabla3[N° FACTURA],Tabla3[Corregimiento],"NA")</f>
        <v>NA</v>
      </c>
      <c r="D48" s="17"/>
      <c r="E48" t="s">
        <v>385</v>
      </c>
      <c r="F48" s="45">
        <v>31500</v>
      </c>
      <c r="G48">
        <v>12</v>
      </c>
      <c r="H48" s="45">
        <f t="shared" ref="H48:H79" si="1">F48*G48</f>
        <v>378000</v>
      </c>
    </row>
    <row r="49" spans="1:8" x14ac:dyDescent="0.3">
      <c r="A49">
        <v>30202</v>
      </c>
      <c r="B49" s="17">
        <v>45967</v>
      </c>
      <c r="C49" s="17" t="str">
        <f>_xlfn.XLOOKUP(Tabla5[[#This Row],[N° FACTURA]],Tabla3[N° FACTURA],Tabla3[Corregimiento],"NA")</f>
        <v>NA</v>
      </c>
      <c r="D49" s="17"/>
      <c r="E49" t="s">
        <v>386</v>
      </c>
      <c r="F49" s="45">
        <v>1400</v>
      </c>
      <c r="G49">
        <v>200</v>
      </c>
      <c r="H49" s="45">
        <f t="shared" si="1"/>
        <v>280000</v>
      </c>
    </row>
    <row r="50" spans="1:8" x14ac:dyDescent="0.3">
      <c r="A50">
        <v>30202</v>
      </c>
      <c r="B50" s="17">
        <v>45967</v>
      </c>
      <c r="C50" s="17" t="str">
        <f>_xlfn.XLOOKUP(Tabla5[[#This Row],[N° FACTURA]],Tabla3[N° FACTURA],Tabla3[Corregimiento],"NA")</f>
        <v>NA</v>
      </c>
      <c r="D50" s="17"/>
      <c r="E50" t="s">
        <v>357</v>
      </c>
      <c r="F50" s="45">
        <v>32000</v>
      </c>
      <c r="G50">
        <v>3</v>
      </c>
      <c r="H50" s="45">
        <f t="shared" si="1"/>
        <v>96000</v>
      </c>
    </row>
    <row r="51" spans="1:8" x14ac:dyDescent="0.3">
      <c r="A51">
        <v>30202</v>
      </c>
      <c r="B51" s="17">
        <v>45967</v>
      </c>
      <c r="C51" s="17" t="str">
        <f>_xlfn.XLOOKUP(Tabla5[[#This Row],[N° FACTURA]],Tabla3[N° FACTURA],Tabla3[Corregimiento],"NA")</f>
        <v>NA</v>
      </c>
      <c r="D51" s="17"/>
      <c r="E51" t="s">
        <v>387</v>
      </c>
      <c r="F51" s="45">
        <v>12000</v>
      </c>
      <c r="G51">
        <v>3</v>
      </c>
      <c r="H51" s="45">
        <f t="shared" si="1"/>
        <v>36000</v>
      </c>
    </row>
    <row r="52" spans="1:8" x14ac:dyDescent="0.3">
      <c r="A52">
        <v>30393</v>
      </c>
      <c r="B52" s="17">
        <v>45966</v>
      </c>
      <c r="C52" s="17" t="str">
        <f>_xlfn.XLOOKUP(Tabla5[[#This Row],[N° FACTURA]],Tabla3[N° FACTURA],Tabla3[Corregimiento],"NA")</f>
        <v>NA</v>
      </c>
      <c r="D52" s="17"/>
      <c r="E52" t="s">
        <v>357</v>
      </c>
      <c r="F52" s="45">
        <v>32000</v>
      </c>
      <c r="G52">
        <v>12</v>
      </c>
      <c r="H52" s="45">
        <f t="shared" si="1"/>
        <v>384000</v>
      </c>
    </row>
    <row r="53" spans="1:8" x14ac:dyDescent="0.3">
      <c r="A53">
        <v>30393</v>
      </c>
      <c r="B53" s="17">
        <v>45966</v>
      </c>
      <c r="C53" s="17" t="str">
        <f>_xlfn.XLOOKUP(Tabla5[[#This Row],[N° FACTURA]],Tabla3[N° FACTURA],Tabla3[Corregimiento],"NA")</f>
        <v>NA</v>
      </c>
      <c r="D53" s="17"/>
      <c r="E53" t="s">
        <v>360</v>
      </c>
      <c r="F53" s="45">
        <v>102000</v>
      </c>
      <c r="G53">
        <v>3</v>
      </c>
      <c r="H53" s="45">
        <f t="shared" si="1"/>
        <v>306000</v>
      </c>
    </row>
    <row r="54" spans="1:8" x14ac:dyDescent="0.3">
      <c r="A54">
        <v>30393</v>
      </c>
      <c r="B54" s="17">
        <v>45966</v>
      </c>
      <c r="C54" s="17" t="str">
        <f>_xlfn.XLOOKUP(Tabla5[[#This Row],[N° FACTURA]],Tabla3[N° FACTURA],Tabla3[Corregimiento],"NA")</f>
        <v>NA</v>
      </c>
      <c r="D54" s="17"/>
      <c r="E54" t="s">
        <v>388</v>
      </c>
      <c r="F54" s="45">
        <v>15500</v>
      </c>
      <c r="G54">
        <v>30</v>
      </c>
      <c r="H54" s="45">
        <f t="shared" si="1"/>
        <v>465000</v>
      </c>
    </row>
    <row r="55" spans="1:8" x14ac:dyDescent="0.3">
      <c r="A55">
        <v>30393</v>
      </c>
      <c r="B55" s="17">
        <v>45966</v>
      </c>
      <c r="C55" s="17" t="str">
        <f>_xlfn.XLOOKUP(Tabla5[[#This Row],[N° FACTURA]],Tabla3[N° FACTURA],Tabla3[Corregimiento],"NA")</f>
        <v>NA</v>
      </c>
      <c r="D55" s="17"/>
      <c r="E55" t="s">
        <v>387</v>
      </c>
      <c r="F55" s="45">
        <v>7000</v>
      </c>
      <c r="G55">
        <v>8</v>
      </c>
      <c r="H55" s="45">
        <f t="shared" si="1"/>
        <v>56000</v>
      </c>
    </row>
    <row r="56" spans="1:8" x14ac:dyDescent="0.3">
      <c r="A56">
        <v>30393</v>
      </c>
      <c r="B56" s="17">
        <v>45966</v>
      </c>
      <c r="C56" s="17" t="str">
        <f>_xlfn.XLOOKUP(Tabla5[[#This Row],[N° FACTURA]],Tabla3[N° FACTURA],Tabla3[Corregimiento],"NA")</f>
        <v>NA</v>
      </c>
      <c r="D56" s="17"/>
      <c r="E56" t="s">
        <v>389</v>
      </c>
      <c r="F56" s="45">
        <v>19500</v>
      </c>
      <c r="G56">
        <v>7</v>
      </c>
      <c r="H56" s="45">
        <f t="shared" si="1"/>
        <v>136500</v>
      </c>
    </row>
    <row r="57" spans="1:8" x14ac:dyDescent="0.3">
      <c r="A57">
        <v>30393</v>
      </c>
      <c r="B57" s="17">
        <v>45966</v>
      </c>
      <c r="C57" s="17" t="str">
        <f>_xlfn.XLOOKUP(Tabla5[[#This Row],[N° FACTURA]],Tabla3[N° FACTURA],Tabla3[Corregimiento],"NA")</f>
        <v>NA</v>
      </c>
      <c r="D57" s="17"/>
      <c r="E57" t="s">
        <v>390</v>
      </c>
      <c r="F57" s="45">
        <v>54500</v>
      </c>
      <c r="G57">
        <v>1</v>
      </c>
      <c r="H57" s="45">
        <f t="shared" si="1"/>
        <v>54500</v>
      </c>
    </row>
    <row r="58" spans="1:8" x14ac:dyDescent="0.3">
      <c r="A58">
        <v>30393</v>
      </c>
      <c r="B58" s="17">
        <v>45966</v>
      </c>
      <c r="C58" s="17" t="str">
        <f>_xlfn.XLOOKUP(Tabla5[[#This Row],[N° FACTURA]],Tabla3[N° FACTURA],Tabla3[Corregimiento],"NA")</f>
        <v>NA</v>
      </c>
      <c r="D58" s="17"/>
      <c r="E58" t="s">
        <v>391</v>
      </c>
      <c r="F58" s="45">
        <v>4500</v>
      </c>
      <c r="G58">
        <v>4</v>
      </c>
      <c r="H58" s="45">
        <f t="shared" si="1"/>
        <v>18000</v>
      </c>
    </row>
    <row r="59" spans="1:8" x14ac:dyDescent="0.3">
      <c r="A59">
        <v>30393</v>
      </c>
      <c r="B59" s="17">
        <v>45966</v>
      </c>
      <c r="C59" s="17" t="str">
        <f>_xlfn.XLOOKUP(Tabla5[[#This Row],[N° FACTURA]],Tabla3[N° FACTURA],Tabla3[Corregimiento],"NA")</f>
        <v>NA</v>
      </c>
      <c r="D59" s="17"/>
      <c r="E59" t="s">
        <v>392</v>
      </c>
      <c r="F59" s="45">
        <v>14500</v>
      </c>
      <c r="G59">
        <v>8</v>
      </c>
      <c r="H59" s="45">
        <f t="shared" si="1"/>
        <v>116000</v>
      </c>
    </row>
    <row r="60" spans="1:8" x14ac:dyDescent="0.3">
      <c r="A60">
        <v>30393</v>
      </c>
      <c r="B60" s="17">
        <v>45966</v>
      </c>
      <c r="C60" s="17" t="str">
        <f>_xlfn.XLOOKUP(Tabla5[[#This Row],[N° FACTURA]],Tabla3[N° FACTURA],Tabla3[Corregimiento],"NA")</f>
        <v>NA</v>
      </c>
      <c r="D60" s="17"/>
      <c r="E60" t="s">
        <v>393</v>
      </c>
      <c r="F60" s="45">
        <v>60000</v>
      </c>
      <c r="G60">
        <v>1</v>
      </c>
      <c r="H60" s="45">
        <f t="shared" si="1"/>
        <v>60000</v>
      </c>
    </row>
    <row r="61" spans="1:8" x14ac:dyDescent="0.3">
      <c r="A61">
        <v>58117</v>
      </c>
      <c r="B61" s="17">
        <v>45967</v>
      </c>
      <c r="C61" s="17" t="str">
        <f>_xlfn.XLOOKUP(Tabla5[[#This Row],[N° FACTURA]],Tabla3[N° FACTURA],Tabla3[Corregimiento],"NA")</f>
        <v>NA</v>
      </c>
      <c r="D61" s="17"/>
      <c r="E61" t="s">
        <v>360</v>
      </c>
      <c r="F61" s="45">
        <v>102000</v>
      </c>
      <c r="G61">
        <v>0.5</v>
      </c>
      <c r="H61" s="45">
        <f t="shared" si="1"/>
        <v>51000</v>
      </c>
    </row>
    <row r="62" spans="1:8" x14ac:dyDescent="0.3">
      <c r="A62">
        <v>58117</v>
      </c>
      <c r="B62" s="17">
        <v>45967</v>
      </c>
      <c r="C62" s="17" t="str">
        <f>_xlfn.XLOOKUP(Tabla5[[#This Row],[N° FACTURA]],Tabla3[N° FACTURA],Tabla3[Corregimiento],"NA")</f>
        <v>NA</v>
      </c>
      <c r="D62" s="17"/>
      <c r="E62" t="s">
        <v>394</v>
      </c>
      <c r="F62" s="45">
        <v>6300</v>
      </c>
      <c r="G62">
        <v>2</v>
      </c>
      <c r="H62" s="45">
        <f t="shared" si="1"/>
        <v>12600</v>
      </c>
    </row>
    <row r="63" spans="1:8" x14ac:dyDescent="0.3">
      <c r="A63">
        <v>58117</v>
      </c>
      <c r="B63" s="17">
        <v>45967</v>
      </c>
      <c r="C63" s="17" t="str">
        <f>_xlfn.XLOOKUP(Tabla5[[#This Row],[N° FACTURA]],Tabla3[N° FACTURA],Tabla3[Corregimiento],"NA")</f>
        <v>NA</v>
      </c>
      <c r="D63" s="17"/>
      <c r="E63" t="s">
        <v>395</v>
      </c>
      <c r="F63" s="45">
        <v>3700</v>
      </c>
      <c r="G63">
        <v>1</v>
      </c>
      <c r="H63" s="45">
        <f t="shared" si="1"/>
        <v>3700</v>
      </c>
    </row>
    <row r="64" spans="1:8" x14ac:dyDescent="0.3">
      <c r="A64">
        <v>30358</v>
      </c>
      <c r="B64" s="17">
        <v>45967</v>
      </c>
      <c r="C64" s="17" t="str">
        <f>_xlfn.XLOOKUP(Tabla5[[#This Row],[N° FACTURA]],Tabla3[N° FACTURA],Tabla3[Corregimiento],"NA")</f>
        <v>El Limonar</v>
      </c>
      <c r="D64" s="17"/>
      <c r="E64" t="s">
        <v>396</v>
      </c>
      <c r="F64" s="45">
        <v>1400</v>
      </c>
      <c r="G64">
        <v>400</v>
      </c>
      <c r="H64" s="45">
        <f t="shared" si="1"/>
        <v>560000</v>
      </c>
    </row>
    <row r="65" spans="1:8" x14ac:dyDescent="0.3">
      <c r="A65">
        <v>30358</v>
      </c>
      <c r="B65" s="17">
        <v>45967</v>
      </c>
      <c r="C65" s="17" t="str">
        <f>_xlfn.XLOOKUP(Tabla5[[#This Row],[N° FACTURA]],Tabla3[N° FACTURA],Tabla3[Corregimiento],"NA")</f>
        <v>El Limonar</v>
      </c>
      <c r="D65" s="17"/>
      <c r="E65" t="s">
        <v>397</v>
      </c>
      <c r="F65" s="45">
        <v>103000</v>
      </c>
      <c r="G65">
        <v>2</v>
      </c>
      <c r="H65" s="45">
        <f t="shared" si="1"/>
        <v>206000</v>
      </c>
    </row>
    <row r="66" spans="1:8" x14ac:dyDescent="0.3">
      <c r="A66">
        <v>30358</v>
      </c>
      <c r="B66" s="17">
        <v>45967</v>
      </c>
      <c r="C66" s="17" t="str">
        <f>_xlfn.XLOOKUP(Tabla5[[#This Row],[N° FACTURA]],Tabla3[N° FACTURA],Tabla3[Corregimiento],"NA")</f>
        <v>El Limonar</v>
      </c>
      <c r="D66" s="17"/>
      <c r="E66" t="s">
        <v>398</v>
      </c>
      <c r="F66" s="45">
        <v>5000</v>
      </c>
      <c r="G66">
        <v>3</v>
      </c>
      <c r="H66" s="45">
        <f t="shared" si="1"/>
        <v>15000</v>
      </c>
    </row>
    <row r="67" spans="1:8" x14ac:dyDescent="0.3">
      <c r="A67">
        <v>30358</v>
      </c>
      <c r="B67" s="17">
        <v>45967</v>
      </c>
      <c r="C67" s="17" t="str">
        <f>_xlfn.XLOOKUP(Tabla5[[#This Row],[N° FACTURA]],Tabla3[N° FACTURA],Tabla3[Corregimiento],"NA")</f>
        <v>El Limonar</v>
      </c>
      <c r="D67" s="17"/>
      <c r="E67" t="s">
        <v>399</v>
      </c>
      <c r="F67" s="45">
        <v>9700</v>
      </c>
      <c r="G67">
        <v>4</v>
      </c>
      <c r="H67" s="45">
        <f t="shared" si="1"/>
        <v>38800</v>
      </c>
    </row>
    <row r="68" spans="1:8" x14ac:dyDescent="0.3">
      <c r="A68">
        <v>30358</v>
      </c>
      <c r="B68" s="17">
        <v>45967</v>
      </c>
      <c r="C68" s="17" t="str">
        <f>_xlfn.XLOOKUP(Tabla5[[#This Row],[N° FACTURA]],Tabla3[N° FACTURA],Tabla3[Corregimiento],"NA")</f>
        <v>El Limonar</v>
      </c>
      <c r="D68" s="17"/>
      <c r="E68" t="s">
        <v>400</v>
      </c>
      <c r="F68" s="45">
        <v>28200</v>
      </c>
      <c r="G68">
        <v>8</v>
      </c>
      <c r="H68" s="45">
        <f t="shared" si="1"/>
        <v>225600</v>
      </c>
    </row>
    <row r="69" spans="1:8" x14ac:dyDescent="0.3">
      <c r="A69">
        <v>30358</v>
      </c>
      <c r="B69" s="17">
        <v>45967</v>
      </c>
      <c r="C69" s="17" t="str">
        <f>_xlfn.XLOOKUP(Tabla5[[#This Row],[N° FACTURA]],Tabla3[N° FACTURA],Tabla3[Corregimiento],"NA")</f>
        <v>El Limonar</v>
      </c>
      <c r="D69" s="17"/>
      <c r="E69" t="s">
        <v>357</v>
      </c>
      <c r="F69" s="45">
        <v>32000</v>
      </c>
      <c r="G69">
        <v>7</v>
      </c>
      <c r="H69" s="45">
        <f t="shared" si="1"/>
        <v>224000</v>
      </c>
    </row>
    <row r="70" spans="1:8" x14ac:dyDescent="0.3">
      <c r="A70">
        <v>30358</v>
      </c>
      <c r="B70" s="17">
        <v>45967</v>
      </c>
      <c r="C70" s="17" t="str">
        <f>_xlfn.XLOOKUP(Tabla5[[#This Row],[N° FACTURA]],Tabla3[N° FACTURA],Tabla3[Corregimiento],"NA")</f>
        <v>El Limonar</v>
      </c>
      <c r="D70" s="17"/>
      <c r="E70" t="s">
        <v>360</v>
      </c>
      <c r="F70" s="45">
        <v>102000</v>
      </c>
      <c r="G70">
        <v>1</v>
      </c>
      <c r="H70" s="45">
        <f t="shared" si="1"/>
        <v>102000</v>
      </c>
    </row>
    <row r="71" spans="1:8" x14ac:dyDescent="0.3">
      <c r="A71">
        <v>30358</v>
      </c>
      <c r="B71" s="17">
        <v>45967</v>
      </c>
      <c r="C71" s="17" t="str">
        <f>_xlfn.XLOOKUP(Tabla5[[#This Row],[N° FACTURA]],Tabla3[N° FACTURA],Tabla3[Corregimiento],"NA")</f>
        <v>El Limonar</v>
      </c>
      <c r="D71" s="17"/>
      <c r="E71" t="s">
        <v>401</v>
      </c>
      <c r="F71" s="45">
        <v>102000</v>
      </c>
      <c r="G71">
        <v>1</v>
      </c>
      <c r="H71" s="45">
        <f t="shared" si="1"/>
        <v>102000</v>
      </c>
    </row>
    <row r="72" spans="1:8" x14ac:dyDescent="0.3">
      <c r="A72">
        <v>30358</v>
      </c>
      <c r="B72" s="17">
        <v>45967</v>
      </c>
      <c r="C72" s="17" t="str">
        <f>_xlfn.XLOOKUP(Tabla5[[#This Row],[N° FACTURA]],Tabla3[N° FACTURA],Tabla3[Corregimiento],"NA")</f>
        <v>El Limonar</v>
      </c>
      <c r="D72" s="17"/>
      <c r="E72" t="s">
        <v>402</v>
      </c>
      <c r="F72" s="45">
        <v>7000</v>
      </c>
      <c r="G72">
        <v>2</v>
      </c>
      <c r="H72" s="45">
        <f t="shared" si="1"/>
        <v>14000</v>
      </c>
    </row>
    <row r="73" spans="1:8" x14ac:dyDescent="0.3">
      <c r="A73">
        <v>30358</v>
      </c>
      <c r="B73" s="17">
        <v>45967</v>
      </c>
      <c r="C73" s="17" t="str">
        <f>_xlfn.XLOOKUP(Tabla5[[#This Row],[N° FACTURA]],Tabla3[N° FACTURA],Tabla3[Corregimiento],"NA")</f>
        <v>El Limonar</v>
      </c>
      <c r="D73" s="17"/>
      <c r="E73" t="s">
        <v>389</v>
      </c>
      <c r="F73" s="45">
        <v>19500</v>
      </c>
      <c r="G73">
        <v>4</v>
      </c>
      <c r="H73" s="45">
        <f t="shared" si="1"/>
        <v>78000</v>
      </c>
    </row>
    <row r="74" spans="1:8" x14ac:dyDescent="0.3">
      <c r="A74">
        <v>30358</v>
      </c>
      <c r="B74" s="17">
        <v>45967</v>
      </c>
      <c r="C74" s="17" t="str">
        <f>_xlfn.XLOOKUP(Tabla5[[#This Row],[N° FACTURA]],Tabla3[N° FACTURA],Tabla3[Corregimiento],"NA")</f>
        <v>El Limonar</v>
      </c>
      <c r="D74" s="17"/>
      <c r="E74" t="s">
        <v>403</v>
      </c>
      <c r="F74" s="45">
        <v>5300</v>
      </c>
      <c r="G74">
        <v>7</v>
      </c>
      <c r="H74" s="45">
        <f t="shared" si="1"/>
        <v>37100</v>
      </c>
    </row>
    <row r="75" spans="1:8" x14ac:dyDescent="0.3">
      <c r="A75">
        <v>58026</v>
      </c>
      <c r="B75" s="17">
        <v>45964</v>
      </c>
      <c r="C75" s="17" t="str">
        <f>_xlfn.XLOOKUP(Tabla5[[#This Row],[N° FACTURA]],Tabla3[N° FACTURA],Tabla3[Corregimiento],"NA")</f>
        <v>NA</v>
      </c>
      <c r="D75" s="17"/>
      <c r="E75" t="s">
        <v>404</v>
      </c>
      <c r="F75" s="45">
        <v>102000</v>
      </c>
      <c r="G75">
        <v>3</v>
      </c>
      <c r="H75" s="45">
        <f t="shared" si="1"/>
        <v>306000</v>
      </c>
    </row>
    <row r="76" spans="1:8" x14ac:dyDescent="0.3">
      <c r="A76">
        <v>58026</v>
      </c>
      <c r="B76" s="17">
        <v>45964</v>
      </c>
      <c r="C76" s="17" t="str">
        <f>_xlfn.XLOOKUP(Tabla5[[#This Row],[N° FACTURA]],Tabla3[N° FACTURA],Tabla3[Corregimiento],"NA")</f>
        <v>NA</v>
      </c>
      <c r="D76" s="17"/>
      <c r="E76" t="s">
        <v>357</v>
      </c>
      <c r="F76" s="45">
        <v>32000</v>
      </c>
      <c r="G76">
        <v>15</v>
      </c>
      <c r="H76" s="45">
        <f t="shared" si="1"/>
        <v>480000</v>
      </c>
    </row>
    <row r="77" spans="1:8" x14ac:dyDescent="0.3">
      <c r="A77">
        <v>58024</v>
      </c>
      <c r="B77" s="17">
        <v>45964</v>
      </c>
      <c r="C77" s="17" t="str">
        <f>_xlfn.XLOOKUP(Tabla5[[#This Row],[N° FACTURA]],Tabla3[N° FACTURA],Tabla3[Corregimiento],"NA")</f>
        <v>El Carmen</v>
      </c>
      <c r="D77" s="17"/>
      <c r="E77" t="s">
        <v>401</v>
      </c>
      <c r="F77" s="45">
        <v>51000</v>
      </c>
      <c r="G77">
        <v>1</v>
      </c>
      <c r="H77" s="45">
        <f t="shared" si="1"/>
        <v>51000</v>
      </c>
    </row>
    <row r="78" spans="1:8" x14ac:dyDescent="0.3">
      <c r="A78">
        <v>58024</v>
      </c>
      <c r="B78" s="17">
        <v>45964</v>
      </c>
      <c r="C78" s="17" t="str">
        <f>_xlfn.XLOOKUP(Tabla5[[#This Row],[N° FACTURA]],Tabla3[N° FACTURA],Tabla3[Corregimiento],"NA")</f>
        <v>El Carmen</v>
      </c>
      <c r="D78" s="17"/>
      <c r="E78" t="s">
        <v>357</v>
      </c>
      <c r="F78" s="45">
        <v>32000</v>
      </c>
      <c r="G78">
        <v>4</v>
      </c>
      <c r="H78" s="45">
        <f t="shared" si="1"/>
        <v>128000</v>
      </c>
    </row>
    <row r="79" spans="1:8" x14ac:dyDescent="0.3">
      <c r="A79">
        <v>58024</v>
      </c>
      <c r="B79" s="17">
        <v>45964</v>
      </c>
      <c r="C79" s="17" t="str">
        <f>_xlfn.XLOOKUP(Tabla5[[#This Row],[N° FACTURA]],Tabla3[N° FACTURA],Tabla3[Corregimiento],"NA")</f>
        <v>El Carmen</v>
      </c>
      <c r="D79" s="17"/>
      <c r="E79" t="s">
        <v>405</v>
      </c>
      <c r="F79" s="45">
        <v>124000</v>
      </c>
      <c r="G79">
        <v>0.5</v>
      </c>
      <c r="H79" s="45">
        <f t="shared" si="1"/>
        <v>62000</v>
      </c>
    </row>
    <row r="80" spans="1:8" x14ac:dyDescent="0.3">
      <c r="A80">
        <v>57691</v>
      </c>
      <c r="B80" s="17">
        <v>45959</v>
      </c>
      <c r="C80" s="17" t="str">
        <f>_xlfn.XLOOKUP(Tabla5[[#This Row],[N° FACTURA]],Tabla3[N° FACTURA],Tabla3[Corregimiento],"NA")</f>
        <v>NA</v>
      </c>
      <c r="D80" s="17"/>
      <c r="E80" t="s">
        <v>406</v>
      </c>
      <c r="F80" s="45">
        <v>112000</v>
      </c>
      <c r="G80">
        <v>2</v>
      </c>
      <c r="H80" s="45">
        <f t="shared" ref="H80:H111" si="2">F80*G80</f>
        <v>224000</v>
      </c>
    </row>
    <row r="81" spans="1:8" x14ac:dyDescent="0.3">
      <c r="A81">
        <v>57925</v>
      </c>
      <c r="B81" s="17" t="s">
        <v>116</v>
      </c>
      <c r="C81" s="17" t="str">
        <f>_xlfn.XLOOKUP(Tabla5[[#This Row],[N° FACTURA]],Tabla3[N° FACTURA],Tabla3[Corregimiento],"NA")</f>
        <v>El Carmen</v>
      </c>
      <c r="D81" s="17"/>
      <c r="E81" t="s">
        <v>407</v>
      </c>
      <c r="F81" s="45">
        <v>19500</v>
      </c>
      <c r="G81">
        <v>4</v>
      </c>
      <c r="H81" s="45">
        <f t="shared" si="2"/>
        <v>78000</v>
      </c>
    </row>
    <row r="82" spans="1:8" x14ac:dyDescent="0.3">
      <c r="A82">
        <v>57925</v>
      </c>
      <c r="B82" s="17"/>
      <c r="C82" s="17" t="str">
        <f>_xlfn.XLOOKUP(Tabla5[[#This Row],[N° FACTURA]],Tabla3[N° FACTURA],Tabla3[Corregimiento],"NA")</f>
        <v>El Carmen</v>
      </c>
      <c r="D82" s="17"/>
      <c r="E82" t="s">
        <v>360</v>
      </c>
      <c r="F82" s="45">
        <v>102000</v>
      </c>
      <c r="G82">
        <v>0.5</v>
      </c>
      <c r="H82" s="45">
        <f t="shared" si="2"/>
        <v>51000</v>
      </c>
    </row>
    <row r="83" spans="1:8" x14ac:dyDescent="0.3">
      <c r="A83">
        <v>58036</v>
      </c>
      <c r="B83" s="17"/>
      <c r="C83" s="17" t="str">
        <f>_xlfn.XLOOKUP(Tabla5[[#This Row],[N° FACTURA]],Tabla3[N° FACTURA],Tabla3[Corregimiento],"NA")</f>
        <v>NA</v>
      </c>
      <c r="D83" s="17"/>
      <c r="E83" t="s">
        <v>408</v>
      </c>
      <c r="F83" s="45">
        <v>44700</v>
      </c>
      <c r="G83">
        <v>3</v>
      </c>
      <c r="H83" s="45">
        <f t="shared" si="2"/>
        <v>134100</v>
      </c>
    </row>
    <row r="84" spans="1:8" x14ac:dyDescent="0.3">
      <c r="A84">
        <v>58036</v>
      </c>
      <c r="B84" s="17"/>
      <c r="C84" s="17" t="str">
        <f>_xlfn.XLOOKUP(Tabla5[[#This Row],[N° FACTURA]],Tabla3[N° FACTURA],Tabla3[Corregimiento],"NA")</f>
        <v>NA</v>
      </c>
      <c r="D84" s="17"/>
      <c r="E84" t="s">
        <v>409</v>
      </c>
      <c r="F84" s="45">
        <v>67000</v>
      </c>
      <c r="G84">
        <v>3</v>
      </c>
      <c r="H84" s="45">
        <f t="shared" si="2"/>
        <v>201000</v>
      </c>
    </row>
    <row r="85" spans="1:8" x14ac:dyDescent="0.3">
      <c r="A85">
        <v>58036</v>
      </c>
      <c r="B85" s="17"/>
      <c r="C85" s="17" t="str">
        <f>_xlfn.XLOOKUP(Tabla5[[#This Row],[N° FACTURA]],Tabla3[N° FACTURA],Tabla3[Corregimiento],"NA")</f>
        <v>NA</v>
      </c>
      <c r="D85" s="17"/>
      <c r="E85" t="s">
        <v>410</v>
      </c>
      <c r="F85" s="45">
        <v>460000</v>
      </c>
      <c r="G85">
        <v>1.5</v>
      </c>
      <c r="H85" s="45">
        <f t="shared" si="2"/>
        <v>690000</v>
      </c>
    </row>
    <row r="86" spans="1:8" x14ac:dyDescent="0.3">
      <c r="A86">
        <v>58036</v>
      </c>
      <c r="B86" s="17"/>
      <c r="C86" s="17" t="str">
        <f>_xlfn.XLOOKUP(Tabla5[[#This Row],[N° FACTURA]],Tabla3[N° FACTURA],Tabla3[Corregimiento],"NA")</f>
        <v>NA</v>
      </c>
      <c r="D86" s="17"/>
      <c r="E86" t="s">
        <v>411</v>
      </c>
      <c r="F86" s="45">
        <v>1500</v>
      </c>
      <c r="G86">
        <v>50</v>
      </c>
      <c r="H86" s="45">
        <f t="shared" si="2"/>
        <v>75000</v>
      </c>
    </row>
    <row r="87" spans="1:8" x14ac:dyDescent="0.3">
      <c r="A87">
        <v>58036</v>
      </c>
      <c r="B87" s="17"/>
      <c r="C87" s="17" t="str">
        <f>_xlfn.XLOOKUP(Tabla5[[#This Row],[N° FACTURA]],Tabla3[N° FACTURA],Tabla3[Corregimiento],"NA")</f>
        <v>NA</v>
      </c>
      <c r="D87" s="17"/>
      <c r="E87" t="s">
        <v>375</v>
      </c>
      <c r="F87" s="45">
        <v>31000</v>
      </c>
      <c r="G87">
        <v>3</v>
      </c>
      <c r="H87" s="45">
        <f t="shared" si="2"/>
        <v>93000</v>
      </c>
    </row>
    <row r="88" spans="1:8" x14ac:dyDescent="0.3">
      <c r="A88">
        <v>58036</v>
      </c>
      <c r="B88" s="17"/>
      <c r="C88" s="17" t="str">
        <f>_xlfn.XLOOKUP(Tabla5[[#This Row],[N° FACTURA]],Tabla3[N° FACTURA],Tabla3[Corregimiento],"NA")</f>
        <v>NA</v>
      </c>
      <c r="D88" s="17"/>
      <c r="E88" t="s">
        <v>368</v>
      </c>
      <c r="F88" s="45">
        <v>107000</v>
      </c>
      <c r="G88">
        <v>1</v>
      </c>
      <c r="H88" s="45">
        <f t="shared" si="2"/>
        <v>107000</v>
      </c>
    </row>
    <row r="89" spans="1:8" x14ac:dyDescent="0.3">
      <c r="A89">
        <v>58036</v>
      </c>
      <c r="B89" s="17"/>
      <c r="C89" s="17" t="str">
        <f>_xlfn.XLOOKUP(Tabla5[[#This Row],[N° FACTURA]],Tabla3[N° FACTURA],Tabla3[Corregimiento],"NA")</f>
        <v>NA</v>
      </c>
      <c r="D89" s="17"/>
      <c r="E89" t="s">
        <v>412</v>
      </c>
      <c r="F89" s="45">
        <v>88000</v>
      </c>
      <c r="G89">
        <v>0.5</v>
      </c>
      <c r="H89" s="45">
        <f t="shared" si="2"/>
        <v>44000</v>
      </c>
    </row>
    <row r="90" spans="1:8" x14ac:dyDescent="0.3">
      <c r="A90">
        <v>58036</v>
      </c>
      <c r="B90" s="17"/>
      <c r="C90" s="17" t="str">
        <f>_xlfn.XLOOKUP(Tabla5[[#This Row],[N° FACTURA]],Tabla3[N° FACTURA],Tabla3[Corregimiento],"NA")</f>
        <v>NA</v>
      </c>
      <c r="D90" s="17"/>
      <c r="E90" t="s">
        <v>413</v>
      </c>
      <c r="F90" s="45">
        <v>6000</v>
      </c>
      <c r="G90">
        <v>2</v>
      </c>
      <c r="H90" s="45">
        <f t="shared" si="2"/>
        <v>12000</v>
      </c>
    </row>
    <row r="91" spans="1:8" x14ac:dyDescent="0.3">
      <c r="A91">
        <v>58036</v>
      </c>
      <c r="B91" s="17"/>
      <c r="C91" s="17" t="str">
        <f>_xlfn.XLOOKUP(Tabla5[[#This Row],[N° FACTURA]],Tabla3[N° FACTURA],Tabla3[Corregimiento],"NA")</f>
        <v>NA</v>
      </c>
      <c r="D91" s="17"/>
      <c r="E91" t="s">
        <v>414</v>
      </c>
      <c r="F91" s="45">
        <v>7500</v>
      </c>
      <c r="G91">
        <v>1</v>
      </c>
      <c r="H91" s="45">
        <f t="shared" si="2"/>
        <v>7500</v>
      </c>
    </row>
    <row r="92" spans="1:8" x14ac:dyDescent="0.3">
      <c r="A92">
        <v>57685</v>
      </c>
      <c r="B92" s="17">
        <v>45962</v>
      </c>
      <c r="C92" s="17" t="str">
        <f>_xlfn.XLOOKUP(Tabla5[[#This Row],[N° FACTURA]],Tabla3[N° FACTURA],Tabla3[Corregimiento],"NA")</f>
        <v>El Palmar</v>
      </c>
      <c r="D92" s="17"/>
      <c r="E92" t="s">
        <v>415</v>
      </c>
      <c r="F92" s="45">
        <v>67000</v>
      </c>
      <c r="G92">
        <v>5</v>
      </c>
      <c r="H92" s="45">
        <f t="shared" si="2"/>
        <v>335000</v>
      </c>
    </row>
    <row r="93" spans="1:8" x14ac:dyDescent="0.3">
      <c r="A93">
        <v>30411</v>
      </c>
      <c r="B93" s="17">
        <v>45965</v>
      </c>
      <c r="C93" s="17" t="str">
        <f>_xlfn.XLOOKUP(Tabla5[[#This Row],[N° FACTURA]],Tabla3[N° FACTURA],Tabla3[Corregimiento],"NA")</f>
        <v>NA</v>
      </c>
      <c r="D93" s="17"/>
      <c r="E93" t="s">
        <v>416</v>
      </c>
      <c r="F93" s="45">
        <v>101500</v>
      </c>
      <c r="G93">
        <v>2</v>
      </c>
      <c r="H93" s="45">
        <f t="shared" si="2"/>
        <v>203000</v>
      </c>
    </row>
    <row r="94" spans="1:8" x14ac:dyDescent="0.3">
      <c r="A94">
        <v>30411</v>
      </c>
      <c r="B94" s="17"/>
      <c r="C94" s="17" t="str">
        <f>_xlfn.XLOOKUP(Tabla5[[#This Row],[N° FACTURA]],Tabla3[N° FACTURA],Tabla3[Corregimiento],"NA")</f>
        <v>NA</v>
      </c>
      <c r="D94" s="17"/>
      <c r="E94" t="s">
        <v>417</v>
      </c>
      <c r="F94" s="45">
        <v>200</v>
      </c>
      <c r="G94">
        <v>2</v>
      </c>
      <c r="H94" s="45">
        <f t="shared" si="2"/>
        <v>400</v>
      </c>
    </row>
    <row r="95" spans="1:8" x14ac:dyDescent="0.3">
      <c r="A95">
        <v>30411</v>
      </c>
      <c r="B95" s="17"/>
      <c r="C95" s="17" t="str">
        <f>_xlfn.XLOOKUP(Tabla5[[#This Row],[N° FACTURA]],Tabla3[N° FACTURA],Tabla3[Corregimiento],"NA")</f>
        <v>NA</v>
      </c>
      <c r="D95" s="17"/>
      <c r="E95" t="s">
        <v>357</v>
      </c>
      <c r="F95" s="45">
        <v>32000</v>
      </c>
      <c r="G95">
        <v>1</v>
      </c>
      <c r="H95" s="45">
        <f t="shared" si="2"/>
        <v>32000</v>
      </c>
    </row>
    <row r="96" spans="1:8" x14ac:dyDescent="0.3">
      <c r="A96">
        <v>30411</v>
      </c>
      <c r="B96" s="17"/>
      <c r="C96" s="17" t="str">
        <f>_xlfn.XLOOKUP(Tabla5[[#This Row],[N° FACTURA]],Tabla3[N° FACTURA],Tabla3[Corregimiento],"NA")</f>
        <v>NA</v>
      </c>
      <c r="D96" s="17"/>
      <c r="E96" t="s">
        <v>360</v>
      </c>
      <c r="F96" s="45">
        <v>102000</v>
      </c>
      <c r="G96">
        <v>0.25</v>
      </c>
      <c r="H96" s="45">
        <f t="shared" si="2"/>
        <v>25500</v>
      </c>
    </row>
    <row r="97" spans="1:8" x14ac:dyDescent="0.3">
      <c r="A97">
        <v>30377</v>
      </c>
      <c r="B97" s="17">
        <v>45965</v>
      </c>
      <c r="C97" s="17" t="str">
        <f>_xlfn.XLOOKUP(Tabla5[[#This Row],[N° FACTURA]],Tabla3[N° FACTURA],Tabla3[Corregimiento],"NA")</f>
        <v>NA</v>
      </c>
      <c r="D97" s="17"/>
      <c r="E97" t="s">
        <v>418</v>
      </c>
      <c r="F97" s="45">
        <v>29500</v>
      </c>
      <c r="G97">
        <v>3</v>
      </c>
      <c r="H97" s="45">
        <f t="shared" si="2"/>
        <v>88500</v>
      </c>
    </row>
    <row r="98" spans="1:8" x14ac:dyDescent="0.3">
      <c r="A98">
        <v>30401</v>
      </c>
      <c r="B98" s="17">
        <v>45963</v>
      </c>
      <c r="C98" s="17" t="str">
        <f>_xlfn.XLOOKUP(Tabla5[[#This Row],[N° FACTURA]],Tabla3[N° FACTURA],Tabla3[Corregimiento],"NA")</f>
        <v>NA</v>
      </c>
      <c r="D98" s="17"/>
      <c r="E98" t="s">
        <v>419</v>
      </c>
      <c r="F98" s="45">
        <v>102000</v>
      </c>
      <c r="G98">
        <v>0.5</v>
      </c>
      <c r="H98" s="45">
        <f t="shared" si="2"/>
        <v>51000</v>
      </c>
    </row>
    <row r="99" spans="1:8" x14ac:dyDescent="0.3">
      <c r="A99">
        <v>30401</v>
      </c>
      <c r="B99" s="17"/>
      <c r="C99" s="17" t="str">
        <f>_xlfn.XLOOKUP(Tabla5[[#This Row],[N° FACTURA]],Tabla3[N° FACTURA],Tabla3[Corregimiento],"NA")</f>
        <v>NA</v>
      </c>
      <c r="D99" s="17"/>
      <c r="E99" t="s">
        <v>420</v>
      </c>
      <c r="F99" s="45">
        <v>125000</v>
      </c>
      <c r="G99">
        <v>0.5</v>
      </c>
      <c r="H99" s="45">
        <f t="shared" si="2"/>
        <v>62500</v>
      </c>
    </row>
    <row r="100" spans="1:8" x14ac:dyDescent="0.3">
      <c r="A100">
        <v>30401</v>
      </c>
      <c r="B100" s="17"/>
      <c r="C100" s="17" t="str">
        <f>_xlfn.XLOOKUP(Tabla5[[#This Row],[N° FACTURA]],Tabla3[N° FACTURA],Tabla3[Corregimiento],"NA")</f>
        <v>NA</v>
      </c>
      <c r="D100" s="17"/>
      <c r="E100" t="s">
        <v>357</v>
      </c>
      <c r="F100" s="45">
        <v>32000</v>
      </c>
      <c r="G100">
        <v>7</v>
      </c>
      <c r="H100" s="45">
        <f t="shared" si="2"/>
        <v>224000</v>
      </c>
    </row>
    <row r="101" spans="1:8" x14ac:dyDescent="0.3">
      <c r="A101">
        <v>30401</v>
      </c>
      <c r="B101" s="17"/>
      <c r="C101" s="17" t="str">
        <f>_xlfn.XLOOKUP(Tabla5[[#This Row],[N° FACTURA]],Tabla3[N° FACTURA],Tabla3[Corregimiento],"NA")</f>
        <v>NA</v>
      </c>
      <c r="D101" s="17"/>
      <c r="E101" t="s">
        <v>421</v>
      </c>
      <c r="F101" s="45">
        <v>11000</v>
      </c>
      <c r="G101">
        <v>2</v>
      </c>
      <c r="H101" s="45">
        <f t="shared" si="2"/>
        <v>22000</v>
      </c>
    </row>
    <row r="102" spans="1:8" x14ac:dyDescent="0.3">
      <c r="A102">
        <v>58066</v>
      </c>
      <c r="B102" s="17">
        <v>45966</v>
      </c>
      <c r="C102" s="17" t="str">
        <f>_xlfn.XLOOKUP(Tabla5[[#This Row],[N° FACTURA]],Tabla3[N° FACTURA],Tabla3[Corregimiento],"NA")</f>
        <v>NA</v>
      </c>
      <c r="D102" s="17"/>
      <c r="E102" t="s">
        <v>422</v>
      </c>
      <c r="F102" s="45">
        <v>174000</v>
      </c>
      <c r="G102">
        <v>1</v>
      </c>
      <c r="H102" s="45">
        <f t="shared" si="2"/>
        <v>174000</v>
      </c>
    </row>
    <row r="103" spans="1:8" x14ac:dyDescent="0.3">
      <c r="A103">
        <v>58104</v>
      </c>
      <c r="B103" s="17">
        <v>45966</v>
      </c>
      <c r="C103" s="17" t="str">
        <f>_xlfn.XLOOKUP(Tabla5[[#This Row],[N° FACTURA]],Tabla3[N° FACTURA],Tabla3[Corregimiento],"NA")</f>
        <v>El Carmen</v>
      </c>
      <c r="D103" s="17"/>
      <c r="E103" t="s">
        <v>360</v>
      </c>
      <c r="F103" s="45">
        <v>102000</v>
      </c>
      <c r="G103">
        <v>3</v>
      </c>
      <c r="H103" s="45">
        <f t="shared" si="2"/>
        <v>306000</v>
      </c>
    </row>
    <row r="104" spans="1:8" x14ac:dyDescent="0.3">
      <c r="A104">
        <v>57737</v>
      </c>
      <c r="B104" s="17">
        <v>45966</v>
      </c>
      <c r="C104" s="17" t="str">
        <f>_xlfn.XLOOKUP(Tabla5[[#This Row],[N° FACTURA]],Tabla3[N° FACTURA],Tabla3[Corregimiento],"NA")</f>
        <v>El Carmen</v>
      </c>
      <c r="D104" s="17"/>
      <c r="E104" t="s">
        <v>423</v>
      </c>
      <c r="F104" s="45">
        <v>1100</v>
      </c>
      <c r="G104">
        <v>150</v>
      </c>
      <c r="H104" s="45">
        <f t="shared" si="2"/>
        <v>165000</v>
      </c>
    </row>
    <row r="105" spans="1:8" x14ac:dyDescent="0.3">
      <c r="A105">
        <v>57737</v>
      </c>
      <c r="B105" s="17"/>
      <c r="C105" s="17" t="str">
        <f>_xlfn.XLOOKUP(Tabla5[[#This Row],[N° FACTURA]],Tabla3[N° FACTURA],Tabla3[Corregimiento],"NA")</f>
        <v>El Carmen</v>
      </c>
      <c r="D105" s="17"/>
      <c r="E105" t="s">
        <v>357</v>
      </c>
      <c r="F105" s="45">
        <v>32000</v>
      </c>
      <c r="G105">
        <v>2</v>
      </c>
      <c r="H105" s="45">
        <f t="shared" si="2"/>
        <v>64000</v>
      </c>
    </row>
    <row r="106" spans="1:8" x14ac:dyDescent="0.3">
      <c r="A106">
        <v>57737</v>
      </c>
      <c r="B106" s="17"/>
      <c r="C106" s="17" t="str">
        <f>_xlfn.XLOOKUP(Tabla5[[#This Row],[N° FACTURA]],Tabla3[N° FACTURA],Tabla3[Corregimiento],"NA")</f>
        <v>El Carmen</v>
      </c>
      <c r="D106" s="17"/>
      <c r="E106" t="s">
        <v>401</v>
      </c>
      <c r="F106" s="45">
        <v>102000</v>
      </c>
      <c r="G106">
        <v>0.25</v>
      </c>
      <c r="H106" s="45">
        <f t="shared" si="2"/>
        <v>25500</v>
      </c>
    </row>
    <row r="107" spans="1:8" x14ac:dyDescent="0.3">
      <c r="A107">
        <v>30383</v>
      </c>
      <c r="B107" s="17">
        <v>45966</v>
      </c>
      <c r="C107" s="17" t="str">
        <f>_xlfn.XLOOKUP(Tabla5[[#This Row],[N° FACTURA]],Tabla3[N° FACTURA],Tabla3[Corregimiento],"NA")</f>
        <v>NA</v>
      </c>
      <c r="D107" s="17"/>
      <c r="E107" t="s">
        <v>424</v>
      </c>
      <c r="F107" s="45">
        <v>102000</v>
      </c>
      <c r="G107">
        <v>0.5</v>
      </c>
      <c r="H107" s="45">
        <f t="shared" si="2"/>
        <v>51000</v>
      </c>
    </row>
    <row r="108" spans="1:8" x14ac:dyDescent="0.3">
      <c r="A108">
        <v>30383</v>
      </c>
      <c r="B108" s="17"/>
      <c r="C108" s="17" t="str">
        <f>_xlfn.XLOOKUP(Tabla5[[#This Row],[N° FACTURA]],Tabla3[N° FACTURA],Tabla3[Corregimiento],"NA")</f>
        <v>NA</v>
      </c>
      <c r="D108" s="17"/>
      <c r="E108" t="s">
        <v>357</v>
      </c>
      <c r="F108" s="45">
        <v>32000</v>
      </c>
      <c r="G108">
        <v>1</v>
      </c>
      <c r="H108" s="45">
        <f t="shared" si="2"/>
        <v>32000</v>
      </c>
    </row>
    <row r="109" spans="1:8" x14ac:dyDescent="0.3">
      <c r="A109">
        <v>30383</v>
      </c>
      <c r="B109" s="17"/>
      <c r="C109" s="17" t="str">
        <f>_xlfn.XLOOKUP(Tabla5[[#This Row],[N° FACTURA]],Tabla3[N° FACTURA],Tabla3[Corregimiento],"NA")</f>
        <v>NA</v>
      </c>
      <c r="D109" s="17"/>
      <c r="E109" t="s">
        <v>425</v>
      </c>
      <c r="F109" s="45">
        <v>18000</v>
      </c>
      <c r="G109">
        <v>2</v>
      </c>
      <c r="H109" s="45">
        <f t="shared" si="2"/>
        <v>36000</v>
      </c>
    </row>
    <row r="110" spans="1:8" x14ac:dyDescent="0.3">
      <c r="A110">
        <v>30383</v>
      </c>
      <c r="B110" s="17"/>
      <c r="C110" s="17" t="str">
        <f>_xlfn.XLOOKUP(Tabla5[[#This Row],[N° FACTURA]],Tabla3[N° FACTURA],Tabla3[Corregimiento],"NA")</f>
        <v>NA</v>
      </c>
      <c r="D110" s="17"/>
      <c r="E110" t="s">
        <v>426</v>
      </c>
      <c r="F110" s="45">
        <v>3800</v>
      </c>
      <c r="G110">
        <v>4</v>
      </c>
      <c r="H110" s="45">
        <f t="shared" si="2"/>
        <v>15200</v>
      </c>
    </row>
    <row r="111" spans="1:8" x14ac:dyDescent="0.3">
      <c r="A111">
        <v>30518</v>
      </c>
      <c r="B111" s="17">
        <v>45974</v>
      </c>
      <c r="C111" s="17" t="str">
        <f>_xlfn.XLOOKUP(Tabla5[[#This Row],[N° FACTURA]],Tabla3[N° FACTURA],Tabla3[Corregimiento],"NA")</f>
        <v>El Carmen</v>
      </c>
      <c r="D111" s="17"/>
      <c r="E111" t="s">
        <v>427</v>
      </c>
      <c r="F111" s="45">
        <v>15600</v>
      </c>
      <c r="G111">
        <v>6</v>
      </c>
      <c r="H111" s="45">
        <f t="shared" si="2"/>
        <v>93600</v>
      </c>
    </row>
    <row r="112" spans="1:8" x14ac:dyDescent="0.3">
      <c r="A112">
        <v>30518</v>
      </c>
      <c r="B112" s="17"/>
      <c r="C112" s="17" t="str">
        <f>_xlfn.XLOOKUP(Tabla5[[#This Row],[N° FACTURA]],Tabla3[N° FACTURA],Tabla3[Corregimiento],"NA")</f>
        <v>El Carmen</v>
      </c>
      <c r="D112" s="17"/>
      <c r="E112" t="s">
        <v>389</v>
      </c>
      <c r="F112" s="45">
        <v>19500</v>
      </c>
      <c r="G112">
        <v>3</v>
      </c>
      <c r="H112" s="45">
        <f t="shared" ref="H112:H143" si="3">F112*G112</f>
        <v>58500</v>
      </c>
    </row>
    <row r="113" spans="1:8" x14ac:dyDescent="0.3">
      <c r="A113">
        <v>58449</v>
      </c>
      <c r="B113" s="17">
        <v>45980</v>
      </c>
      <c r="C113" s="17" t="str">
        <f>_xlfn.XLOOKUP(Tabla5[[#This Row],[N° FACTURA]],Tabla3[N° FACTURA],Tabla3[Corregimiento],"NA")</f>
        <v>El Carmen</v>
      </c>
      <c r="D113" s="17"/>
      <c r="E113" t="s">
        <v>404</v>
      </c>
      <c r="F113" s="45">
        <v>102000</v>
      </c>
      <c r="G113">
        <v>1.5</v>
      </c>
      <c r="H113" s="45">
        <f t="shared" si="3"/>
        <v>153000</v>
      </c>
    </row>
    <row r="114" spans="1:8" x14ac:dyDescent="0.3">
      <c r="A114">
        <v>30538</v>
      </c>
      <c r="B114" s="17">
        <v>45975</v>
      </c>
      <c r="C114" s="17" t="str">
        <f>_xlfn.XLOOKUP(Tabla5[[#This Row],[N° FACTURA]],Tabla3[N° FACTURA],Tabla3[Corregimiento],"NA")</f>
        <v>NA</v>
      </c>
      <c r="D114" s="17"/>
      <c r="E114" t="s">
        <v>428</v>
      </c>
      <c r="F114" s="45">
        <v>31500</v>
      </c>
      <c r="G114">
        <v>4</v>
      </c>
      <c r="H114" s="45">
        <f t="shared" si="3"/>
        <v>126000</v>
      </c>
    </row>
    <row r="115" spans="1:8" x14ac:dyDescent="0.3">
      <c r="A115">
        <v>30538</v>
      </c>
      <c r="B115" s="17"/>
      <c r="C115" s="17" t="str">
        <f>_xlfn.XLOOKUP(Tabla5[[#This Row],[N° FACTURA]],Tabla3[N° FACTURA],Tabla3[Corregimiento],"NA")</f>
        <v>NA</v>
      </c>
      <c r="D115" s="17"/>
      <c r="E115" t="s">
        <v>429</v>
      </c>
      <c r="F115" s="45">
        <v>4500</v>
      </c>
      <c r="G115">
        <v>7</v>
      </c>
      <c r="H115" s="45">
        <f t="shared" si="3"/>
        <v>31500</v>
      </c>
    </row>
    <row r="116" spans="1:8" x14ac:dyDescent="0.3">
      <c r="A116">
        <v>30538</v>
      </c>
      <c r="B116" s="17"/>
      <c r="C116" s="17" t="str">
        <f>_xlfn.XLOOKUP(Tabla5[[#This Row],[N° FACTURA]],Tabla3[N° FACTURA],Tabla3[Corregimiento],"NA")</f>
        <v>NA</v>
      </c>
      <c r="D116" s="17"/>
      <c r="E116" t="s">
        <v>430</v>
      </c>
      <c r="F116" s="45">
        <v>4500</v>
      </c>
      <c r="G116">
        <v>6</v>
      </c>
      <c r="H116" s="45">
        <f t="shared" si="3"/>
        <v>27000</v>
      </c>
    </row>
    <row r="117" spans="1:8" x14ac:dyDescent="0.3">
      <c r="A117">
        <v>30538</v>
      </c>
      <c r="B117" s="17"/>
      <c r="C117" s="17" t="str">
        <f>_xlfn.XLOOKUP(Tabla5[[#This Row],[N° FACTURA]],Tabla3[N° FACTURA],Tabla3[Corregimiento],"NA")</f>
        <v>NA</v>
      </c>
      <c r="D117" s="17"/>
      <c r="E117" t="s">
        <v>431</v>
      </c>
      <c r="F117" s="45">
        <v>20000</v>
      </c>
      <c r="G117">
        <v>2</v>
      </c>
      <c r="H117" s="45">
        <f t="shared" si="3"/>
        <v>40000</v>
      </c>
    </row>
    <row r="118" spans="1:8" x14ac:dyDescent="0.3">
      <c r="A118">
        <v>30538</v>
      </c>
      <c r="B118" s="17"/>
      <c r="C118" s="17" t="str">
        <f>_xlfn.XLOOKUP(Tabla5[[#This Row],[N° FACTURA]],Tabla3[N° FACTURA],Tabla3[Corregimiento],"NA")</f>
        <v>NA</v>
      </c>
      <c r="D118" s="17"/>
      <c r="E118" t="s">
        <v>432</v>
      </c>
      <c r="F118" s="45">
        <v>40</v>
      </c>
      <c r="G118">
        <v>200</v>
      </c>
      <c r="H118" s="45">
        <f t="shared" si="3"/>
        <v>8000</v>
      </c>
    </row>
    <row r="119" spans="1:8" x14ac:dyDescent="0.3">
      <c r="A119">
        <v>30538</v>
      </c>
      <c r="B119" s="17"/>
      <c r="C119" s="17" t="str">
        <f>_xlfn.XLOOKUP(Tabla5[[#This Row],[N° FACTURA]],Tabla3[N° FACTURA],Tabla3[Corregimiento],"NA")</f>
        <v>NA</v>
      </c>
      <c r="D119" s="17"/>
      <c r="E119" t="s">
        <v>433</v>
      </c>
      <c r="F119" s="45">
        <v>45</v>
      </c>
      <c r="G119">
        <v>100</v>
      </c>
      <c r="H119" s="45">
        <f t="shared" si="3"/>
        <v>4500</v>
      </c>
    </row>
    <row r="120" spans="1:8" x14ac:dyDescent="0.3">
      <c r="A120">
        <v>30538</v>
      </c>
      <c r="B120" s="17"/>
      <c r="C120" s="17" t="str">
        <f>_xlfn.XLOOKUP(Tabla5[[#This Row],[N° FACTURA]],Tabla3[N° FACTURA],Tabla3[Corregimiento],"NA")</f>
        <v>NA</v>
      </c>
      <c r="D120" s="17"/>
      <c r="E120" t="s">
        <v>434</v>
      </c>
      <c r="F120" s="45">
        <v>1500</v>
      </c>
      <c r="G120">
        <v>7</v>
      </c>
      <c r="H120" s="45">
        <f t="shared" si="3"/>
        <v>10500</v>
      </c>
    </row>
    <row r="121" spans="1:8" x14ac:dyDescent="0.3">
      <c r="A121">
        <v>30538</v>
      </c>
      <c r="B121" s="17"/>
      <c r="C121" s="17" t="str">
        <f>_xlfn.XLOOKUP(Tabla5[[#This Row],[N° FACTURA]],Tabla3[N° FACTURA],Tabla3[Corregimiento],"NA")</f>
        <v>NA</v>
      </c>
      <c r="D121" s="17"/>
      <c r="E121" t="s">
        <v>435</v>
      </c>
      <c r="F121" s="45">
        <v>5000</v>
      </c>
      <c r="G121">
        <v>6</v>
      </c>
      <c r="H121" s="45">
        <f t="shared" si="3"/>
        <v>30000</v>
      </c>
    </row>
    <row r="122" spans="1:8" x14ac:dyDescent="0.3">
      <c r="A122">
        <v>30538</v>
      </c>
      <c r="B122" s="17"/>
      <c r="C122" s="17" t="str">
        <f>_xlfn.XLOOKUP(Tabla5[[#This Row],[N° FACTURA]],Tabla3[N° FACTURA],Tabla3[Corregimiento],"NA")</f>
        <v>NA</v>
      </c>
      <c r="D122" s="17"/>
      <c r="E122" t="s">
        <v>436</v>
      </c>
      <c r="F122" s="45">
        <v>4800</v>
      </c>
      <c r="G122">
        <v>5</v>
      </c>
      <c r="H122" s="45">
        <f t="shared" si="3"/>
        <v>24000</v>
      </c>
    </row>
    <row r="123" spans="1:8" x14ac:dyDescent="0.3">
      <c r="A123">
        <v>30538</v>
      </c>
      <c r="B123" s="17"/>
      <c r="C123" s="17" t="str">
        <f>_xlfn.XLOOKUP(Tabla5[[#This Row],[N° FACTURA]],Tabla3[N° FACTURA],Tabla3[Corregimiento],"NA")</f>
        <v>NA</v>
      </c>
      <c r="D123" s="17"/>
      <c r="E123" t="s">
        <v>437</v>
      </c>
      <c r="F123" s="45">
        <v>10300</v>
      </c>
      <c r="G123">
        <v>2</v>
      </c>
      <c r="H123" s="45">
        <f t="shared" si="3"/>
        <v>20600</v>
      </c>
    </row>
    <row r="124" spans="1:8" x14ac:dyDescent="0.3">
      <c r="A124">
        <v>30538</v>
      </c>
      <c r="B124" s="17"/>
      <c r="C124" s="17" t="str">
        <f>_xlfn.XLOOKUP(Tabla5[[#This Row],[N° FACTURA]],Tabla3[N° FACTURA],Tabla3[Corregimiento],"NA")</f>
        <v>NA</v>
      </c>
      <c r="D124" s="17"/>
      <c r="E124" t="s">
        <v>438</v>
      </c>
      <c r="F124" s="45">
        <v>2500</v>
      </c>
      <c r="G124">
        <v>1</v>
      </c>
      <c r="H124" s="45">
        <f t="shared" si="3"/>
        <v>2500</v>
      </c>
    </row>
    <row r="125" spans="1:8" x14ac:dyDescent="0.3">
      <c r="A125">
        <v>30538</v>
      </c>
      <c r="B125" s="17"/>
      <c r="C125" s="17" t="str">
        <f>_xlfn.XLOOKUP(Tabla5[[#This Row],[N° FACTURA]],Tabla3[N° FACTURA],Tabla3[Corregimiento],"NA")</f>
        <v>NA</v>
      </c>
      <c r="D125" s="17"/>
      <c r="E125" t="s">
        <v>439</v>
      </c>
      <c r="F125" s="45">
        <v>150</v>
      </c>
      <c r="G125">
        <v>10</v>
      </c>
      <c r="H125" s="45">
        <f t="shared" si="3"/>
        <v>1500</v>
      </c>
    </row>
    <row r="126" spans="1:8" x14ac:dyDescent="0.3">
      <c r="A126">
        <v>30538</v>
      </c>
      <c r="B126" s="17"/>
      <c r="C126" s="17" t="str">
        <f>_xlfn.XLOOKUP(Tabla5[[#This Row],[N° FACTURA]],Tabla3[N° FACTURA],Tabla3[Corregimiento],"NA")</f>
        <v>NA</v>
      </c>
      <c r="D126" s="17"/>
      <c r="E126" t="s">
        <v>440</v>
      </c>
      <c r="F126" s="45">
        <v>47800</v>
      </c>
      <c r="G126">
        <v>1</v>
      </c>
      <c r="H126" s="45">
        <f t="shared" si="3"/>
        <v>47800</v>
      </c>
    </row>
    <row r="127" spans="1:8" x14ac:dyDescent="0.3">
      <c r="A127">
        <v>58435</v>
      </c>
      <c r="B127" s="17">
        <v>45975</v>
      </c>
      <c r="C127" s="17" t="str">
        <f>_xlfn.XLOOKUP(Tabla5[[#This Row],[N° FACTURA]],Tabla3[N° FACTURA],Tabla3[Corregimiento],"NA")</f>
        <v>NA</v>
      </c>
      <c r="D127" s="17"/>
      <c r="E127" t="s">
        <v>441</v>
      </c>
      <c r="F127" s="45">
        <v>8500</v>
      </c>
      <c r="G127">
        <v>8</v>
      </c>
      <c r="H127" s="45">
        <f t="shared" si="3"/>
        <v>68000</v>
      </c>
    </row>
    <row r="128" spans="1:8" x14ac:dyDescent="0.3">
      <c r="A128">
        <v>58435</v>
      </c>
      <c r="B128" s="17"/>
      <c r="C128" s="17" t="str">
        <f>_xlfn.XLOOKUP(Tabla5[[#This Row],[N° FACTURA]],Tabla3[N° FACTURA],Tabla3[Corregimiento],"NA")</f>
        <v>NA</v>
      </c>
      <c r="D128" s="17"/>
      <c r="E128" t="s">
        <v>442</v>
      </c>
      <c r="F128" s="45">
        <v>1000</v>
      </c>
      <c r="G128">
        <v>2</v>
      </c>
      <c r="H128" s="45">
        <f t="shared" si="3"/>
        <v>2000</v>
      </c>
    </row>
    <row r="129" spans="1:8" x14ac:dyDescent="0.3">
      <c r="A129">
        <v>58435</v>
      </c>
      <c r="B129" s="17"/>
      <c r="C129" s="17" t="str">
        <f>_xlfn.XLOOKUP(Tabla5[[#This Row],[N° FACTURA]],Tabla3[N° FACTURA],Tabla3[Corregimiento],"NA")</f>
        <v>NA</v>
      </c>
      <c r="D129" s="17"/>
      <c r="E129" t="s">
        <v>443</v>
      </c>
      <c r="F129" s="45">
        <v>48000</v>
      </c>
      <c r="G129">
        <v>2</v>
      </c>
      <c r="H129" s="45">
        <f t="shared" si="3"/>
        <v>96000</v>
      </c>
    </row>
    <row r="130" spans="1:8" x14ac:dyDescent="0.3">
      <c r="A130">
        <v>58435</v>
      </c>
      <c r="B130" s="17"/>
      <c r="C130" s="17" t="str">
        <f>_xlfn.XLOOKUP(Tabla5[[#This Row],[N° FACTURA]],Tabla3[N° FACTURA],Tabla3[Corregimiento],"NA")</f>
        <v>NA</v>
      </c>
      <c r="D130" s="17"/>
      <c r="E130" t="s">
        <v>444</v>
      </c>
      <c r="F130" s="45">
        <v>2000</v>
      </c>
      <c r="G130">
        <v>3</v>
      </c>
      <c r="H130" s="45">
        <f t="shared" si="3"/>
        <v>6000</v>
      </c>
    </row>
    <row r="131" spans="1:8" x14ac:dyDescent="0.3">
      <c r="A131">
        <v>58524</v>
      </c>
      <c r="B131" s="17">
        <v>45976</v>
      </c>
      <c r="C131" s="17" t="str">
        <f>_xlfn.XLOOKUP(Tabla5[[#This Row],[N° FACTURA]],Tabla3[N° FACTURA],Tabla3[Corregimiento],"NA")</f>
        <v>El Carmen</v>
      </c>
      <c r="D131" s="17"/>
      <c r="E131" t="s">
        <v>375</v>
      </c>
      <c r="F131" s="45">
        <v>31000</v>
      </c>
      <c r="G131">
        <v>8</v>
      </c>
      <c r="H131" s="45">
        <f t="shared" si="3"/>
        <v>248000</v>
      </c>
    </row>
    <row r="132" spans="1:8" x14ac:dyDescent="0.3">
      <c r="A132">
        <v>58517</v>
      </c>
      <c r="B132" s="17">
        <v>45976</v>
      </c>
      <c r="C132" s="17" t="str">
        <f>_xlfn.XLOOKUP(Tabla5[[#This Row],[N° FACTURA]],Tabla3[N° FACTURA],Tabla3[Corregimiento],"NA")</f>
        <v>El Carmen</v>
      </c>
      <c r="D132" s="17"/>
      <c r="E132" t="s">
        <v>445</v>
      </c>
      <c r="F132" s="45">
        <v>278500</v>
      </c>
      <c r="G132">
        <v>1</v>
      </c>
      <c r="H132" s="45">
        <f t="shared" si="3"/>
        <v>278500</v>
      </c>
    </row>
    <row r="133" spans="1:8" x14ac:dyDescent="0.3">
      <c r="A133">
        <v>58517</v>
      </c>
      <c r="B133" s="17"/>
      <c r="C133" s="17" t="str">
        <f>_xlfn.XLOOKUP(Tabla5[[#This Row],[N° FACTURA]],Tabla3[N° FACTURA],Tabla3[Corregimiento],"NA")</f>
        <v>El Carmen</v>
      </c>
      <c r="D133" s="17"/>
      <c r="E133" t="s">
        <v>446</v>
      </c>
      <c r="F133" s="45">
        <v>100000</v>
      </c>
      <c r="G133">
        <v>1</v>
      </c>
      <c r="H133" s="45">
        <f t="shared" si="3"/>
        <v>100000</v>
      </c>
    </row>
    <row r="134" spans="1:8" x14ac:dyDescent="0.3">
      <c r="A134">
        <v>58508</v>
      </c>
      <c r="B134" s="17">
        <v>45976</v>
      </c>
      <c r="C134" s="17" t="str">
        <f>_xlfn.XLOOKUP(Tabla5[[#This Row],[N° FACTURA]],Tabla3[N° FACTURA],Tabla3[Corregimiento],"NA")</f>
        <v>NA</v>
      </c>
      <c r="D134" s="17"/>
      <c r="E134" t="s">
        <v>447</v>
      </c>
      <c r="F134" s="45">
        <v>1185</v>
      </c>
      <c r="G134">
        <v>81</v>
      </c>
      <c r="H134" s="45">
        <f t="shared" si="3"/>
        <v>95985</v>
      </c>
    </row>
    <row r="135" spans="1:8" x14ac:dyDescent="0.3">
      <c r="A135">
        <v>58508</v>
      </c>
      <c r="B135" s="17"/>
      <c r="C135" s="17" t="str">
        <f>_xlfn.XLOOKUP(Tabla5[[#This Row],[N° FACTURA]],Tabla3[N° FACTURA],Tabla3[Corregimiento],"NA")</f>
        <v>NA</v>
      </c>
      <c r="D135" s="17"/>
      <c r="E135" t="s">
        <v>448</v>
      </c>
      <c r="F135" s="45">
        <v>6000</v>
      </c>
      <c r="G135">
        <v>2</v>
      </c>
      <c r="H135" s="45">
        <f t="shared" si="3"/>
        <v>12000</v>
      </c>
    </row>
    <row r="136" spans="1:8" x14ac:dyDescent="0.3">
      <c r="A136">
        <v>58508</v>
      </c>
      <c r="B136" s="17"/>
      <c r="C136" s="17" t="str">
        <f>_xlfn.XLOOKUP(Tabla5[[#This Row],[N° FACTURA]],Tabla3[N° FACTURA],Tabla3[Corregimiento],"NA")</f>
        <v>NA</v>
      </c>
      <c r="D136" s="17"/>
      <c r="E136" t="s">
        <v>449</v>
      </c>
      <c r="F136" s="45">
        <v>6000</v>
      </c>
      <c r="G136">
        <v>8</v>
      </c>
      <c r="H136" s="45">
        <f t="shared" si="3"/>
        <v>48000</v>
      </c>
    </row>
    <row r="137" spans="1:8" x14ac:dyDescent="0.3">
      <c r="A137">
        <v>58508</v>
      </c>
      <c r="B137" s="17"/>
      <c r="C137" s="17" t="str">
        <f>_xlfn.XLOOKUP(Tabla5[[#This Row],[N° FACTURA]],Tabla3[N° FACTURA],Tabla3[Corregimiento],"NA")</f>
        <v>NA</v>
      </c>
      <c r="D137" s="17"/>
      <c r="E137" t="s">
        <v>450</v>
      </c>
      <c r="F137" s="45">
        <v>70000</v>
      </c>
      <c r="G137">
        <v>1</v>
      </c>
      <c r="H137" s="45">
        <f t="shared" si="3"/>
        <v>70000</v>
      </c>
    </row>
    <row r="138" spans="1:8" x14ac:dyDescent="0.3">
      <c r="A138">
        <v>58000</v>
      </c>
      <c r="B138" s="17"/>
      <c r="C138" s="17" t="str">
        <f>_xlfn.XLOOKUP(Tabla5[[#This Row],[N° FACTURA]],Tabla3[N° FACTURA],Tabla3[Corregimiento],"NA")</f>
        <v>NA</v>
      </c>
      <c r="D138" s="17"/>
      <c r="E138" t="s">
        <v>451</v>
      </c>
      <c r="F138" s="45">
        <v>3600</v>
      </c>
      <c r="G138">
        <v>1</v>
      </c>
      <c r="H138" s="45">
        <f t="shared" si="3"/>
        <v>3600</v>
      </c>
    </row>
    <row r="139" spans="1:8" x14ac:dyDescent="0.3">
      <c r="A139">
        <v>58000</v>
      </c>
      <c r="B139" s="17"/>
      <c r="C139" s="17" t="str">
        <f>_xlfn.XLOOKUP(Tabla5[[#This Row],[N° FACTURA]],Tabla3[N° FACTURA],Tabla3[Corregimiento],"NA")</f>
        <v>NA</v>
      </c>
      <c r="D139" s="17"/>
      <c r="E139" t="s">
        <v>452</v>
      </c>
      <c r="F139" s="45">
        <v>35300</v>
      </c>
      <c r="G139">
        <v>1</v>
      </c>
      <c r="H139" s="45">
        <f t="shared" si="3"/>
        <v>35300</v>
      </c>
    </row>
    <row r="140" spans="1:8" x14ac:dyDescent="0.3">
      <c r="A140">
        <v>58000</v>
      </c>
      <c r="B140" s="17"/>
      <c r="C140" s="17" t="str">
        <f>_xlfn.XLOOKUP(Tabla5[[#This Row],[N° FACTURA]],Tabla3[N° FACTURA],Tabla3[Corregimiento],"NA")</f>
        <v>NA</v>
      </c>
      <c r="D140" s="17"/>
      <c r="E140" t="s">
        <v>353</v>
      </c>
      <c r="F140" s="45">
        <v>700</v>
      </c>
      <c r="G140">
        <v>1</v>
      </c>
      <c r="H140" s="45">
        <f t="shared" si="3"/>
        <v>700</v>
      </c>
    </row>
    <row r="141" spans="1:8" x14ac:dyDescent="0.3">
      <c r="A141">
        <v>57968</v>
      </c>
      <c r="B141" s="17">
        <v>45974</v>
      </c>
      <c r="C141" s="17" t="str">
        <f>_xlfn.XLOOKUP(Tabla5[[#This Row],[N° FACTURA]],Tabla3[N° FACTURA],Tabla3[Corregimiento],"NA")</f>
        <v>NA</v>
      </c>
      <c r="D141" s="17"/>
      <c r="E141" s="17" t="s">
        <v>453</v>
      </c>
      <c r="F141" s="45">
        <v>28500</v>
      </c>
      <c r="G141">
        <v>12</v>
      </c>
      <c r="H141" s="45">
        <f t="shared" si="3"/>
        <v>342000</v>
      </c>
    </row>
    <row r="142" spans="1:8" x14ac:dyDescent="0.3">
      <c r="A142">
        <v>58454</v>
      </c>
      <c r="B142" s="17">
        <v>45974</v>
      </c>
      <c r="C142" s="17" t="str">
        <f>_xlfn.XLOOKUP(Tabla5[[#This Row],[N° FACTURA]],Tabla3[N° FACTURA],Tabla3[Corregimiento],"NA")</f>
        <v>NA</v>
      </c>
      <c r="D142" s="17"/>
      <c r="E142" t="s">
        <v>454</v>
      </c>
      <c r="F142" s="45">
        <v>116500</v>
      </c>
      <c r="G142">
        <v>2</v>
      </c>
      <c r="H142" s="45">
        <f t="shared" si="3"/>
        <v>233000</v>
      </c>
    </row>
    <row r="143" spans="1:8" x14ac:dyDescent="0.3">
      <c r="A143">
        <v>58454</v>
      </c>
      <c r="B143" s="17"/>
      <c r="C143" s="17" t="str">
        <f>_xlfn.XLOOKUP(Tabla5[[#This Row],[N° FACTURA]],Tabla3[N° FACTURA],Tabla3[Corregimiento],"NA")</f>
        <v>NA</v>
      </c>
      <c r="D143" s="17"/>
      <c r="E143" t="s">
        <v>455</v>
      </c>
      <c r="F143" s="45">
        <v>28900</v>
      </c>
      <c r="G143">
        <v>2</v>
      </c>
      <c r="H143" s="45">
        <f t="shared" si="3"/>
        <v>57800</v>
      </c>
    </row>
    <row r="144" spans="1:8" x14ac:dyDescent="0.3">
      <c r="A144">
        <v>58454</v>
      </c>
      <c r="B144" s="17"/>
      <c r="C144" s="17" t="str">
        <f>_xlfn.XLOOKUP(Tabla5[[#This Row],[N° FACTURA]],Tabla3[N° FACTURA],Tabla3[Corregimiento],"NA")</f>
        <v>NA</v>
      </c>
      <c r="D144" s="17"/>
      <c r="E144" t="s">
        <v>456</v>
      </c>
      <c r="F144" s="45">
        <v>29000</v>
      </c>
      <c r="G144">
        <v>2</v>
      </c>
      <c r="H144" s="45">
        <f t="shared" ref="H144:H175" si="4">F144*G144</f>
        <v>58000</v>
      </c>
    </row>
    <row r="145" spans="1:8" x14ac:dyDescent="0.3">
      <c r="A145">
        <v>58466</v>
      </c>
      <c r="B145" s="17">
        <v>45974</v>
      </c>
      <c r="C145" s="17" t="str">
        <f>_xlfn.XLOOKUP(Tabla5[[#This Row],[N° FACTURA]],Tabla3[N° FACTURA],Tabla3[Corregimiento],"NA")</f>
        <v>Borrero Ayerbe</v>
      </c>
      <c r="D145" s="17"/>
      <c r="E145" t="s">
        <v>375</v>
      </c>
      <c r="F145" s="45">
        <v>31000</v>
      </c>
      <c r="G145">
        <v>4</v>
      </c>
      <c r="H145" s="45">
        <f t="shared" si="4"/>
        <v>124000</v>
      </c>
    </row>
    <row r="146" spans="1:8" x14ac:dyDescent="0.3">
      <c r="A146">
        <v>58466</v>
      </c>
      <c r="B146" s="17"/>
      <c r="C146" s="17" t="str">
        <f>_xlfn.XLOOKUP(Tabla5[[#This Row],[N° FACTURA]],Tabla3[N° FACTURA],Tabla3[Corregimiento],"NA")</f>
        <v>Borrero Ayerbe</v>
      </c>
      <c r="D146" s="17"/>
      <c r="E146" t="s">
        <v>368</v>
      </c>
      <c r="F146" s="45">
        <v>107000</v>
      </c>
      <c r="G146">
        <v>1</v>
      </c>
      <c r="H146" s="45">
        <f t="shared" si="4"/>
        <v>107000</v>
      </c>
    </row>
    <row r="147" spans="1:8" x14ac:dyDescent="0.3">
      <c r="A147">
        <v>58457</v>
      </c>
      <c r="B147" s="17">
        <v>45974</v>
      </c>
      <c r="C147" s="17" t="str">
        <f>_xlfn.XLOOKUP(Tabla5[[#This Row],[N° FACTURA]],Tabla3[N° FACTURA],Tabla3[Corregimiento],"NA")</f>
        <v>Borrero Ayerbe</v>
      </c>
      <c r="D147" s="17"/>
      <c r="E147" t="s">
        <v>351</v>
      </c>
      <c r="F147" s="45">
        <v>2300</v>
      </c>
      <c r="G147">
        <v>1</v>
      </c>
      <c r="H147" s="45">
        <f t="shared" si="4"/>
        <v>2300</v>
      </c>
    </row>
    <row r="148" spans="1:8" x14ac:dyDescent="0.3">
      <c r="A148">
        <v>58457</v>
      </c>
      <c r="B148" s="17">
        <v>45974</v>
      </c>
      <c r="C148" s="17" t="str">
        <f>_xlfn.XLOOKUP(Tabla5[[#This Row],[N° FACTURA]],Tabla3[N° FACTURA],Tabla3[Corregimiento],"NA")</f>
        <v>Borrero Ayerbe</v>
      </c>
      <c r="D148" s="17"/>
      <c r="E148" t="s">
        <v>409</v>
      </c>
      <c r="F148" s="45">
        <v>6000</v>
      </c>
      <c r="G148">
        <v>1.5</v>
      </c>
      <c r="H148" s="45">
        <f t="shared" si="4"/>
        <v>9000</v>
      </c>
    </row>
    <row r="149" spans="1:8" x14ac:dyDescent="0.3">
      <c r="A149">
        <v>58457</v>
      </c>
      <c r="B149" s="17">
        <v>45975</v>
      </c>
      <c r="C149" s="17" t="str">
        <f>_xlfn.XLOOKUP(Tabla5[[#This Row],[N° FACTURA]],Tabla3[N° FACTURA],Tabla3[Corregimiento],"NA")</f>
        <v>Borrero Ayerbe</v>
      </c>
      <c r="D149" s="17"/>
      <c r="E149" t="s">
        <v>457</v>
      </c>
      <c r="F149" s="45">
        <v>2700</v>
      </c>
      <c r="G149">
        <v>1</v>
      </c>
      <c r="H149" s="45">
        <f t="shared" si="4"/>
        <v>2700</v>
      </c>
    </row>
    <row r="150" spans="1:8" x14ac:dyDescent="0.3">
      <c r="A150">
        <v>58457</v>
      </c>
      <c r="B150" s="17">
        <v>45976</v>
      </c>
      <c r="C150" s="17" t="str">
        <f>_xlfn.XLOOKUP(Tabla5[[#This Row],[N° FACTURA]],Tabla3[N° FACTURA],Tabla3[Corregimiento],"NA")</f>
        <v>Borrero Ayerbe</v>
      </c>
      <c r="D150" s="17"/>
      <c r="E150" t="s">
        <v>419</v>
      </c>
      <c r="F150" s="45">
        <v>102000</v>
      </c>
      <c r="G150">
        <v>1</v>
      </c>
      <c r="H150" s="45">
        <f t="shared" si="4"/>
        <v>102000</v>
      </c>
    </row>
    <row r="151" spans="1:8" x14ac:dyDescent="0.3">
      <c r="A151">
        <v>58457</v>
      </c>
      <c r="B151" s="17">
        <v>45977</v>
      </c>
      <c r="C151" s="17" t="str">
        <f>_xlfn.XLOOKUP(Tabla5[[#This Row],[N° FACTURA]],Tabla3[N° FACTURA],Tabla3[Corregimiento],"NA")</f>
        <v>Borrero Ayerbe</v>
      </c>
      <c r="D151" s="17"/>
      <c r="E151" t="s">
        <v>458</v>
      </c>
      <c r="F151" s="45">
        <v>32000</v>
      </c>
      <c r="G151">
        <v>2</v>
      </c>
      <c r="H151" s="45">
        <f t="shared" si="4"/>
        <v>64000</v>
      </c>
    </row>
    <row r="152" spans="1:8" x14ac:dyDescent="0.3">
      <c r="A152">
        <v>57979</v>
      </c>
      <c r="B152" s="17">
        <v>45974</v>
      </c>
      <c r="C152" s="17" t="str">
        <f>_xlfn.XLOOKUP(Tabla5[[#This Row],[N° FACTURA]],Tabla3[N° FACTURA],Tabla3[Corregimiento],"NA")</f>
        <v>Borrero Ayerbe</v>
      </c>
      <c r="D152" s="17"/>
      <c r="E152" t="s">
        <v>459</v>
      </c>
      <c r="F152" s="45">
        <v>4000</v>
      </c>
      <c r="G152">
        <v>2</v>
      </c>
      <c r="H152" s="45">
        <f t="shared" si="4"/>
        <v>8000</v>
      </c>
    </row>
    <row r="153" spans="1:8" x14ac:dyDescent="0.3">
      <c r="A153">
        <v>57979</v>
      </c>
      <c r="B153" s="17"/>
      <c r="C153" s="17" t="str">
        <f>_xlfn.XLOOKUP(Tabla5[[#This Row],[N° FACTURA]],Tabla3[N° FACTURA],Tabla3[Corregimiento],"NA")</f>
        <v>Borrero Ayerbe</v>
      </c>
      <c r="D153" s="17"/>
      <c r="E153" t="s">
        <v>460</v>
      </c>
      <c r="F153" s="45">
        <v>200</v>
      </c>
      <c r="G153">
        <v>10</v>
      </c>
      <c r="H153" s="45">
        <f t="shared" si="4"/>
        <v>2000</v>
      </c>
    </row>
    <row r="154" spans="1:8" x14ac:dyDescent="0.3">
      <c r="A154">
        <v>57979</v>
      </c>
      <c r="B154" s="17"/>
      <c r="C154" s="17" t="str">
        <f>_xlfn.XLOOKUP(Tabla5[[#This Row],[N° FACTURA]],Tabla3[N° FACTURA],Tabla3[Corregimiento],"NA")</f>
        <v>Borrero Ayerbe</v>
      </c>
      <c r="D154" s="17"/>
      <c r="E154" t="s">
        <v>461</v>
      </c>
      <c r="F154" s="45">
        <v>200</v>
      </c>
      <c r="G154">
        <v>10</v>
      </c>
      <c r="H154" s="45">
        <f t="shared" si="4"/>
        <v>2000</v>
      </c>
    </row>
    <row r="155" spans="1:8" x14ac:dyDescent="0.3">
      <c r="A155">
        <v>57979</v>
      </c>
      <c r="B155" s="17"/>
      <c r="C155" s="17" t="str">
        <f>_xlfn.XLOOKUP(Tabla5[[#This Row],[N° FACTURA]],Tabla3[N° FACTURA],Tabla3[Corregimiento],"NA")</f>
        <v>Borrero Ayerbe</v>
      </c>
      <c r="D155" s="17"/>
      <c r="E155" t="s">
        <v>462</v>
      </c>
      <c r="F155" s="45">
        <v>28400</v>
      </c>
      <c r="G155">
        <v>12</v>
      </c>
      <c r="H155" s="45">
        <f t="shared" si="4"/>
        <v>340800</v>
      </c>
    </row>
    <row r="156" spans="1:8" x14ac:dyDescent="0.3">
      <c r="A156">
        <v>57979</v>
      </c>
      <c r="B156" s="17"/>
      <c r="C156" s="17" t="str">
        <f>_xlfn.XLOOKUP(Tabla5[[#This Row],[N° FACTURA]],Tabla3[N° FACTURA],Tabla3[Corregimiento],"NA")</f>
        <v>Borrero Ayerbe</v>
      </c>
      <c r="D156" s="17"/>
      <c r="E156" t="s">
        <v>463</v>
      </c>
      <c r="F156" s="45">
        <v>200</v>
      </c>
      <c r="G156">
        <v>50</v>
      </c>
      <c r="H156" s="45">
        <f t="shared" si="4"/>
        <v>10000</v>
      </c>
    </row>
    <row r="157" spans="1:8" x14ac:dyDescent="0.3">
      <c r="A157">
        <v>30461</v>
      </c>
      <c r="B157" s="17">
        <v>45974</v>
      </c>
      <c r="C157" s="17" t="str">
        <f>_xlfn.XLOOKUP(Tabla5[[#This Row],[N° FACTURA]],Tabla3[N° FACTURA],Tabla3[Corregimiento],"NA")</f>
        <v>NA</v>
      </c>
      <c r="D157" s="17"/>
      <c r="E157" t="s">
        <v>464</v>
      </c>
      <c r="F157" s="45">
        <v>58000</v>
      </c>
      <c r="G157">
        <v>9</v>
      </c>
      <c r="H157" s="45">
        <f t="shared" si="4"/>
        <v>522000</v>
      </c>
    </row>
    <row r="158" spans="1:8" x14ac:dyDescent="0.3">
      <c r="A158">
        <v>30461</v>
      </c>
      <c r="B158" s="17"/>
      <c r="C158" s="17" t="str">
        <f>_xlfn.XLOOKUP(Tabla5[[#This Row],[N° FACTURA]],Tabla3[N° FACTURA],Tabla3[Corregimiento],"NA")</f>
        <v>NA</v>
      </c>
      <c r="D158" s="17"/>
      <c r="E158" t="s">
        <v>465</v>
      </c>
      <c r="F158" s="45">
        <v>128000</v>
      </c>
      <c r="G158">
        <v>2</v>
      </c>
      <c r="H158" s="45">
        <f t="shared" si="4"/>
        <v>256000</v>
      </c>
    </row>
    <row r="159" spans="1:8" x14ac:dyDescent="0.3">
      <c r="A159">
        <v>30461</v>
      </c>
      <c r="B159" s="17"/>
      <c r="C159" s="17" t="str">
        <f>_xlfn.XLOOKUP(Tabla5[[#This Row],[N° FACTURA]],Tabla3[N° FACTURA],Tabla3[Corregimiento],"NA")</f>
        <v>NA</v>
      </c>
      <c r="D159" s="17"/>
      <c r="E159" t="s">
        <v>466</v>
      </c>
      <c r="F159" s="45">
        <v>110000</v>
      </c>
      <c r="G159">
        <v>9</v>
      </c>
      <c r="H159" s="45">
        <f t="shared" si="4"/>
        <v>990000</v>
      </c>
    </row>
    <row r="160" spans="1:8" x14ac:dyDescent="0.3">
      <c r="A160">
        <v>30461</v>
      </c>
      <c r="B160" s="17"/>
      <c r="C160" s="17" t="str">
        <f>_xlfn.XLOOKUP(Tabla5[[#This Row],[N° FACTURA]],Tabla3[N° FACTURA],Tabla3[Corregimiento],"NA")</f>
        <v>NA</v>
      </c>
      <c r="D160" s="17"/>
      <c r="E160" t="s">
        <v>467</v>
      </c>
      <c r="F160" s="45">
        <v>350</v>
      </c>
      <c r="G160">
        <v>150</v>
      </c>
      <c r="H160" s="45">
        <f t="shared" si="4"/>
        <v>52500</v>
      </c>
    </row>
    <row r="161" spans="1:8" x14ac:dyDescent="0.3">
      <c r="A161">
        <v>30461</v>
      </c>
      <c r="B161" s="17"/>
      <c r="C161" s="17" t="str">
        <f>_xlfn.XLOOKUP(Tabla5[[#This Row],[N° FACTURA]],Tabla3[N° FACTURA],Tabla3[Corregimiento],"NA")</f>
        <v>NA</v>
      </c>
      <c r="D161" s="17"/>
      <c r="E161" t="s">
        <v>468</v>
      </c>
      <c r="F161" s="45">
        <v>24700</v>
      </c>
      <c r="G161">
        <v>2</v>
      </c>
      <c r="H161" s="45">
        <f t="shared" si="4"/>
        <v>49400</v>
      </c>
    </row>
    <row r="162" spans="1:8" x14ac:dyDescent="0.3">
      <c r="A162">
        <v>30461</v>
      </c>
      <c r="B162" s="17"/>
      <c r="C162" s="17" t="str">
        <f>_xlfn.XLOOKUP(Tabla5[[#This Row],[N° FACTURA]],Tabla3[N° FACTURA],Tabla3[Corregimiento],"NA")</f>
        <v>NA</v>
      </c>
      <c r="D162" s="17"/>
      <c r="E162" t="s">
        <v>469</v>
      </c>
      <c r="F162" s="45">
        <v>7000</v>
      </c>
      <c r="G162">
        <v>1</v>
      </c>
      <c r="H162" s="45">
        <f t="shared" si="4"/>
        <v>7000</v>
      </c>
    </row>
    <row r="163" spans="1:8" x14ac:dyDescent="0.3">
      <c r="A163">
        <v>30461</v>
      </c>
      <c r="B163" s="17"/>
      <c r="C163" s="17" t="str">
        <f>_xlfn.XLOOKUP(Tabla5[[#This Row],[N° FACTURA]],Tabla3[N° FACTURA],Tabla3[Corregimiento],"NA")</f>
        <v>NA</v>
      </c>
      <c r="D163" s="17"/>
      <c r="E163" t="s">
        <v>470</v>
      </c>
      <c r="F163" s="45">
        <v>12000</v>
      </c>
      <c r="G163">
        <v>2</v>
      </c>
      <c r="H163" s="45">
        <f t="shared" si="4"/>
        <v>24000</v>
      </c>
    </row>
    <row r="164" spans="1:8" x14ac:dyDescent="0.3">
      <c r="A164">
        <v>30461</v>
      </c>
      <c r="B164" s="17"/>
      <c r="C164" s="17" t="str">
        <f>_xlfn.XLOOKUP(Tabla5[[#This Row],[N° FACTURA]],Tabla3[N° FACTURA],Tabla3[Corregimiento],"NA")</f>
        <v>NA</v>
      </c>
      <c r="D164" s="17"/>
      <c r="E164" t="s">
        <v>471</v>
      </c>
      <c r="F164" s="45">
        <v>9500</v>
      </c>
      <c r="G164">
        <v>1</v>
      </c>
      <c r="H164" s="45">
        <f t="shared" si="4"/>
        <v>9500</v>
      </c>
    </row>
    <row r="165" spans="1:8" x14ac:dyDescent="0.3">
      <c r="A165">
        <v>30526</v>
      </c>
      <c r="B165" s="17">
        <v>45974</v>
      </c>
      <c r="C165" s="17" t="str">
        <f>_xlfn.XLOOKUP(Tabla5[[#This Row],[N° FACTURA]],Tabla3[N° FACTURA],Tabla3[Corregimiento],"NA")</f>
        <v>NA</v>
      </c>
      <c r="D165" s="17"/>
      <c r="E165" t="s">
        <v>472</v>
      </c>
      <c r="F165" s="45">
        <v>87800</v>
      </c>
      <c r="G165">
        <v>3</v>
      </c>
      <c r="H165" s="45">
        <f t="shared" si="4"/>
        <v>263400</v>
      </c>
    </row>
    <row r="166" spans="1:8" x14ac:dyDescent="0.3">
      <c r="A166">
        <v>30526</v>
      </c>
      <c r="B166" s="17"/>
      <c r="C166" s="17" t="str">
        <f>_xlfn.XLOOKUP(Tabla5[[#This Row],[N° FACTURA]],Tabla3[N° FACTURA],Tabla3[Corregimiento],"NA")</f>
        <v>NA</v>
      </c>
      <c r="D166" s="17"/>
      <c r="E166" t="s">
        <v>471</v>
      </c>
      <c r="F166" s="45">
        <v>9500</v>
      </c>
      <c r="G166">
        <v>2</v>
      </c>
      <c r="H166" s="45">
        <f t="shared" si="4"/>
        <v>19000</v>
      </c>
    </row>
    <row r="167" spans="1:8" x14ac:dyDescent="0.3">
      <c r="A167">
        <v>30526</v>
      </c>
      <c r="B167" s="17"/>
      <c r="C167" s="17" t="str">
        <f>_xlfn.XLOOKUP(Tabla5[[#This Row],[N° FACTURA]],Tabla3[N° FACTURA],Tabla3[Corregimiento],"NA")</f>
        <v>NA</v>
      </c>
      <c r="D167" s="17"/>
      <c r="E167" t="s">
        <v>473</v>
      </c>
      <c r="F167" s="45">
        <v>12000</v>
      </c>
      <c r="G167">
        <v>3</v>
      </c>
      <c r="H167" s="45">
        <f t="shared" si="4"/>
        <v>36000</v>
      </c>
    </row>
    <row r="168" spans="1:8" x14ac:dyDescent="0.3">
      <c r="A168">
        <v>30464</v>
      </c>
      <c r="B168" s="17">
        <v>45974</v>
      </c>
      <c r="C168" s="17" t="str">
        <f>_xlfn.XLOOKUP(Tabla5[[#This Row],[N° FACTURA]],Tabla3[N° FACTURA],Tabla3[Corregimiento],"NA")</f>
        <v>NA</v>
      </c>
      <c r="D168" s="17"/>
      <c r="E168" t="s">
        <v>474</v>
      </c>
      <c r="F168" s="45">
        <v>12000</v>
      </c>
      <c r="G168">
        <v>3</v>
      </c>
      <c r="H168" s="45">
        <f t="shared" si="4"/>
        <v>36000</v>
      </c>
    </row>
    <row r="169" spans="1:8" x14ac:dyDescent="0.3">
      <c r="A169">
        <v>30464</v>
      </c>
      <c r="B169" s="17"/>
      <c r="C169" s="17" t="str">
        <f>_xlfn.XLOOKUP(Tabla5[[#This Row],[N° FACTURA]],Tabla3[N° FACTURA],Tabla3[Corregimiento],"NA")</f>
        <v>NA</v>
      </c>
      <c r="D169" s="17"/>
      <c r="E169" t="s">
        <v>475</v>
      </c>
      <c r="F169" s="45">
        <v>84000</v>
      </c>
      <c r="G169">
        <v>5</v>
      </c>
      <c r="H169" s="45">
        <f t="shared" si="4"/>
        <v>420000</v>
      </c>
    </row>
    <row r="170" spans="1:8" x14ac:dyDescent="0.3">
      <c r="A170">
        <v>30464</v>
      </c>
      <c r="B170" s="17"/>
      <c r="C170" s="17" t="str">
        <f>_xlfn.XLOOKUP(Tabla5[[#This Row],[N° FACTURA]],Tabla3[N° FACTURA],Tabla3[Corregimiento],"NA")</f>
        <v>NA</v>
      </c>
      <c r="D170" s="17"/>
      <c r="E170" t="s">
        <v>476</v>
      </c>
      <c r="F170" s="45">
        <v>44700</v>
      </c>
      <c r="G170">
        <v>6</v>
      </c>
      <c r="H170" s="45">
        <f t="shared" si="4"/>
        <v>268200</v>
      </c>
    </row>
    <row r="171" spans="1:8" x14ac:dyDescent="0.3">
      <c r="A171">
        <v>30464</v>
      </c>
      <c r="B171" s="17"/>
      <c r="C171" s="17" t="str">
        <f>_xlfn.XLOOKUP(Tabla5[[#This Row],[N° FACTURA]],Tabla3[N° FACTURA],Tabla3[Corregimiento],"NA")</f>
        <v>NA</v>
      </c>
      <c r="D171" s="17"/>
      <c r="E171" t="s">
        <v>477</v>
      </c>
      <c r="F171" s="45">
        <v>89500</v>
      </c>
      <c r="G171">
        <v>1</v>
      </c>
      <c r="H171" s="45">
        <f t="shared" si="4"/>
        <v>89500</v>
      </c>
    </row>
    <row r="172" spans="1:8" x14ac:dyDescent="0.3">
      <c r="A172">
        <v>30464</v>
      </c>
      <c r="B172" s="17"/>
      <c r="C172" s="17" t="str">
        <f>_xlfn.XLOOKUP(Tabla5[[#This Row],[N° FACTURA]],Tabla3[N° FACTURA],Tabla3[Corregimiento],"NA")</f>
        <v>NA</v>
      </c>
      <c r="D172" s="17"/>
      <c r="E172" t="s">
        <v>478</v>
      </c>
      <c r="F172" s="45">
        <v>26800</v>
      </c>
      <c r="G172">
        <v>1</v>
      </c>
      <c r="H172" s="45">
        <f t="shared" si="4"/>
        <v>26800</v>
      </c>
    </row>
    <row r="173" spans="1:8" x14ac:dyDescent="0.3">
      <c r="A173">
        <v>57964</v>
      </c>
      <c r="B173" s="17">
        <v>45974</v>
      </c>
      <c r="C173" s="17" t="str">
        <f>_xlfn.XLOOKUP(Tabla5[[#This Row],[N° FACTURA]],Tabla3[N° FACTURA],Tabla3[Corregimiento],"NA")</f>
        <v>NA</v>
      </c>
      <c r="D173" s="17"/>
      <c r="E173" t="s">
        <v>357</v>
      </c>
      <c r="F173" s="45">
        <v>32000</v>
      </c>
      <c r="G173">
        <v>1</v>
      </c>
      <c r="H173" s="45">
        <f t="shared" si="4"/>
        <v>32000</v>
      </c>
    </row>
    <row r="174" spans="1:8" x14ac:dyDescent="0.3">
      <c r="A174">
        <v>57964</v>
      </c>
      <c r="B174" s="17"/>
      <c r="C174" s="17" t="str">
        <f>_xlfn.XLOOKUP(Tabla5[[#This Row],[N° FACTURA]],Tabla3[N° FACTURA],Tabla3[Corregimiento],"NA")</f>
        <v>NA</v>
      </c>
      <c r="D174" s="17"/>
      <c r="E174" t="s">
        <v>479</v>
      </c>
      <c r="F174" s="45">
        <v>6000</v>
      </c>
      <c r="G174">
        <v>2</v>
      </c>
      <c r="H174" s="45">
        <f t="shared" si="4"/>
        <v>12000</v>
      </c>
    </row>
    <row r="175" spans="1:8" x14ac:dyDescent="0.3">
      <c r="A175">
        <v>30524</v>
      </c>
      <c r="B175" s="17">
        <v>45974</v>
      </c>
      <c r="C175" s="17" t="str">
        <f>_xlfn.XLOOKUP(Tabla5[[#This Row],[N° FACTURA]],Tabla3[N° FACTURA],Tabla3[Corregimiento],"NA")</f>
        <v>NA</v>
      </c>
      <c r="D175" s="17"/>
      <c r="E175" t="s">
        <v>480</v>
      </c>
      <c r="F175" s="45">
        <v>67000</v>
      </c>
      <c r="G175">
        <v>2</v>
      </c>
      <c r="H175" s="45">
        <f t="shared" si="4"/>
        <v>134000</v>
      </c>
    </row>
    <row r="176" spans="1:8" x14ac:dyDescent="0.3">
      <c r="A176">
        <v>58321</v>
      </c>
      <c r="B176" s="17">
        <v>45972</v>
      </c>
      <c r="C176" s="17" t="str">
        <f>_xlfn.XLOOKUP(Tabla5[[#This Row],[N° FACTURA]],Tabla3[N° FACTURA],Tabla3[Corregimiento],"NA")</f>
        <v>NA</v>
      </c>
      <c r="D176" s="17"/>
      <c r="E176" t="s">
        <v>357</v>
      </c>
      <c r="F176" s="45">
        <v>32000</v>
      </c>
      <c r="G176">
        <v>2</v>
      </c>
      <c r="H176" s="45">
        <f t="shared" ref="H176:H184" si="5">F176*G176</f>
        <v>64000</v>
      </c>
    </row>
    <row r="177" spans="1:8" x14ac:dyDescent="0.3">
      <c r="A177">
        <v>58321</v>
      </c>
      <c r="B177" s="17"/>
      <c r="C177" s="17" t="str">
        <f>_xlfn.XLOOKUP(Tabla5[[#This Row],[N° FACTURA]],Tabla3[N° FACTURA],Tabla3[Corregimiento],"NA")</f>
        <v>NA</v>
      </c>
      <c r="D177" s="17"/>
      <c r="E177" t="s">
        <v>481</v>
      </c>
      <c r="F177" s="45">
        <v>10500</v>
      </c>
      <c r="G177">
        <v>5</v>
      </c>
      <c r="H177" s="45">
        <f t="shared" si="5"/>
        <v>52500</v>
      </c>
    </row>
    <row r="178" spans="1:8" x14ac:dyDescent="0.3">
      <c r="A178">
        <v>58321</v>
      </c>
      <c r="B178" s="17"/>
      <c r="C178" s="17" t="str">
        <f>_xlfn.XLOOKUP(Tabla5[[#This Row],[N° FACTURA]],Tabla3[N° FACTURA],Tabla3[Corregimiento],"NA")</f>
        <v>NA</v>
      </c>
      <c r="D178" s="17"/>
      <c r="E178" t="s">
        <v>482</v>
      </c>
      <c r="F178" s="45">
        <v>1500</v>
      </c>
      <c r="G178">
        <v>1</v>
      </c>
      <c r="H178" s="45">
        <f t="shared" si="5"/>
        <v>1500</v>
      </c>
    </row>
    <row r="179" spans="1:8" x14ac:dyDescent="0.3">
      <c r="A179">
        <v>58321</v>
      </c>
      <c r="B179" s="17"/>
      <c r="C179" s="17" t="str">
        <f>_xlfn.XLOOKUP(Tabla5[[#This Row],[N° FACTURA]],Tabla3[N° FACTURA],Tabla3[Corregimiento],"NA")</f>
        <v>NA</v>
      </c>
      <c r="D179" s="17"/>
      <c r="E179" t="s">
        <v>483</v>
      </c>
      <c r="F179" s="45">
        <v>49000</v>
      </c>
      <c r="G179">
        <v>4</v>
      </c>
      <c r="H179" s="45">
        <f t="shared" si="5"/>
        <v>196000</v>
      </c>
    </row>
    <row r="180" spans="1:8" x14ac:dyDescent="0.3">
      <c r="A180">
        <v>58321</v>
      </c>
      <c r="B180" s="17"/>
      <c r="C180" s="17" t="str">
        <f>_xlfn.XLOOKUP(Tabla5[[#This Row],[N° FACTURA]],Tabla3[N° FACTURA],Tabla3[Corregimiento],"NA")</f>
        <v>NA</v>
      </c>
      <c r="D180" s="17"/>
      <c r="E180" t="s">
        <v>476</v>
      </c>
      <c r="F180" s="45">
        <v>51500</v>
      </c>
      <c r="G180">
        <v>2</v>
      </c>
      <c r="H180" s="45">
        <f t="shared" si="5"/>
        <v>103000</v>
      </c>
    </row>
    <row r="181" spans="1:8" x14ac:dyDescent="0.3">
      <c r="A181">
        <v>58321</v>
      </c>
      <c r="B181" s="17"/>
      <c r="C181" s="17" t="str">
        <f>_xlfn.XLOOKUP(Tabla5[[#This Row],[N° FACTURA]],Tabla3[N° FACTURA],Tabla3[Corregimiento],"NA")</f>
        <v>NA</v>
      </c>
      <c r="D181" s="17"/>
      <c r="E181" t="s">
        <v>484</v>
      </c>
      <c r="F181" s="45">
        <v>2400</v>
      </c>
      <c r="G181">
        <v>19</v>
      </c>
      <c r="H181" s="45">
        <f t="shared" si="5"/>
        <v>45600</v>
      </c>
    </row>
    <row r="182" spans="1:8" x14ac:dyDescent="0.3">
      <c r="A182">
        <v>58321</v>
      </c>
      <c r="B182" s="17"/>
      <c r="C182" s="17" t="str">
        <f>_xlfn.XLOOKUP(Tabla5[[#This Row],[N° FACTURA]],Tabla3[N° FACTURA],Tabla3[Corregimiento],"NA")</f>
        <v>NA</v>
      </c>
      <c r="D182" s="17"/>
      <c r="E182" t="s">
        <v>474</v>
      </c>
      <c r="F182" s="45">
        <v>12000</v>
      </c>
      <c r="G182">
        <v>1</v>
      </c>
      <c r="H182" s="45">
        <f t="shared" si="5"/>
        <v>12000</v>
      </c>
    </row>
    <row r="183" spans="1:8" x14ac:dyDescent="0.3">
      <c r="A183">
        <v>58321</v>
      </c>
      <c r="B183" s="17"/>
      <c r="C183" s="17" t="str">
        <f>_xlfn.XLOOKUP(Tabla5[[#This Row],[N° FACTURA]],Tabla3[N° FACTURA],Tabla3[Corregimiento],"NA")</f>
        <v>NA</v>
      </c>
      <c r="D183" s="17"/>
      <c r="E183" t="s">
        <v>485</v>
      </c>
      <c r="F183" s="45">
        <v>2100</v>
      </c>
      <c r="G183">
        <v>2</v>
      </c>
      <c r="H183" s="45">
        <f t="shared" si="5"/>
        <v>4200</v>
      </c>
    </row>
    <row r="184" spans="1:8" x14ac:dyDescent="0.3">
      <c r="A184">
        <v>58321</v>
      </c>
      <c r="B184" s="17"/>
      <c r="C184" s="17" t="str">
        <f>_xlfn.XLOOKUP(Tabla5[[#This Row],[N° FACTURA]],Tabla3[N° FACTURA],Tabla3[Corregimiento],"NA")</f>
        <v>NA</v>
      </c>
      <c r="D184" s="17"/>
      <c r="E184" t="s">
        <v>486</v>
      </c>
      <c r="F184" s="45">
        <v>130</v>
      </c>
      <c r="G184">
        <v>50</v>
      </c>
      <c r="H184" s="45">
        <f t="shared" si="5"/>
        <v>6500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Listas</vt:lpstr>
      <vt:lpstr>ABC COSTEO</vt:lpstr>
      <vt:lpstr>Fechas Y ubicaciones</vt:lpstr>
      <vt:lpstr>Base de datos</vt:lpstr>
      <vt:lpstr>Hoja1</vt:lpstr>
      <vt:lpstr>ANALISIS DEL MARGEN</vt:lpstr>
      <vt:lpstr>Distancias</vt:lpstr>
      <vt:lpstr>Base Diego</vt:lpstr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SEBASTIAN AGUIRRE ALDANA</dc:creator>
  <cp:lastModifiedBy>JOHAN CAMILO PORTILLA AGUIRRE</cp:lastModifiedBy>
  <dcterms:created xsi:type="dcterms:W3CDTF">2026-02-22T02:32:20Z</dcterms:created>
  <dcterms:modified xsi:type="dcterms:W3CDTF">2026-03-16T16:04:48Z</dcterms:modified>
</cp:coreProperties>
</file>